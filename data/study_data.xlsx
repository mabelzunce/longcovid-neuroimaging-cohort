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Cuestionario" sheetId="1" r:id="rId5"/>
    <sheet state="visible" name="evaluacionCognitiva" sheetId="2" r:id="rId6"/>
    <sheet state="visible" name="InformeResonancia" sheetId="3" r:id="rId7"/>
    <sheet state="visible" name="RespuestasCuestionario solo 202" sheetId="4" r:id="rId8"/>
    <sheet state="visible" name="Biomarcadores" sheetId="5" r:id="rId9"/>
  </sheets>
  <definedNames>
    <definedName name="Tabla1">evaluacionCognitiva!$A$10:$I$216</definedName>
    <definedName hidden="1" localSheetId="0" name="_xlnm._FilterDatabase">respuestasCuestionario!$P$3:$U$217</definedName>
    <definedName hidden="1" localSheetId="1" name="_xlnm._FilterDatabase">evaluacionCognitiva!$B$1:$B$1023</definedName>
    <definedName hidden="1" localSheetId="2" name="_xlnm._FilterDatabase">InformeResonancia!$D$1:$D$139</definedName>
    <definedName hidden="1" localSheetId="1" name="Z_FB45F536_359E_4C12_AF91_677596234328_.wvu.FilterData">evaluacionCognitiva!$A$1:$AK$1025</definedName>
  </definedNames>
  <calcPr/>
  <customWorkbookViews>
    <customWorkbookView activeSheetId="0" maximized="1" windowHeight="0" windowWidth="0" guid="{FB45F536-359E-4C12-AF91-677596234328}" name="Filtro 1"/>
  </customWorkbookViews>
</workbook>
</file>

<file path=xl/sharedStrings.xml><?xml version="1.0" encoding="utf-8"?>
<sst xmlns="http://schemas.openxmlformats.org/spreadsheetml/2006/main" count="18383" uniqueCount="792">
  <si>
    <t>ID</t>
  </si>
  <si>
    <t>Grupo</t>
  </si>
  <si>
    <t>Fecha test cognitivo</t>
  </si>
  <si>
    <t>categoría COVID</t>
  </si>
  <si>
    <t>2.13</t>
  </si>
  <si>
    <t>2.14</t>
  </si>
  <si>
    <t>2.1510</t>
  </si>
  <si>
    <t>2.1511</t>
  </si>
  <si>
    <t>2.1512</t>
  </si>
  <si>
    <t>3.13</t>
  </si>
  <si>
    <t xml:space="preserve">3.14 </t>
  </si>
  <si>
    <t>State EQ-5D-5L</t>
  </si>
  <si>
    <t>EQ_VAS</t>
  </si>
  <si>
    <t>FAS puntuación final</t>
  </si>
  <si>
    <t>CATEGORÍA FAS</t>
  </si>
  <si>
    <t>CATEGORÍA IPAQ</t>
  </si>
  <si>
    <t>7.1</t>
  </si>
  <si>
    <t>7.2</t>
  </si>
  <si>
    <t>7.2new</t>
  </si>
  <si>
    <t>7.3</t>
  </si>
  <si>
    <t>newtib</t>
  </si>
  <si>
    <t>7.4</t>
  </si>
  <si>
    <t>7.5.1</t>
  </si>
  <si>
    <t>7.5.2</t>
  </si>
  <si>
    <t>7.5.3</t>
  </si>
  <si>
    <t>7.5.4</t>
  </si>
  <si>
    <t>7.5.5</t>
  </si>
  <si>
    <t>7.5.6</t>
  </si>
  <si>
    <t>7.5.7</t>
  </si>
  <si>
    <t>7.5.8</t>
  </si>
  <si>
    <t>7.5.9</t>
  </si>
  <si>
    <t>7.5.10</t>
  </si>
  <si>
    <t>SUMA 7.5</t>
  </si>
  <si>
    <t>tmphse</t>
  </si>
  <si>
    <t>PSQIDURAT</t>
  </si>
  <si>
    <t>PSQIDISTB</t>
  </si>
  <si>
    <t>PSQILATEN</t>
  </si>
  <si>
    <t>PSQIDAYDYS</t>
  </si>
  <si>
    <t>PSQIHSE</t>
  </si>
  <si>
    <t>PSQISLPQUAL</t>
  </si>
  <si>
    <t>PSQIMEDS</t>
  </si>
  <si>
    <t>PSQI</t>
  </si>
  <si>
    <t>CATEGORÍA PSQI</t>
  </si>
  <si>
    <t xml:space="preserve">Días entre primera infección y fecha de cuestionario </t>
  </si>
  <si>
    <t xml:space="preserve">Días entre última infección y fecha de cuestionario </t>
  </si>
  <si>
    <t>BMI</t>
  </si>
  <si>
    <t>Datos demograficos</t>
  </si>
  <si>
    <t>COVID 19</t>
  </si>
  <si>
    <t>Internación</t>
  </si>
  <si>
    <t>Sintomas</t>
  </si>
  <si>
    <t>Antecedentes de salud</t>
  </si>
  <si>
    <t>Mobility</t>
  </si>
  <si>
    <t xml:space="preserve">Self-care </t>
  </si>
  <si>
    <t>Activity</t>
  </si>
  <si>
    <t>Pain</t>
  </si>
  <si>
    <t>Anxiety</t>
  </si>
  <si>
    <t>FAS</t>
  </si>
  <si>
    <t>IPAQ</t>
  </si>
  <si>
    <t>Acerca de usted</t>
  </si>
  <si>
    <t>Edad</t>
  </si>
  <si>
    <t>Género</t>
  </si>
  <si>
    <t>Altura (cm)</t>
  </si>
  <si>
    <t>Peso (kg)</t>
  </si>
  <si>
    <t>¿Le han vacunado contra la COVID-19?</t>
  </si>
  <si>
    <t>Cuantas vacunas</t>
  </si>
  <si>
    <t>Fecha última dosis</t>
  </si>
  <si>
    <t>Diagnostico/sospecha de covid</t>
  </si>
  <si>
    <t xml:space="preserve">Cuantas veces </t>
  </si>
  <si>
    <t>Fecha sintomas covid por primera vez</t>
  </si>
  <si>
    <t>Ya estaba vacunada en su primer infeccion de covid? Cuantas dosis?</t>
  </si>
  <si>
    <t>Fecha sintomas covid por ultima vez</t>
  </si>
  <si>
    <t>Se siente recuperado del covid?</t>
  </si>
  <si>
    <t>Dolor de cabeza
Si, y los sigo experimentando = 1
Si, pero ya no los tengo = 2
No = 3</t>
  </si>
  <si>
    <t xml:space="preserve">Fatiga
Si, y los sigo experimentando = 1
Si, pero ya no los tengo = 2
No = 3
</t>
  </si>
  <si>
    <t xml:space="preserve">Olfato
Si, y los sigo experimentando = 1
Si, pero ya no los tengo = 2
No = 3
</t>
  </si>
  <si>
    <t xml:space="preserve">Gusto
Si, y los sigo experimentando = 1
Si, pero ya no los tengo = 2
No = 3
</t>
  </si>
  <si>
    <t xml:space="preserve">Disnea
Si, y los sigo experimentando = 1
Si, pero ya no los tengo = 2
No = 3
</t>
  </si>
  <si>
    <t xml:space="preserve">Debilidad muscular
Si, y los sigo experimentando = 1
Si, pero ya no los tengo = 2
No = 3
</t>
  </si>
  <si>
    <t xml:space="preserve">Dolor muscular
Si, y los sigo experimentando = 1
Si, pero ya no los tengo = 2
No = 3
</t>
  </si>
  <si>
    <t xml:space="preserve">Confusion/concentración
Si, y los sigo experimentando = 1
Si, pero ya no los tengo = 2
No = 3
</t>
  </si>
  <si>
    <t xml:space="preserve">Problemas para hablar o comunicarse
Si, y los sigo experimentando = 1
Si, pero ya no los tengo = 2
No = 3
</t>
  </si>
  <si>
    <t xml:space="preserve">Dormir
Si, y los sigo experimentando = 1
Si, pero ya no los tengo = 2
No = 3
</t>
  </si>
  <si>
    <t xml:space="preserve">Memoria 
Si, y los sigo experimentando = 1
Si, pero ya no los tengo = 2
No = 3
</t>
  </si>
  <si>
    <t xml:space="preserve">Atencion
Si, y los sigo experimentando = 1
Si, pero ya no los tengo = 2
No = 3
</t>
  </si>
  <si>
    <t>Presion alta</t>
  </si>
  <si>
    <t>Diabetes</t>
  </si>
  <si>
    <t>Asma</t>
  </si>
  <si>
    <t>Colesterol alto</t>
  </si>
  <si>
    <t>Infarto cardiaco</t>
  </si>
  <si>
    <t>Angina de pecho</t>
  </si>
  <si>
    <t>Embolia o trombosis?</t>
  </si>
  <si>
    <t>Medicacion por presion arterial</t>
  </si>
  <si>
    <t>Aspirinas</t>
  </si>
  <si>
    <t>Antiagregantes</t>
  </si>
  <si>
    <t>Otro problema médico?</t>
  </si>
  <si>
    <t>Cual/es?</t>
  </si>
  <si>
    <t xml:space="preserve">Es usted fumador? </t>
  </si>
  <si>
    <t>Cigarrillos por dia</t>
  </si>
  <si>
    <t>Hace cuanto fuma (AÑOS)</t>
  </si>
  <si>
    <t>Caso ex fumador: hace cuanto (AÑOS) dejó?</t>
  </si>
  <si>
    <t>Toma bebidas alcoholicas?</t>
  </si>
  <si>
    <t>Cuantas unidades por día/por fin de semana</t>
  </si>
  <si>
    <t>1 = No problems
2 = Slight problems
3 = Moderate problems
4 = Severe problems
5 = Unable to
9 = Missing value</t>
  </si>
  <si>
    <t>5-digit
code for
EQ-5D-5L</t>
  </si>
  <si>
    <t>1= nunca
2= algunas veces 
3= regularmente 
4=a menudo 
5= siempre</t>
  </si>
  <si>
    <t>puntaje al reves</t>
  </si>
  <si>
    <t>FAS puntuación final–</t>
  </si>
  <si>
    <t>FAS scores 10 – 21: no fatigue (normal)
– FAS scores 22 – 50: substantial fatigue
2 subgroups:
       fatigue: scores 22-34 
       extreme fatigue: scores ≥ 35</t>
  </si>
  <si>
    <t>dias</t>
  </si>
  <si>
    <t>horas</t>
  </si>
  <si>
    <t>minutos</t>
  </si>
  <si>
    <t>IPAQ PUNTUACIÓN FINAL</t>
  </si>
  <si>
    <t>DIAS DE ACTIVIDAD</t>
  </si>
  <si>
    <t>CALCULO DE CATEGRÍA</t>
  </si>
  <si>
    <t>First, recode Q2 into Q2new thusly:
IF Q2 &gt; 0 and &lt; 15, THEN set value of Q2new to 0
IF Q2 &gt; 15 and &lt; 30, THEN set value of Q2new to 1
IF Q2 &gt; 30 and &lt; 60, THEN set value of Q2new to 2
IF Q2 &gt; 60, THEN set value of Q2new to 3</t>
  </si>
  <si>
    <t>min</t>
  </si>
  <si>
    <t>Diffhour = Difference in seconds between times for Bed Time (Q1) and
Getting Up Time (Q3)  / 3600</t>
  </si>
  <si>
    <t>(0,1,2, 3)</t>
  </si>
  <si>
    <t>tmphse = (Q4 / newtib) * 100</t>
  </si>
  <si>
    <t>IF Q4 &gt; 7, THEN set value to 0
IF Q4 &lt; 7 and &gt; 6, THEN set value to 1
IF Q4 &lt; 6 and &gt; 5, THEN set value to 2
IF Q4 &lt; 5, THEN set value to 3</t>
  </si>
  <si>
    <t>IF Q5b + Q5c + Q5d + Q5e + Q5f + Q5g + Q5h + Q5i + Q5j (IF Q5JCOM is null
or Q5j is null, set the value of Q5j to 0) = 0, THEN set value to 0
IF Q5b + Q5c + Q5d + Q5e + Q5f + Q5g + Q5h + Q5i + Q5j (IF Q5JCOM is null
or Q5j is null, set the value of Q5j to 0) &gt; 1 and &lt; 9, THEN set value to 1
IF Q5b + Q5c + Q5d + Q5e + Q5f + Q5g + Q5h + Q5i + Q5j (IF Q5JCOM is null
or Q5j is null, set the value of Q5j to 0) &gt; 9 and &lt; 18, THEN set value to 2
IF Q5b + Q5c + Q5d + Q5e + Q5f + Q5g + Q5h + Q5i + Q5j (IF Q5JCOM is null
or Q5j is null, set the value of Q5j to 0) &gt; 18, THEN set value to 3
Minimum Score = 0 (better); Maximum Score = 3 (worse)</t>
  </si>
  <si>
    <t>IF Q5a + Q2new = 0, THEN set value to 0
IF Q5a + Q2new &gt; 1 and &lt; 2, THEN set value to 1
IF Q5a + Q2new &gt; 3 and &lt; 4, THEN set value to 2
IF Q5a + Q2new &gt; 5 and &lt; 6, THEN set value to 3</t>
  </si>
  <si>
    <t>IF Q8 + Q9 = 0, THEN set value to 0
IF Q8 + Q9 &gt; 1 and &lt; 2, THEN set value to 1
IF Q8 + Q9 &gt; 3 and &lt; 4, THEN set value to 2
IF Q8 + Q9 &gt; 5 and &lt; 6, THEN set value to 3</t>
  </si>
  <si>
    <t>IF tmphse &gt; 85, THEN set value to 0
IF tmphse &lt; 85 and &gt; 75, THEN set value to 1
IF tmphse &lt; 75 and &gt; 65, THEN set value to 2
IF tmphse &lt; 65, THEN set value to 3
Minimum Score = 0 (better); Maximum Score = 3 (worse)</t>
  </si>
  <si>
    <t>Q6
Minimum Score = 0 (better); Maximum Score = 3 (worse)</t>
  </si>
  <si>
    <t>Q7
Minimum Score = 0 (better); Maximum Score = 3 (worse)</t>
  </si>
  <si>
    <t>DURAT + DISTB + LATEN + DAYDYS + HSE + SLPQUAL + MEDS Minimum
Score = 0 (better); Maximum Score = 21 (worse)
Interpretation: TOTAL &lt; 5 associated with good sleep quality
TOTAL &gt; 5 associated with poor sleep quality</t>
  </si>
  <si>
    <t>PSQI
"DURAT + DISTB + LATEN + DAYDYS + HSE + SLPQUAL + MEDS Minimum
Score = 0 (better); Maximum Score = 21 (worse)
Interpretation: TOTAL &lt; 5 associated with good sleep quality
TOTAL &gt; 5 associated with poor sleep quality"
7</t>
  </si>
  <si>
    <t>CP0001</t>
  </si>
  <si>
    <t>CONTROL</t>
  </si>
  <si>
    <t>F</t>
  </si>
  <si>
    <t>SI</t>
  </si>
  <si>
    <t>NO</t>
  </si>
  <si>
    <t>NaN</t>
  </si>
  <si>
    <t>gastritis</t>
  </si>
  <si>
    <t>los fines de semana</t>
  </si>
  <si>
    <t>Pareja</t>
  </si>
  <si>
    <t>ALQUILADO</t>
  </si>
  <si>
    <t>Posgrado</t>
  </si>
  <si>
    <t>Trabajando tiempo completo</t>
  </si>
  <si>
    <t>No se aplica</t>
  </si>
  <si>
    <t>Asalariado formal</t>
  </si>
  <si>
    <t>CP0002</t>
  </si>
  <si>
    <t>completamente</t>
  </si>
  <si>
    <t>le hizo mal el aisalmiento</t>
  </si>
  <si>
    <t>No</t>
  </si>
  <si>
    <t>PROPIO</t>
  </si>
  <si>
    <t>Terciario completo</t>
  </si>
  <si>
    <t>CP0003</t>
  </si>
  <si>
    <t>Pareja e hijos</t>
  </si>
  <si>
    <t>Primario completo</t>
  </si>
  <si>
    <t>Actividad económica familiar sin remuneracion fija</t>
  </si>
  <si>
    <t>CP0004</t>
  </si>
  <si>
    <t>M</t>
  </si>
  <si>
    <t>CP0005</t>
  </si>
  <si>
    <t>Hijos</t>
  </si>
  <si>
    <t>3 o más</t>
  </si>
  <si>
    <t>Universitario completo</t>
  </si>
  <si>
    <t>empleador</t>
  </si>
  <si>
    <t>CP0006</t>
  </si>
  <si>
    <t>alergia ambiental</t>
  </si>
  <si>
    <t xml:space="preserve">Familia de origen </t>
  </si>
  <si>
    <t>Secundario completo</t>
  </si>
  <si>
    <t>CP0007</t>
  </si>
  <si>
    <t>CP0008</t>
  </si>
  <si>
    <t>EX FUMADOR</t>
  </si>
  <si>
    <t>Pareja e hijo/a</t>
  </si>
  <si>
    <t>Universitario incompleto</t>
  </si>
  <si>
    <t>CP0009</t>
  </si>
  <si>
    <t>mareos</t>
  </si>
  <si>
    <t xml:space="preserve">dolor muscular, solor articular </t>
  </si>
  <si>
    <t>la despierta el gato</t>
  </si>
  <si>
    <t>Trabajando medio tiempo</t>
  </si>
  <si>
    <t>CP0010</t>
  </si>
  <si>
    <t>CP0012</t>
  </si>
  <si>
    <t>COVID</t>
  </si>
  <si>
    <t>No mucho</t>
  </si>
  <si>
    <t>hipotiroidismo</t>
  </si>
  <si>
    <t>Terciario incompleto</t>
  </si>
  <si>
    <t>CP0013</t>
  </si>
  <si>
    <t>gastritis, colon irritable</t>
  </si>
  <si>
    <t>Pareja y otros</t>
  </si>
  <si>
    <t>CP0014</t>
  </si>
  <si>
    <t>parcialmente</t>
  </si>
  <si>
    <t>tr circulatorio en las piernas</t>
  </si>
  <si>
    <t>Pareja e hijo</t>
  </si>
  <si>
    <t>CP0017</t>
  </si>
  <si>
    <t>dolor de garganta, dolor de espalda, broncoespasmo, licencia luego de 8 meses</t>
  </si>
  <si>
    <t>miocarditis</t>
  </si>
  <si>
    <t>CP0019</t>
  </si>
  <si>
    <t>para nada</t>
  </si>
  <si>
    <t>EPOC, gastritis</t>
  </si>
  <si>
    <t>todos los días</t>
  </si>
  <si>
    <t>ansiedad</t>
  </si>
  <si>
    <t>CP0020</t>
  </si>
  <si>
    <t>depresion, problema nasal</t>
  </si>
  <si>
    <t xml:space="preserve">hace 2 meses </t>
  </si>
  <si>
    <t>familia de origen</t>
  </si>
  <si>
    <t>buscó trabajo en últimos 2 meses</t>
  </si>
  <si>
    <t>CP0021</t>
  </si>
  <si>
    <t>desgano animico</t>
  </si>
  <si>
    <t>lidiasis vesicular</t>
  </si>
  <si>
    <t>Secundario incompleto</t>
  </si>
  <si>
    <t>Asalariado ni efectivo ni contratado ("en negro")</t>
  </si>
  <si>
    <t>CP0022</t>
  </si>
  <si>
    <t>menor reconocimiento global</t>
  </si>
  <si>
    <t>talasemia/enf celiaca</t>
  </si>
  <si>
    <t>OTROS</t>
  </si>
  <si>
    <t>CP0023</t>
  </si>
  <si>
    <t>asma</t>
  </si>
  <si>
    <t>CP0024</t>
  </si>
  <si>
    <t>desorientacion en la calle</t>
  </si>
  <si>
    <t>hipotiroidismo, IRC, alergia respiratoria</t>
  </si>
  <si>
    <t>PRESTADO</t>
  </si>
  <si>
    <t>CP0025</t>
  </si>
  <si>
    <t>la paciente diferencia los sintomas de AR previos y los causados por covid</t>
  </si>
  <si>
    <t>AR tratada con dieta y ejercicio</t>
  </si>
  <si>
    <t>CP0026</t>
  </si>
  <si>
    <t>anemia</t>
  </si>
  <si>
    <t>Haciendo tareas del hogar</t>
  </si>
  <si>
    <t>CP0027</t>
  </si>
  <si>
    <t>toma metilf para la (achequear)</t>
  </si>
  <si>
    <t>Estudiando</t>
  </si>
  <si>
    <t>CP0028</t>
  </si>
  <si>
    <t>perdiO a su esposo en pandemia por COVID</t>
  </si>
  <si>
    <t>cancer de cuello de utero</t>
  </si>
  <si>
    <t>CP0029</t>
  </si>
  <si>
    <t>CP0030</t>
  </si>
  <si>
    <t>otros sintomas no relacionados al covid</t>
  </si>
  <si>
    <t>hipotiroidismo, fibromialgia</t>
  </si>
  <si>
    <t>Desocupado y buscó trabajo en últimos 2 meses</t>
  </si>
  <si>
    <t>CP0031</t>
  </si>
  <si>
    <t>HTA . DISLIPEMIA</t>
  </si>
  <si>
    <t>CP0032</t>
  </si>
  <si>
    <t>Pareja e Hijos</t>
  </si>
  <si>
    <t>No se/prefiero no contestar</t>
  </si>
  <si>
    <t>CP0033</t>
  </si>
  <si>
    <t>CP0035</t>
  </si>
  <si>
    <t>afeccioon, gasto intestinal, diarrea</t>
  </si>
  <si>
    <t>dolor cronico, depresion y ansiedad, broncoespasmo</t>
  </si>
  <si>
    <t>el gato</t>
  </si>
  <si>
    <t>CP0036</t>
  </si>
  <si>
    <t>CP0037</t>
  </si>
  <si>
    <t>hipotiroidismo, y algo q no entiendo</t>
  </si>
  <si>
    <t>perro</t>
  </si>
  <si>
    <t>CP0038</t>
  </si>
  <si>
    <t>arritmia</t>
  </si>
  <si>
    <t>Familia de origen</t>
  </si>
  <si>
    <t>Otro</t>
  </si>
  <si>
    <t>CP0039</t>
  </si>
  <si>
    <t>CP0040</t>
  </si>
  <si>
    <t>alergia</t>
  </si>
  <si>
    <t>Cuidando familiar enfermo</t>
  </si>
  <si>
    <t>CP0041</t>
  </si>
  <si>
    <t>vegiga hiperactiva</t>
  </si>
  <si>
    <t>CP0042</t>
  </si>
  <si>
    <t>insuficiencia venosa perfierica</t>
  </si>
  <si>
    <t>PAreja</t>
  </si>
  <si>
    <t>CP0043</t>
  </si>
  <si>
    <t>insulino resistente</t>
  </si>
  <si>
    <t>e hijos</t>
  </si>
  <si>
    <t>Jubilado</t>
  </si>
  <si>
    <t>CP0044</t>
  </si>
  <si>
    <t>sueño excesivo</t>
  </si>
  <si>
    <t>tratamiento cronico por trasplante renal</t>
  </si>
  <si>
    <t>CP0045</t>
  </si>
  <si>
    <t>crisis de angustia</t>
  </si>
  <si>
    <t>compromiso cardiaco (marcapasos) y renal</t>
  </si>
  <si>
    <t>CP0046</t>
  </si>
  <si>
    <t>problemas cardiacos, arritmia</t>
  </si>
  <si>
    <t>salidas de los hiujos</t>
  </si>
  <si>
    <t>CP0048</t>
  </si>
  <si>
    <t>acufenos en oido izq en primer infeccion</t>
  </si>
  <si>
    <t>sueño liviano</t>
  </si>
  <si>
    <t>CP0049</t>
  </si>
  <si>
    <t>articulares tendinosos</t>
  </si>
  <si>
    <t>social/ocacional</t>
  </si>
  <si>
    <t>CP0050</t>
  </si>
  <si>
    <t>dolor articular</t>
  </si>
  <si>
    <t>mascotas</t>
  </si>
  <si>
    <t>Pareja , hijos y otros</t>
  </si>
  <si>
    <t>CP0052</t>
  </si>
  <si>
    <t>CP0053</t>
  </si>
  <si>
    <t>CP0054</t>
  </si>
  <si>
    <t>HTA, TB flecha para arriba, fibromialgia (?)</t>
  </si>
  <si>
    <t>sensacion de ahogo</t>
  </si>
  <si>
    <t>Pareja, familia de origen e hijos</t>
  </si>
  <si>
    <t>Licencia</t>
  </si>
  <si>
    <t>CP0055</t>
  </si>
  <si>
    <t>toma pantoprazol como protector gastrico</t>
  </si>
  <si>
    <t>ruidos fuertes</t>
  </si>
  <si>
    <t>CP0056</t>
  </si>
  <si>
    <t xml:space="preserve">mioclonías nocturnas </t>
  </si>
  <si>
    <t>"sobresaltos"</t>
  </si>
  <si>
    <t>CP0059</t>
  </si>
  <si>
    <t>reemplaza palabras, faltas de ortografia, duda sobre como escribir</t>
  </si>
  <si>
    <t>depresión</t>
  </si>
  <si>
    <t>el perro</t>
  </si>
  <si>
    <t>CP0060</t>
  </si>
  <si>
    <t>animo depresivo, perdio la capacidad de funcionar multitask</t>
  </si>
  <si>
    <t>CP0061</t>
  </si>
  <si>
    <t>CP0062</t>
  </si>
  <si>
    <t>CP0064</t>
  </si>
  <si>
    <t>caida de cabello, dolor lumbar</t>
  </si>
  <si>
    <t>ruidos</t>
  </si>
  <si>
    <t>CP0065</t>
  </si>
  <si>
    <t>cansancio</t>
  </si>
  <si>
    <t>controles por ca colon resueto</t>
  </si>
  <si>
    <t>Ex pareja e hijos</t>
  </si>
  <si>
    <t>CP0066</t>
  </si>
  <si>
    <t>ruidos externos</t>
  </si>
  <si>
    <t>CP0067</t>
  </si>
  <si>
    <t>tos, dolor en las manos, (creo que es muscular)</t>
  </si>
  <si>
    <t>CP0068</t>
  </si>
  <si>
    <t xml:space="preserve">Pareja </t>
  </si>
  <si>
    <t>CP0069</t>
  </si>
  <si>
    <t>dolor ariticular</t>
  </si>
  <si>
    <t>CP0070</t>
  </si>
  <si>
    <t>dificultad para pensar</t>
  </si>
  <si>
    <t>CP0071</t>
  </si>
  <si>
    <t xml:space="preserve">problemas visuales: no enfoca, ve borroso. dolor articular en manos. </t>
  </si>
  <si>
    <t>fibromialgia (2019)  y fatiga cronica post covis</t>
  </si>
  <si>
    <t>parestesias manos y piernas</t>
  </si>
  <si>
    <t>Desocupado y no buscó trabajo en últimos 2 meses</t>
  </si>
  <si>
    <t>CP0072</t>
  </si>
  <si>
    <t>ataques de panico, depresion</t>
  </si>
  <si>
    <t>HTA - depresion -panico</t>
  </si>
  <si>
    <t>CP0073</t>
  </si>
  <si>
    <t>Pareja e HIJOS</t>
  </si>
  <si>
    <t>CP0074</t>
  </si>
  <si>
    <t>problemas en las articulaciones, depresion, miedos</t>
  </si>
  <si>
    <t>HTA, trasplantado renal</t>
  </si>
  <si>
    <t>2 por semana</t>
  </si>
  <si>
    <t>dormir de noche</t>
  </si>
  <si>
    <t>Primario incompleto</t>
  </si>
  <si>
    <t>Reposo por enfermedad</t>
  </si>
  <si>
    <t>CP0075</t>
  </si>
  <si>
    <t>Colon irritable, trastorno de ansiedad</t>
  </si>
  <si>
    <t>CP0076</t>
  </si>
  <si>
    <t>rinitis persistente</t>
  </si>
  <si>
    <t>VIH, depresion, osteoporosis, hipotiroidismo</t>
  </si>
  <si>
    <t>HIJOS y otros</t>
  </si>
  <si>
    <t>CP0078</t>
  </si>
  <si>
    <t>dolor articular en rodillas</t>
  </si>
  <si>
    <t>hipertiroidismo</t>
  </si>
  <si>
    <t>neurismo</t>
  </si>
  <si>
    <t>CP0079</t>
  </si>
  <si>
    <t>CP0080</t>
  </si>
  <si>
    <t>bebe</t>
  </si>
  <si>
    <t>PAREJA E HIJOS</t>
  </si>
  <si>
    <t>CP0081</t>
  </si>
  <si>
    <t>CP0082</t>
  </si>
  <si>
    <t>arritmia, esguince</t>
  </si>
  <si>
    <t>problemas pendientes</t>
  </si>
  <si>
    <t>HIJOS</t>
  </si>
  <si>
    <t>CP0084</t>
  </si>
  <si>
    <t>CP0085</t>
  </si>
  <si>
    <t>CP0086</t>
  </si>
  <si>
    <t>CP0088</t>
  </si>
  <si>
    <t>CP0089</t>
  </si>
  <si>
    <t>dejo asma residual que requirió tratamiento hasta abril 2023</t>
  </si>
  <si>
    <t>CP0090</t>
  </si>
  <si>
    <t>duerme mas</t>
  </si>
  <si>
    <t>CP0091</t>
  </si>
  <si>
    <t>CP0092</t>
  </si>
  <si>
    <t>CP0093</t>
  </si>
  <si>
    <t>problemas pulmonares, se infecta muy seguido</t>
  </si>
  <si>
    <t>depresion en tratamiento</t>
  </si>
  <si>
    <t>CP0094</t>
  </si>
  <si>
    <t>episodios aislados de HTA</t>
  </si>
  <si>
    <t>CP0096</t>
  </si>
  <si>
    <t>CP0097</t>
  </si>
  <si>
    <t>CP0098</t>
  </si>
  <si>
    <t xml:space="preserve">algo de diabetes preguntar a andrea </t>
  </si>
  <si>
    <t>CP0099</t>
  </si>
  <si>
    <t>CP0100</t>
  </si>
  <si>
    <t>compromiso del deseo sexual</t>
  </si>
  <si>
    <t>enfermedad diverticular</t>
  </si>
  <si>
    <t>Hijo/a</t>
  </si>
  <si>
    <t>CP0101</t>
  </si>
  <si>
    <t>la luz</t>
  </si>
  <si>
    <t>CP0105</t>
  </si>
  <si>
    <t>andrea</t>
  </si>
  <si>
    <t>CP0107</t>
  </si>
  <si>
    <t>odinofagias a repeticion</t>
  </si>
  <si>
    <t>lumbalgia</t>
  </si>
  <si>
    <t>CP0108</t>
  </si>
  <si>
    <t>CP0109</t>
  </si>
  <si>
    <t>dolores articulares</t>
  </si>
  <si>
    <t>CP0110</t>
  </si>
  <si>
    <t>CP0111</t>
  </si>
  <si>
    <t>no</t>
  </si>
  <si>
    <t xml:space="preserve">alergia y transtorno de ansiedad </t>
  </si>
  <si>
    <t xml:space="preserve">los gatos </t>
  </si>
  <si>
    <t>pareja y otros</t>
  </si>
  <si>
    <t>CP0112</t>
  </si>
  <si>
    <t>TOS SECA</t>
  </si>
  <si>
    <t xml:space="preserve">madre hace 20 dias </t>
  </si>
  <si>
    <t>Pareja e HIjos</t>
  </si>
  <si>
    <t>CP0113</t>
  </si>
  <si>
    <t>ENALAPRIL 10MOG/DIA</t>
  </si>
  <si>
    <t>PERRO</t>
  </si>
  <si>
    <t>PAREJA E HIjos</t>
  </si>
  <si>
    <t>CP0114</t>
  </si>
  <si>
    <t xml:space="preserve">disminución de agudeza visual </t>
  </si>
  <si>
    <t>mascota</t>
  </si>
  <si>
    <t>CP0115</t>
  </si>
  <si>
    <t xml:space="preserve">PESADEZ CORPORAL </t>
  </si>
  <si>
    <t>EPILEPSIA</t>
  </si>
  <si>
    <t>SUSTO</t>
  </si>
  <si>
    <t>monotributista contratada</t>
  </si>
  <si>
    <t>CP0116</t>
  </si>
  <si>
    <t>CP0117</t>
  </si>
  <si>
    <t>arritmia hace 6 meses</t>
  </si>
  <si>
    <t>CP0118</t>
  </si>
  <si>
    <t>dolor dorsal y en costillas</t>
  </si>
  <si>
    <t>reuidos externos</t>
  </si>
  <si>
    <t>CP0121</t>
  </si>
  <si>
    <t>CP0122</t>
  </si>
  <si>
    <t>CP0123</t>
  </si>
  <si>
    <t>depresion tratada</t>
  </si>
  <si>
    <t>hambre</t>
  </si>
  <si>
    <t>CP0124</t>
  </si>
  <si>
    <t>CP0125</t>
  </si>
  <si>
    <t>carcinoma de mama en tto</t>
  </si>
  <si>
    <t>CP0126</t>
  </si>
  <si>
    <t xml:space="preserve">Familia de origen Familia e hijos </t>
  </si>
  <si>
    <t>CP0127</t>
  </si>
  <si>
    <t>hipotiroidismo y talasemia</t>
  </si>
  <si>
    <t>CP0128</t>
  </si>
  <si>
    <t>dolor oseo y articular</t>
  </si>
  <si>
    <t>dislipidemia</t>
  </si>
  <si>
    <t>CP0131</t>
  </si>
  <si>
    <t>Familia de origen e hijos</t>
  </si>
  <si>
    <t>CP0133</t>
  </si>
  <si>
    <t>paralisis de seño</t>
  </si>
  <si>
    <t>CP0134</t>
  </si>
  <si>
    <t>tendinitis</t>
  </si>
  <si>
    <t>Pareja y amigos</t>
  </si>
  <si>
    <t>CP0135</t>
  </si>
  <si>
    <t>CP0136</t>
  </si>
  <si>
    <t>HTA border, disipemia border</t>
  </si>
  <si>
    <t>CP0138</t>
  </si>
  <si>
    <t>escribe mal, altera frases o palabras</t>
  </si>
  <si>
    <t>E. de hasl... andrea</t>
  </si>
  <si>
    <t>el marido</t>
  </si>
  <si>
    <t>CP0139</t>
  </si>
  <si>
    <t>Level 1</t>
  </si>
  <si>
    <t>CP0140</t>
  </si>
  <si>
    <t>articulaciones</t>
  </si>
  <si>
    <t>CP0141</t>
  </si>
  <si>
    <t xml:space="preserve">olvidos/concentracion </t>
  </si>
  <si>
    <t>CP0142</t>
  </si>
  <si>
    <t>artrosis? andrea</t>
  </si>
  <si>
    <t>CP0143</t>
  </si>
  <si>
    <t>Hijos y otros</t>
  </si>
  <si>
    <t>CP0145</t>
  </si>
  <si>
    <t xml:space="preserve">dolor en rodillas </t>
  </si>
  <si>
    <t>comer</t>
  </si>
  <si>
    <t>CP0146</t>
  </si>
  <si>
    <t>ausencias, desorientacion de seg de duracion</t>
  </si>
  <si>
    <t>inflamacion intestinal</t>
  </si>
  <si>
    <t>cambio de forma de dormir (boca arriba)</t>
  </si>
  <si>
    <t>CP0147</t>
  </si>
  <si>
    <t xml:space="preserve">pérdida de visión </t>
  </si>
  <si>
    <t>falta un riñon, cefalea</t>
  </si>
  <si>
    <t>Servicio doméstico</t>
  </si>
  <si>
    <t>CP0148</t>
  </si>
  <si>
    <t>04/20</t>
  </si>
  <si>
    <t>15 dias</t>
  </si>
  <si>
    <t>reinterna con 2do covid +</t>
  </si>
  <si>
    <t>CP0149</t>
  </si>
  <si>
    <t>le falta lucidez</t>
  </si>
  <si>
    <t>CP0153</t>
  </si>
  <si>
    <t>CP0154</t>
  </si>
  <si>
    <t xml:space="preserve">palpitaciones </t>
  </si>
  <si>
    <t>la perra</t>
  </si>
  <si>
    <t>CP0156</t>
  </si>
  <si>
    <t>CP0157</t>
  </si>
  <si>
    <t>20-60</t>
  </si>
  <si>
    <t>CP0158</t>
  </si>
  <si>
    <t xml:space="preserve">problemas para escribir (invierte letras o sílabas o faltan) </t>
  </si>
  <si>
    <t xml:space="preserve">Celíaca - TOC </t>
  </si>
  <si>
    <t xml:space="preserve">los animales </t>
  </si>
  <si>
    <t>CP0159</t>
  </si>
  <si>
    <t>60-90</t>
  </si>
  <si>
    <t>reflujo</t>
  </si>
  <si>
    <t>Familia de origen/hijos</t>
  </si>
  <si>
    <t>CP0160</t>
  </si>
  <si>
    <t>Pareja / Hijos</t>
  </si>
  <si>
    <t>CP0161</t>
  </si>
  <si>
    <t>CP0162</t>
  </si>
  <si>
    <t>CP0163</t>
  </si>
  <si>
    <t>Bochornos</t>
  </si>
  <si>
    <t>CP0165</t>
  </si>
  <si>
    <t xml:space="preserve">artrosis en estudio x reumatología </t>
  </si>
  <si>
    <t>hijos</t>
  </si>
  <si>
    <t>CP0166</t>
  </si>
  <si>
    <t>AR</t>
  </si>
  <si>
    <t>Familia de origen y Pareja</t>
  </si>
  <si>
    <t>CP0167</t>
  </si>
  <si>
    <t>tratamiento dolor articular, ya no lo tiene</t>
  </si>
  <si>
    <t>Creencias</t>
  </si>
  <si>
    <t>CP0168</t>
  </si>
  <si>
    <t>desde el covid da muchas vueltas para responder, no puede decir si o no</t>
  </si>
  <si>
    <t>hipo tension arterial un evento</t>
  </si>
  <si>
    <t>CP0169</t>
  </si>
  <si>
    <t>importante! la fibromialgia impacta en los sintomas pero fue post covid el siagnostico. migraña previa empeorada y sin respuesta a farmacos en dolor de cabeza, y reagudizado con segundo evento en falta de aire</t>
  </si>
  <si>
    <t xml:space="preserve">fibriomialgia, escleroderma. suspendio la medicasion por presion por efectos adversos. </t>
  </si>
  <si>
    <t>Medicacion indicada</t>
  </si>
  <si>
    <t>CP0170</t>
  </si>
  <si>
    <t>manchas en la piel y caspa por estres</t>
  </si>
  <si>
    <t>CP0171</t>
  </si>
  <si>
    <t>si, afecto tanto lo fisico como lo psicologico en una de mis internaciones estuve muy mal</t>
  </si>
  <si>
    <t>hemorragias, anemia cronica, tranfusiones etc</t>
  </si>
  <si>
    <t>CP0172</t>
  </si>
  <si>
    <t>dolor articular y tratamiento. se recupero y tinitus permanece</t>
  </si>
  <si>
    <t>el padre se levanta de noche</t>
  </si>
  <si>
    <t>CP0173</t>
  </si>
  <si>
    <t>infecciones urinarias a repeticion</t>
  </si>
  <si>
    <t>CP0174</t>
  </si>
  <si>
    <t>CP0175</t>
  </si>
  <si>
    <t>fibromialgia</t>
  </si>
  <si>
    <t>CP0176</t>
  </si>
  <si>
    <t>TR animo. tratado con escitalofram</t>
  </si>
  <si>
    <t>hijo</t>
  </si>
  <si>
    <t>CP0177</t>
  </si>
  <si>
    <t>CP0178</t>
  </si>
  <si>
    <t>la hija se pasa a su cama</t>
  </si>
  <si>
    <t>CP0180</t>
  </si>
  <si>
    <t>ardor en MMII</t>
  </si>
  <si>
    <t>epilepsia</t>
  </si>
  <si>
    <t>CP0181</t>
  </si>
  <si>
    <t>CP0182</t>
  </si>
  <si>
    <t>quedo mas estresada</t>
  </si>
  <si>
    <t>enf celiana</t>
  </si>
  <si>
    <t>pensamientos</t>
  </si>
  <si>
    <t>Familia de origen, pareja e hijos</t>
  </si>
  <si>
    <t>CP0183</t>
  </si>
  <si>
    <t>le cuesta ver de cerca</t>
  </si>
  <si>
    <t>CP0185</t>
  </si>
  <si>
    <t>hipotiroidismo / represion</t>
  </si>
  <si>
    <t>CP0186</t>
  </si>
  <si>
    <t>CP0187</t>
  </si>
  <si>
    <t>laringitis</t>
  </si>
  <si>
    <t>problemas para dormir</t>
  </si>
  <si>
    <t>CP0188</t>
  </si>
  <si>
    <t>Esofagitis - hipotiroidismo</t>
  </si>
  <si>
    <t>CP0189</t>
  </si>
  <si>
    <t>caida de cabello, dismunicino de agudeza visual</t>
  </si>
  <si>
    <t>CP0190</t>
  </si>
  <si>
    <t>dolores en la espalda</t>
  </si>
  <si>
    <t>alergias</t>
  </si>
  <si>
    <t>CP0191</t>
  </si>
  <si>
    <t xml:space="preserve">problemas </t>
  </si>
  <si>
    <t>CP0192</t>
  </si>
  <si>
    <t>migraña</t>
  </si>
  <si>
    <t>CP0194</t>
  </si>
  <si>
    <t xml:space="preserve">microadenoma de hipófisis </t>
  </si>
  <si>
    <t>CP0195</t>
  </si>
  <si>
    <t>&gt;20</t>
  </si>
  <si>
    <t>CP0196</t>
  </si>
  <si>
    <t>periodo menstrual mas prolongado</t>
  </si>
  <si>
    <t>CP0197</t>
  </si>
  <si>
    <t>CP0198</t>
  </si>
  <si>
    <t>ARTRITIS REUMASOIDEA</t>
  </si>
  <si>
    <t>hijos/otros</t>
  </si>
  <si>
    <t>CP0199</t>
  </si>
  <si>
    <t>los resfrios duran mas, mas sensible a infecciones</t>
  </si>
  <si>
    <t>Si</t>
  </si>
  <si>
    <t>CP0200</t>
  </si>
  <si>
    <t>CP0201</t>
  </si>
  <si>
    <t>PAREJA</t>
  </si>
  <si>
    <t>CP0202</t>
  </si>
  <si>
    <t xml:space="preserve">fractura de talon operado 3/7/24 (aun enyesado) </t>
  </si>
  <si>
    <t xml:space="preserve">despertar a la hija </t>
  </si>
  <si>
    <t>CP0203</t>
  </si>
  <si>
    <t xml:space="preserve">molestias en la garganta, problemas en la voz </t>
  </si>
  <si>
    <t xml:space="preserve">episodio depresivo en tratamiento </t>
  </si>
  <si>
    <t xml:space="preserve">problemas personales </t>
  </si>
  <si>
    <t>CP0204</t>
  </si>
  <si>
    <t xml:space="preserve">HIJOS  </t>
  </si>
  <si>
    <t>CP0205</t>
  </si>
  <si>
    <t xml:space="preserve">familia de origen </t>
  </si>
  <si>
    <t>CP0206</t>
  </si>
  <si>
    <t>TR. VISUALES</t>
  </si>
  <si>
    <t>despertar a la hija</t>
  </si>
  <si>
    <t>familia de origen / hijos</t>
  </si>
  <si>
    <t>CP0207</t>
  </si>
  <si>
    <t>caida del cabello</t>
  </si>
  <si>
    <t>insomio</t>
  </si>
  <si>
    <t>pareja e hijos</t>
  </si>
  <si>
    <t>CP0208</t>
  </si>
  <si>
    <t>preocupaciones</t>
  </si>
  <si>
    <t>pareja</t>
  </si>
  <si>
    <t>CP0209</t>
  </si>
  <si>
    <t>Familia de Origen</t>
  </si>
  <si>
    <t>CP0210</t>
  </si>
  <si>
    <t>CP0211</t>
  </si>
  <si>
    <t xml:space="preserve">Varices, Onicomicosis bajo tratamiento con Itraconazol </t>
  </si>
  <si>
    <t>ruidos extremos</t>
  </si>
  <si>
    <t>CP0212</t>
  </si>
  <si>
    <t>ataques de ansiedad</t>
  </si>
  <si>
    <t>arrtitmio bajo tio c alquemos</t>
  </si>
  <si>
    <t>CP0213</t>
  </si>
  <si>
    <t xml:space="preserve">alergia </t>
  </si>
  <si>
    <t>CP0214</t>
  </si>
  <si>
    <t>CP0215</t>
  </si>
  <si>
    <t>se enferma mas que antes del sistema respiratorio</t>
  </si>
  <si>
    <t>CP0216</t>
  </si>
  <si>
    <t>CP0217</t>
  </si>
  <si>
    <t>gripecita</t>
  </si>
  <si>
    <t>Pensionado</t>
  </si>
  <si>
    <t>CP0218</t>
  </si>
  <si>
    <t>perdida visual</t>
  </si>
  <si>
    <t>menopausia</t>
  </si>
  <si>
    <t>ansiedad/preocupaciones+</t>
  </si>
  <si>
    <t>Hijo/as</t>
  </si>
  <si>
    <t>CP0219</t>
  </si>
  <si>
    <t>dolor de columna dorsal intenso</t>
  </si>
  <si>
    <t>varices</t>
  </si>
  <si>
    <t>otros</t>
  </si>
  <si>
    <t>Propio</t>
  </si>
  <si>
    <t>CP0220</t>
  </si>
  <si>
    <t>completar</t>
  </si>
  <si>
    <t>sospecha de hipotirodisimo o fibromialgia</t>
  </si>
  <si>
    <t>CP0221</t>
  </si>
  <si>
    <t>olvidos</t>
  </si>
  <si>
    <t>CP0222</t>
  </si>
  <si>
    <t>CP0223</t>
  </si>
  <si>
    <t xml:space="preserve">mucosidad en garganta </t>
  </si>
  <si>
    <t>CP0224</t>
  </si>
  <si>
    <t>CP0225</t>
  </si>
  <si>
    <t>endometrosis/ansiedad/pánico</t>
  </si>
  <si>
    <t>apneas</t>
  </si>
  <si>
    <t>familia de origen e hijos</t>
  </si>
  <si>
    <t>CP0226</t>
  </si>
  <si>
    <t>CP0227</t>
  </si>
  <si>
    <t>CP0228</t>
  </si>
  <si>
    <t>IRC trasplantada hace 5 años</t>
  </si>
  <si>
    <t>N0</t>
  </si>
  <si>
    <t>CP0229</t>
  </si>
  <si>
    <t>IR en estudio</t>
  </si>
  <si>
    <t>CP0230</t>
  </si>
  <si>
    <t>infecciones respiratorias más fuertes</t>
  </si>
  <si>
    <t>dolor abdominal</t>
  </si>
  <si>
    <t>la cabeza no para</t>
  </si>
  <si>
    <t>CP0232</t>
  </si>
  <si>
    <t>CP0233</t>
  </si>
  <si>
    <t>ansiedad / panico</t>
  </si>
  <si>
    <t>CP0234</t>
  </si>
  <si>
    <t>dolor de pecho/angustia</t>
  </si>
  <si>
    <t>CP0235</t>
  </si>
  <si>
    <t>hipertension arterial por un año luego mejoro</t>
  </si>
  <si>
    <t>resfrio</t>
  </si>
  <si>
    <t>Familia de orginen, pareja e hijos</t>
  </si>
  <si>
    <t>CP0236</t>
  </si>
  <si>
    <t>ansiedad / ataques de panico</t>
  </si>
  <si>
    <t>sin motivo</t>
  </si>
  <si>
    <t>CP0237</t>
  </si>
  <si>
    <t>mayor cantidad de elementos de alergia / dolor articular</t>
  </si>
  <si>
    <t>espontaneamente</t>
  </si>
  <si>
    <t>CP0238</t>
  </si>
  <si>
    <t>lentitud</t>
  </si>
  <si>
    <t>CP0239</t>
  </si>
  <si>
    <t>CP0240</t>
  </si>
  <si>
    <t>CP0241</t>
  </si>
  <si>
    <t xml:space="preserve">Alergia </t>
  </si>
  <si>
    <t xml:space="preserve">Migraña </t>
  </si>
  <si>
    <t>se asusta</t>
  </si>
  <si>
    <t>Parja y amigos</t>
  </si>
  <si>
    <t>CP0242</t>
  </si>
  <si>
    <t xml:space="preserve">dolor muy fuerte en la espalda </t>
  </si>
  <si>
    <t>CP0244</t>
  </si>
  <si>
    <t>procupaciones</t>
  </si>
  <si>
    <t>CP0245</t>
  </si>
  <si>
    <t>depresion / osteoporosis / arttritis reumatoide</t>
  </si>
  <si>
    <t>CP0246</t>
  </si>
  <si>
    <t>la pareja</t>
  </si>
  <si>
    <t>CP0247</t>
  </si>
  <si>
    <t>fibrosis</t>
  </si>
  <si>
    <t>CP0249</t>
  </si>
  <si>
    <t>CP0250</t>
  </si>
  <si>
    <t xml:space="preserve">ID </t>
  </si>
  <si>
    <t>TMT- parte A</t>
  </si>
  <si>
    <t>TMT- parte B</t>
  </si>
  <si>
    <t>WMS-R digitos directos</t>
  </si>
  <si>
    <t>WMS-R digitos inversos</t>
  </si>
  <si>
    <t>STROOP_P</t>
  </si>
  <si>
    <t>STROOP_C</t>
  </si>
  <si>
    <t>STROOP_P/C</t>
  </si>
  <si>
    <t>STROOP_interf</t>
  </si>
  <si>
    <t>INTERF</t>
  </si>
  <si>
    <t>MOCA</t>
  </si>
  <si>
    <t>HADS</t>
  </si>
  <si>
    <t xml:space="preserve"> PHQ-9</t>
  </si>
  <si>
    <t>GAD7</t>
  </si>
  <si>
    <t>puntaje bruto</t>
  </si>
  <si>
    <t>valor de referencia</t>
  </si>
  <si>
    <t>rendimiento</t>
  </si>
  <si>
    <t>puntaje</t>
  </si>
  <si>
    <t>%</t>
  </si>
  <si>
    <t xml:space="preserve">depresión </t>
  </si>
  <si>
    <t>normal</t>
  </si>
  <si>
    <t>ausencia</t>
  </si>
  <si>
    <t>&lt;5</t>
  </si>
  <si>
    <t>disminuido</t>
  </si>
  <si>
    <t>moderada</t>
  </si>
  <si>
    <t>leve</t>
  </si>
  <si>
    <t>levemente disminuido</t>
  </si>
  <si>
    <t>probablemente significativa</t>
  </si>
  <si>
    <t>severa</t>
  </si>
  <si>
    <t>posible</t>
  </si>
  <si>
    <t>&gt;95</t>
  </si>
  <si>
    <t>&lt;2</t>
  </si>
  <si>
    <t>&lt;3</t>
  </si>
  <si>
    <t>DUDA</t>
  </si>
  <si>
    <t>Se hizo Resonancia</t>
  </si>
  <si>
    <t>Reporte Resonancia</t>
  </si>
  <si>
    <t xml:space="preserve">Impresión diagnóstica: </t>
  </si>
  <si>
    <t>Hallazgos</t>
  </si>
  <si>
    <t>Artefactos?</t>
  </si>
  <si>
    <t>Imágenes anatómicas de encéfalo sin hallazgos relevantes.</t>
  </si>
  <si>
    <t>Hallazgos anatómicos de escaso valor patológico a los fines del presente trabajo.</t>
  </si>
  <si>
    <t>Aisladas imágenes de hiperseñal en sustancia blanca subcortical fronto-parieto temporales bilaterales, inespecíficas.</t>
  </si>
  <si>
    <t xml:space="preserve">Hallazgos anatómicos de escaso valor patológico a los fines del presente trabajo.
 </t>
  </si>
  <si>
    <t>Aisladas hiperintensisdades subcorticales fronto parietales bilaterales de aspecto glióticas.</t>
  </si>
  <si>
    <t>CP0015</t>
  </si>
  <si>
    <t>CP0018</t>
  </si>
  <si>
    <t xml:space="preserve">Hallazgos anatómicos de escaso valor patológico a los fines del presente trabajo. 
</t>
  </si>
  <si>
    <t>Imagen de quiste aracnoideo/cisterna magna amplia en fosa posterior.</t>
  </si>
  <si>
    <t xml:space="preserve">Imágenes anatómicas de encéfalo sin hallazgos relevantes. 
</t>
  </si>
  <si>
    <t xml:space="preserve">Imágenes anatómicas de encéfalo sin hallazgos relevantes. </t>
  </si>
  <si>
    <t xml:space="preserve">Ailsádas hiperintensidades de señal en FLAIR de escasos milímetros, subcorticales fronto parietales, inespecíficas. </t>
  </si>
  <si>
    <t>Sistema ventricular supratentorial centrado, asimétrico de aspecto constitucional de mayor volumen el lateral derecho.</t>
  </si>
  <si>
    <t xml:space="preserve">CP0046 </t>
  </si>
  <si>
    <t>Aisladas hiperintensisdades subcorticales fronto parietales bilaterales de aspecto glióticas.Descenso del dorso selar con aplanamiento de la adenohipófisis. </t>
  </si>
  <si>
    <t>Artefacto de movimiento.</t>
  </si>
  <si>
    <t>Imagen sugerente de quiste de la glándula pineal de 6mm.</t>
  </si>
  <si>
    <t>Hallazgos imagenológicos que requieren continuar evaluación.</t>
  </si>
  <si>
    <t>Imagen de señal elevada FLAIR de 6mm en brazo anterior de cápsula externa derecha con baja señal T1.</t>
  </si>
  <si>
    <t xml:space="preserve">Imágenes anatómicas de encéfalo sin hallazgos relevantes. 
</t>
  </si>
  <si>
    <t>CP0087</t>
  </si>
  <si>
    <t>Aisladas hiperintensisdades subcorticales fronto parietales bilaterales de aspecto glióticas.
Los surcos, cisuras, cisternas silvianas y espacios interfoliares cerebelosos se encuentran
acordes a la edad del paciente.
Imágenes sugerentes de secuela vascular en hemisferio cerebeloso derecho, territorio de la
PICA. Hallazgos anatómicos de escaso valor patológico a los fines del presente trabajo.
Secuela vascular en cerebelo derecho.</t>
  </si>
  <si>
    <t xml:space="preserve">Descenso del dorso selar con aplanamiento de la adenohipófisis.
Se observa sustancia gris y blanca sin imágenes focales definidas ni cambios de señal significativos. </t>
  </si>
  <si>
    <t>Aislada hiperintensisdad de señal subcorticales frontal izquierda, inespecífica.</t>
  </si>
  <si>
    <t>Aisladas hiperintensisdades subcorticales fronto parietales bilaterales de aspecto inespecíficas.</t>
  </si>
  <si>
    <t xml:space="preserve">Ligero descenso del dorso selar con aplanamiento de la adenohipófisis. . Se observa sustancia gris y blanca sin imágenes focales definidas ni cambios de señal significativos. </t>
  </si>
  <si>
    <t xml:space="preserve">Impresiona neurohipófisis ectópica. Se observa sustancia gris y blanca sin imágenes focales definidas ni cambios de señal significativos. </t>
  </si>
  <si>
    <t>Hallazgos anatómicos relevantes que requieren continuar evaluación.</t>
  </si>
  <si>
    <t xml:space="preserve">Impresionan áreas de gliosis en la corteza occipital bilateral, con una ligera atrofia cortical. </t>
  </si>
  <si>
    <t xml:space="preserve">Imagen de señal intermedia con área central que impresiona líquida de 10 mm, en íntimo contacto con la cisterna cuadrigeminal. 
Se observa sustancia gris y blanca sin imágenes focales definidas ni cambios de señal significativos. </t>
  </si>
  <si>
    <t>Se identifican pequeñas imágenes hiperintensas FLAIR perpendiculares al cuerpo calloso bilaterales. Deberá completarse con estudios a fin de descartar enfermedad de la sustancia blanca.</t>
  </si>
  <si>
    <t>Aislada hiperintensisdades subcorticales frontal derecha de aspecto inespecífica.</t>
  </si>
  <si>
    <t>Aisladas hiperintensisdades subcorticales temporal izquierda y parietal posterior derecha, inespecíficas.</t>
  </si>
  <si>
    <t>Quiste aracnoideo de fosa posterior</t>
  </si>
  <si>
    <t>educationallevel</t>
  </si>
  <si>
    <t>Fecha cuestionario y test cognitivo</t>
  </si>
  <si>
    <t>WASSAP</t>
  </si>
  <si>
    <t>molestias en la garganta como acumulacion de moco</t>
  </si>
  <si>
    <t>vertigo</t>
  </si>
  <si>
    <t>12/22</t>
  </si>
  <si>
    <t>01/23</t>
  </si>
  <si>
    <t>06/22</t>
  </si>
  <si>
    <t>06/202</t>
  </si>
  <si>
    <t>CP0193</t>
  </si>
  <si>
    <t xml:space="preserve">fractura de talon operado 3/7/34 (aun enyesado) </t>
  </si>
  <si>
    <t>no trabaja por licencia x la fractura</t>
  </si>
  <si>
    <t>UNSAM</t>
  </si>
  <si>
    <t>M6a ng/ml</t>
  </si>
  <si>
    <t>BDNF ng/ml</t>
  </si>
  <si>
    <t>NFL ng/mL</t>
  </si>
  <si>
    <t>CP0011</t>
  </si>
  <si>
    <t>C1</t>
  </si>
  <si>
    <t>C2</t>
  </si>
  <si>
    <t>C3</t>
  </si>
  <si>
    <t>C4</t>
  </si>
  <si>
    <t>C5</t>
  </si>
  <si>
    <t>C6</t>
  </si>
  <si>
    <t>CP0106</t>
  </si>
  <si>
    <t>C7</t>
  </si>
  <si>
    <t>C12</t>
  </si>
  <si>
    <t>C8</t>
  </si>
  <si>
    <t>C13</t>
  </si>
  <si>
    <t>C14</t>
  </si>
  <si>
    <t>C9</t>
  </si>
  <si>
    <t>C10</t>
  </si>
  <si>
    <t>C15</t>
  </si>
  <si>
    <t>C16</t>
  </si>
  <si>
    <t>C17</t>
  </si>
  <si>
    <t>C18</t>
  </si>
  <si>
    <t>C19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</si>
</sst>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d.m"/>
    <numFmt numFmtId="165" formatCode="#,##0.000"/>
    <numFmt numFmtId="166" formatCode="m.yyyy"/>
    <numFmt numFmtId="167" formatCode="d/M/yyyy"/>
    <numFmt numFmtId="168" formatCode="0.0"/>
    <numFmt numFmtId="169" formatCode="d/m/yy"/>
    <numFmt numFmtId="170" formatCode="dd/mm/yyyy"/>
    <numFmt numFmtId="171" formatCode="mm/yyyy"/>
    <numFmt numFmtId="172" formatCode="dd/mm/yy"/>
    <numFmt numFmtId="173" formatCode="d-m"/>
    <numFmt numFmtId="174" formatCode="m/yyyy"/>
    <numFmt numFmtId="175" formatCode="d/m/yyyy"/>
    <numFmt numFmtId="176" formatCode="m/d/yyyy h:mm:ss"/>
    <numFmt numFmtId="177" formatCode="dd/mm"/>
  </numFmts>
  <fonts count="33">
    <font>
      <sz val="10.0"/>
      <color rgb="FF000000"/>
      <name val="Arial"/>
      <scheme val="minor"/>
    </font>
    <font>
      <sz val="10.0"/>
      <color rgb="FF000000"/>
      <name val="Arial"/>
    </font>
    <font>
      <b/>
      <sz val="10.0"/>
      <color rgb="FF000000"/>
      <name val="Arial"/>
    </font>
    <font/>
    <font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theme="1"/>
      <name val="Calibri"/>
    </font>
    <font>
      <sz val="10.0"/>
      <color theme="1"/>
      <name val="Arial"/>
    </font>
    <font>
      <color theme="1"/>
      <name val="Arial"/>
      <scheme val="minor"/>
    </font>
    <font>
      <color rgb="FFFFFFFF"/>
      <name val="Arial"/>
    </font>
    <font>
      <color rgb="FF000000"/>
      <name val="Arial"/>
    </font>
    <font>
      <sz val="11.0"/>
      <color theme="1"/>
      <name val="Arial"/>
    </font>
    <font>
      <b/>
      <color rgb="FF000000"/>
      <name val="Arial"/>
    </font>
    <font>
      <b/>
      <sz val="11.0"/>
      <color rgb="FF000000"/>
      <name val="Calibri"/>
    </font>
    <font>
      <sz val="9.0"/>
      <color rgb="FF1F1F1F"/>
      <name val="Arial"/>
    </font>
    <font>
      <color rgb="FF000000"/>
      <name val="Roboto"/>
    </font>
    <font>
      <b/>
      <sz val="11.0"/>
      <color rgb="FF000000"/>
      <name val="Inconsolata"/>
    </font>
    <font>
      <b/>
      <color rgb="FF000000"/>
      <name val="Roboto"/>
    </font>
    <font>
      <sz val="7.0"/>
      <color rgb="FF000000"/>
      <name val="Roboto"/>
    </font>
    <font>
      <sz val="11.0"/>
      <color rgb="FF000000"/>
      <name val="Inconsolata"/>
    </font>
    <font>
      <b/>
      <sz val="10.0"/>
      <color theme="1"/>
      <name val="Arial"/>
    </font>
    <font>
      <sz val="8.0"/>
      <color theme="1"/>
      <name val="Arial"/>
    </font>
    <font>
      <sz val="7.0"/>
      <color theme="1"/>
      <name val="Arial"/>
    </font>
    <font>
      <sz val="7.0"/>
      <color rgb="FF000000"/>
      <name val="Calibri"/>
    </font>
    <font>
      <color rgb="FF0000FF"/>
      <name val="Arial"/>
    </font>
    <font>
      <sz val="11.0"/>
      <color rgb="FF0000FF"/>
      <name val="Calibri"/>
    </font>
    <font>
      <sz val="11.0"/>
      <color rgb="FF0000FF"/>
      <name val="Arial"/>
    </font>
    <font>
      <b/>
      <color rgb="FF0000FF"/>
      <name val="Arial"/>
    </font>
    <font>
      <sz val="11.0"/>
      <color rgb="FF0000FF"/>
      <name val="Inconsolata"/>
    </font>
    <font>
      <color rgb="FF0000FF"/>
      <name val="Arial"/>
      <scheme val="minor"/>
    </font>
    <font>
      <sz val="11.0"/>
      <color theme="1"/>
      <name val="Inconsolata"/>
    </font>
    <font>
      <b/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</fills>
  <borders count="4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5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0"/>
    </xf>
    <xf borderId="2" fillId="2" fontId="1" numFmtId="164" xfId="0" applyAlignment="1" applyBorder="1" applyFill="1" applyFont="1" applyNumberFormat="1">
      <alignment horizontal="left" shrinkToFit="0" wrapText="0"/>
    </xf>
    <xf borderId="2" fillId="0" fontId="1" numFmtId="164" xfId="0" applyAlignment="1" applyBorder="1" applyFont="1" applyNumberFormat="1">
      <alignment horizontal="left" shrinkToFit="0" wrapText="0"/>
    </xf>
    <xf borderId="2" fillId="0" fontId="1" numFmtId="0" xfId="0" applyAlignment="1" applyBorder="1" applyFont="1">
      <alignment horizontal="left" shrinkToFit="0" wrapText="0"/>
    </xf>
    <xf borderId="1" fillId="3" fontId="1" numFmtId="0" xfId="0" applyAlignment="1" applyBorder="1" applyFill="1" applyFont="1">
      <alignment horizontal="left" shrinkToFit="0" vertical="center" wrapText="0"/>
    </xf>
    <xf borderId="2" fillId="0" fontId="1" numFmtId="49" xfId="0" applyAlignment="1" applyBorder="1" applyFont="1" applyNumberFormat="1">
      <alignment horizontal="left" shrinkToFit="0" wrapText="0"/>
    </xf>
    <xf borderId="2" fillId="0" fontId="1" numFmtId="165" xfId="0" applyAlignment="1" applyBorder="1" applyFont="1" applyNumberFormat="1">
      <alignment horizontal="left" shrinkToFit="0" wrapText="0"/>
    </xf>
    <xf borderId="2" fillId="2" fontId="1" numFmtId="166" xfId="0" applyAlignment="1" applyBorder="1" applyFont="1" applyNumberFormat="1">
      <alignment horizontal="left" shrinkToFit="0" wrapText="0"/>
    </xf>
    <xf borderId="2" fillId="2" fontId="1" numFmtId="0" xfId="0" applyAlignment="1" applyBorder="1" applyFont="1">
      <alignment horizontal="left" shrinkToFit="0" wrapText="0"/>
    </xf>
    <xf borderId="2" fillId="4" fontId="1" numFmtId="0" xfId="0" applyAlignment="1" applyBorder="1" applyFill="1" applyFont="1">
      <alignment horizontal="left" shrinkToFit="0" wrapText="0"/>
    </xf>
    <xf borderId="2" fillId="2" fontId="2" numFmtId="0" xfId="0" applyAlignment="1" applyBorder="1" applyFont="1">
      <alignment horizontal="left" shrinkToFit="0" vertical="center" wrapText="0"/>
    </xf>
    <xf borderId="2" fillId="0" fontId="2" numFmtId="0" xfId="0" applyAlignment="1" applyBorder="1" applyFont="1">
      <alignment horizontal="left" shrinkToFit="0" wrapText="0"/>
    </xf>
    <xf borderId="3" fillId="0" fontId="1" numFmtId="164" xfId="0" applyAlignment="1" applyBorder="1" applyFont="1" applyNumberFormat="1">
      <alignment horizontal="left" shrinkToFit="0" wrapText="0"/>
    </xf>
    <xf borderId="4" fillId="0" fontId="3" numFmtId="0" xfId="0" applyBorder="1" applyFont="1"/>
    <xf borderId="2" fillId="4" fontId="2" numFmtId="0" xfId="0" applyAlignment="1" applyBorder="1" applyFont="1">
      <alignment horizontal="left" shrinkToFit="0" vertical="center" wrapText="0"/>
    </xf>
    <xf borderId="2" fillId="4" fontId="1" numFmtId="0" xfId="0" applyAlignment="1" applyBorder="1" applyFont="1">
      <alignment horizontal="left" shrinkToFit="0" vertical="center" wrapText="0"/>
    </xf>
    <xf borderId="2" fillId="0" fontId="2" numFmtId="49" xfId="0" applyAlignment="1" applyBorder="1" applyFont="1" applyNumberFormat="1">
      <alignment horizontal="left" shrinkToFit="0" wrapText="0"/>
    </xf>
    <xf borderId="2" fillId="4" fontId="1" numFmtId="49" xfId="0" applyAlignment="1" applyBorder="1" applyFont="1" applyNumberFormat="1">
      <alignment horizontal="left" shrinkToFit="0" wrapText="0"/>
    </xf>
    <xf borderId="3" fillId="0" fontId="2" numFmtId="49" xfId="0" applyAlignment="1" applyBorder="1" applyFont="1" applyNumberFormat="1">
      <alignment horizontal="left" shrinkToFit="0" wrapText="0"/>
    </xf>
    <xf borderId="2" fillId="5" fontId="1" numFmtId="164" xfId="0" applyAlignment="1" applyBorder="1" applyFill="1" applyFont="1" applyNumberFormat="1">
      <alignment horizontal="left" shrinkToFit="0" wrapText="0"/>
    </xf>
    <xf borderId="2" fillId="4" fontId="2" numFmtId="0" xfId="0" applyAlignment="1" applyBorder="1" applyFont="1">
      <alignment horizontal="left" shrinkToFit="0" wrapText="0"/>
    </xf>
    <xf borderId="2" fillId="0" fontId="2" numFmtId="164" xfId="0" applyAlignment="1" applyBorder="1" applyFont="1" applyNumberFormat="1">
      <alignment horizontal="left" shrinkToFit="0" wrapText="0"/>
    </xf>
    <xf borderId="1" fillId="0" fontId="1" numFmtId="0" xfId="0" applyAlignment="1" applyBorder="1" applyFont="1">
      <alignment horizontal="left" shrinkToFit="0" wrapText="1"/>
    </xf>
    <xf borderId="1" fillId="0" fontId="4" numFmtId="0" xfId="0" applyAlignment="1" applyBorder="1" applyFont="1">
      <alignment horizontal="left" shrinkToFit="0" wrapText="1"/>
    </xf>
    <xf borderId="5" fillId="0" fontId="3" numFmtId="0" xfId="0" applyBorder="1" applyFont="1"/>
    <xf borderId="3" fillId="0" fontId="2" numFmtId="0" xfId="0" applyAlignment="1" applyBorder="1" applyFont="1">
      <alignment horizontal="left" shrinkToFit="0" wrapText="0"/>
    </xf>
    <xf borderId="6" fillId="0" fontId="3" numFmtId="0" xfId="0" applyBorder="1" applyFont="1"/>
    <xf borderId="3" fillId="0" fontId="2" numFmtId="0" xfId="0" applyAlignment="1" applyBorder="1" applyFont="1">
      <alignment horizontal="left" readingOrder="0" shrinkToFit="0" wrapText="0"/>
    </xf>
    <xf borderId="2" fillId="0" fontId="1" numFmtId="0" xfId="0" applyAlignment="1" applyBorder="1" applyFont="1">
      <alignment horizontal="left" shrinkToFit="0" vertical="center" wrapText="0"/>
    </xf>
    <xf borderId="7" fillId="0" fontId="3" numFmtId="0" xfId="0" applyBorder="1" applyFont="1"/>
    <xf borderId="2" fillId="0" fontId="5" numFmtId="0" xfId="0" applyAlignment="1" applyBorder="1" applyFont="1">
      <alignment vertical="bottom"/>
    </xf>
    <xf borderId="3" fillId="0" fontId="1" numFmtId="0" xfId="0" applyAlignment="1" applyBorder="1" applyFont="1">
      <alignment horizontal="left" shrinkToFit="0" vertical="center" wrapText="0"/>
    </xf>
    <xf borderId="2" fillId="4" fontId="2" numFmtId="0" xfId="0" applyAlignment="1" applyBorder="1" applyFont="1">
      <alignment horizontal="left" readingOrder="0" shrinkToFit="0" vertical="center" wrapText="0"/>
    </xf>
    <xf borderId="3" fillId="4" fontId="1" numFmtId="0" xfId="0" applyAlignment="1" applyBorder="1" applyFont="1">
      <alignment horizontal="left" readingOrder="0" shrinkToFit="0" vertical="center" wrapText="0"/>
    </xf>
    <xf borderId="0" fillId="0" fontId="1" numFmtId="0" xfId="0" applyAlignment="1" applyFont="1">
      <alignment horizontal="left" shrinkToFit="0" wrapText="0"/>
    </xf>
    <xf borderId="0" fillId="0" fontId="1" numFmtId="0" xfId="0" applyAlignment="1" applyFont="1">
      <alignment horizontal="left" shrinkToFit="0" vertical="bottom" wrapText="0"/>
    </xf>
    <xf borderId="8" fillId="0" fontId="1" numFmtId="167" xfId="0" applyAlignment="1" applyBorder="1" applyFont="1" applyNumberFormat="1">
      <alignment horizontal="left" shrinkToFit="0" vertical="bottom" wrapText="0"/>
    </xf>
    <xf borderId="9" fillId="0" fontId="6" numFmtId="0" xfId="0" applyAlignment="1" applyBorder="1" applyFont="1">
      <alignment readingOrder="0" vertical="bottom"/>
    </xf>
    <xf borderId="10" fillId="0" fontId="1" numFmtId="0" xfId="0" applyAlignment="1" applyBorder="1" applyFont="1">
      <alignment horizontal="left" shrinkToFit="0" wrapText="0"/>
    </xf>
    <xf borderId="11" fillId="0" fontId="1" numFmtId="0" xfId="0" applyAlignment="1" applyBorder="1" applyFont="1">
      <alignment horizontal="left" shrinkToFit="0" wrapText="0"/>
    </xf>
    <xf borderId="0" fillId="0" fontId="1" numFmtId="167" xfId="0" applyAlignment="1" applyFont="1" applyNumberFormat="1">
      <alignment horizontal="left" shrinkToFit="0" wrapText="0"/>
    </xf>
    <xf borderId="0" fillId="0" fontId="1" numFmtId="167" xfId="0" applyAlignment="1" applyFont="1" applyNumberFormat="1">
      <alignment horizontal="left" shrinkToFit="0" vertical="bottom" wrapText="0"/>
    </xf>
    <xf borderId="0" fillId="2" fontId="1" numFmtId="0" xfId="0" applyAlignment="1" applyFont="1">
      <alignment horizontal="left" shrinkToFit="0" wrapText="0"/>
    </xf>
    <xf borderId="0" fillId="4" fontId="1" numFmtId="0" xfId="0" applyAlignment="1" applyFont="1">
      <alignment horizontal="left" shrinkToFit="0" wrapText="0"/>
    </xf>
    <xf borderId="0" fillId="4" fontId="2" numFmtId="0" xfId="0" applyAlignment="1" applyFont="1">
      <alignment horizontal="left" shrinkToFit="0" wrapText="0"/>
    </xf>
    <xf borderId="0" fillId="4" fontId="1" numFmtId="168" xfId="0" applyAlignment="1" applyFont="1" applyNumberFormat="1">
      <alignment horizontal="left" shrinkToFit="0" wrapText="0"/>
    </xf>
    <xf borderId="0" fillId="0" fontId="1" numFmtId="2" xfId="0" applyAlignment="1" applyFont="1" applyNumberFormat="1">
      <alignment horizontal="left" shrinkToFit="0" wrapText="0"/>
    </xf>
    <xf borderId="9" fillId="0" fontId="6" numFmtId="0" xfId="0" applyAlignment="1" applyBorder="1" applyFont="1">
      <alignment vertical="bottom"/>
    </xf>
    <xf borderId="0" fillId="0" fontId="1" numFmtId="168" xfId="0" applyAlignment="1" applyFont="1" applyNumberFormat="1">
      <alignment horizontal="left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20" xfId="0" applyAlignment="1" applyFont="1" applyNumberFormat="1">
      <alignment horizontal="left" shrinkToFit="0" wrapText="0"/>
    </xf>
    <xf borderId="0" fillId="0" fontId="1" numFmtId="169" xfId="0" applyAlignment="1" applyFont="1" applyNumberFormat="1">
      <alignment horizontal="left" shrinkToFit="0" wrapText="0"/>
    </xf>
    <xf borderId="0" fillId="4" fontId="1" numFmtId="0" xfId="0" applyAlignment="1" applyFont="1">
      <alignment horizontal="left" shrinkToFit="0" vertical="bottom" wrapText="0"/>
    </xf>
    <xf borderId="0" fillId="0" fontId="6" numFmtId="0" xfId="0" applyAlignment="1" applyFont="1">
      <alignment vertical="bottom"/>
    </xf>
    <xf borderId="0" fillId="0" fontId="1" numFmtId="167" xfId="0" applyAlignment="1" applyFont="1" applyNumberFormat="1">
      <alignment horizontal="left" readingOrder="0" shrinkToFit="0" wrapText="0"/>
    </xf>
    <xf borderId="0" fillId="0" fontId="1" numFmtId="170" xfId="0" applyAlignment="1" applyFont="1" applyNumberFormat="1">
      <alignment horizontal="left" shrinkToFit="0" wrapText="0"/>
    </xf>
    <xf borderId="0" fillId="0" fontId="1" numFmtId="0" xfId="0" applyAlignment="1" applyFont="1">
      <alignment horizontal="left" readingOrder="0" shrinkToFit="0" wrapText="0"/>
    </xf>
    <xf borderId="10" fillId="0" fontId="1" numFmtId="0" xfId="0" applyAlignment="1" applyBorder="1" applyFont="1">
      <alignment horizontal="left" shrinkToFit="0" vertical="bottom" wrapText="0"/>
    </xf>
    <xf borderId="11" fillId="0" fontId="1" numFmtId="0" xfId="0" applyAlignment="1" applyBorder="1" applyFont="1">
      <alignment horizontal="left" readingOrder="0" shrinkToFit="0" wrapText="0"/>
    </xf>
    <xf borderId="0" fillId="0" fontId="1" numFmtId="171" xfId="0" applyAlignment="1" applyFont="1" applyNumberFormat="1">
      <alignment horizontal="left" shrinkToFit="0" wrapText="0"/>
    </xf>
    <xf borderId="10" fillId="0" fontId="1" numFmtId="1" xfId="0" applyAlignment="1" applyBorder="1" applyFont="1" applyNumberFormat="1">
      <alignment horizontal="left" shrinkToFit="0" wrapText="0"/>
    </xf>
    <xf borderId="0" fillId="2" fontId="1" numFmtId="0" xfId="0" applyAlignment="1" applyFont="1">
      <alignment horizontal="left" readingOrder="0" shrinkToFit="0" wrapText="0"/>
    </xf>
    <xf borderId="8" fillId="0" fontId="1" numFmtId="167" xfId="0" applyAlignment="1" applyBorder="1" applyFont="1" applyNumberFormat="1">
      <alignment horizontal="left" readingOrder="0" shrinkToFit="0" vertical="bottom" wrapText="0"/>
    </xf>
    <xf borderId="9" fillId="0" fontId="6" numFmtId="0" xfId="0" applyAlignment="1" applyBorder="1" applyFont="1">
      <alignment vertical="bottom"/>
    </xf>
    <xf borderId="10" fillId="0" fontId="1" numFmtId="0" xfId="0" applyAlignment="1" applyBorder="1" applyFont="1">
      <alignment horizontal="left" readingOrder="0" shrinkToFit="0" wrapText="0"/>
    </xf>
    <xf borderId="0" fillId="0" fontId="1" numFmtId="170" xfId="0" applyAlignment="1" applyFont="1" applyNumberFormat="1">
      <alignment horizontal="left" readingOrder="0" shrinkToFit="0" wrapText="0"/>
    </xf>
    <xf borderId="0" fillId="0" fontId="1" numFmtId="20" xfId="0" applyAlignment="1" applyFont="1" applyNumberFormat="1">
      <alignment horizontal="left" shrinkToFit="0" vertical="bottom" wrapText="0"/>
    </xf>
    <xf borderId="0" fillId="4" fontId="1" numFmtId="168" xfId="0" applyAlignment="1" applyFont="1" applyNumberFormat="1">
      <alignment horizontal="left" shrinkToFit="0" vertical="bottom" wrapText="0"/>
    </xf>
    <xf borderId="0" fillId="0" fontId="1" numFmtId="20" xfId="0" applyAlignment="1" applyFont="1" applyNumberFormat="1">
      <alignment horizontal="left" readingOrder="0" shrinkToFit="0" wrapText="0"/>
    </xf>
    <xf borderId="0" fillId="0" fontId="1" numFmtId="172" xfId="0" applyAlignment="1" applyFont="1" applyNumberFormat="1">
      <alignment horizontal="left" shrinkToFit="0" wrapText="0"/>
    </xf>
    <xf borderId="0" fillId="0" fontId="1" numFmtId="173" xfId="0" applyAlignment="1" applyFont="1" applyNumberFormat="1">
      <alignment horizontal="left" shrinkToFit="0" wrapText="0"/>
    </xf>
    <xf borderId="0" fillId="0" fontId="1" numFmtId="0" xfId="0" applyAlignment="1" applyFont="1">
      <alignment horizontal="left" shrinkToFit="0" wrapText="0"/>
    </xf>
    <xf borderId="0" fillId="0" fontId="1" numFmtId="174" xfId="0" applyAlignment="1" applyFont="1" applyNumberFormat="1">
      <alignment horizontal="left" readingOrder="0" shrinkToFit="0" wrapText="0"/>
    </xf>
    <xf borderId="0" fillId="0" fontId="1" numFmtId="175" xfId="0" applyAlignment="1" applyFont="1" applyNumberFormat="1">
      <alignment horizontal="left" readingOrder="0" shrinkToFit="0" wrapText="0"/>
    </xf>
    <xf borderId="11" fillId="0" fontId="1" numFmtId="0" xfId="0" applyAlignment="1" applyBorder="1" applyFont="1">
      <alignment horizontal="left" shrinkToFit="0" vertical="bottom" wrapText="0"/>
    </xf>
    <xf borderId="0" fillId="0" fontId="1" numFmtId="167" xfId="0" applyAlignment="1" applyFont="1" applyNumberFormat="1">
      <alignment horizontal="left" readingOrder="0" shrinkToFit="0" vertical="bottom" wrapText="0"/>
    </xf>
    <xf borderId="0" fillId="5" fontId="1" numFmtId="0" xfId="0" applyAlignment="1" applyFont="1">
      <alignment horizontal="left" readingOrder="0" shrinkToFit="0" vertical="bottom" wrapText="0"/>
    </xf>
    <xf borderId="0" fillId="0" fontId="1" numFmtId="20" xfId="0" applyAlignment="1" applyFont="1" applyNumberFormat="1">
      <alignment horizontal="left" readingOrder="0" shrinkToFit="0" vertical="bottom" wrapText="0"/>
    </xf>
    <xf borderId="11" fillId="0" fontId="1" numFmtId="0" xfId="0" applyAlignment="1" applyBorder="1" applyFont="1">
      <alignment horizontal="left" readingOrder="0" shrinkToFit="0" vertical="bottom" wrapText="0"/>
    </xf>
    <xf borderId="0" fillId="0" fontId="1" numFmtId="175" xfId="0" applyAlignment="1" applyFont="1" applyNumberFormat="1">
      <alignment horizontal="left" readingOrder="0" shrinkToFit="0" vertical="bottom" wrapText="0"/>
    </xf>
    <xf borderId="10" fillId="0" fontId="1" numFmtId="0" xfId="0" applyAlignment="1" applyBorder="1" applyFont="1">
      <alignment horizontal="left"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10" fillId="5" fontId="1" numFmtId="0" xfId="0" applyAlignment="1" applyBorder="1" applyFont="1">
      <alignment horizontal="left" readingOrder="0" shrinkToFit="0" vertical="bottom" wrapText="0"/>
    </xf>
    <xf borderId="0" fillId="0" fontId="7" numFmtId="0" xfId="0" applyAlignment="1" applyFont="1">
      <alignment readingOrder="0" vertical="bottom"/>
    </xf>
    <xf borderId="0" fillId="0" fontId="1" numFmtId="0" xfId="0" applyAlignment="1" applyFont="1">
      <alignment horizontal="left" shrinkToFit="0" vertical="bottom" wrapText="0"/>
    </xf>
    <xf borderId="8" fillId="0" fontId="1" numFmtId="167" xfId="0" applyAlignment="1" applyBorder="1" applyFont="1" applyNumberFormat="1">
      <alignment horizontal="left" readingOrder="0" shrinkToFit="0" vertical="bottom" wrapText="0"/>
    </xf>
    <xf borderId="9" fillId="0" fontId="6" numFmtId="0" xfId="0" applyAlignment="1" applyBorder="1" applyFont="1">
      <alignment vertical="bottom"/>
    </xf>
    <xf borderId="10" fillId="0" fontId="1" numFmtId="0" xfId="0" applyAlignment="1" applyBorder="1" applyFont="1">
      <alignment horizontal="left" shrinkToFit="0" vertical="bottom" wrapText="0"/>
    </xf>
    <xf borderId="0" fillId="0" fontId="7" numFmtId="0" xfId="0" applyAlignment="1" applyFont="1">
      <alignment vertical="bottom"/>
    </xf>
    <xf borderId="11" fillId="0" fontId="1" numFmtId="0" xfId="0" applyAlignment="1" applyBorder="1" applyFont="1">
      <alignment horizontal="left" shrinkToFit="0" vertical="bottom" wrapText="0"/>
    </xf>
    <xf borderId="8" fillId="0" fontId="1" numFmtId="0" xfId="0" applyAlignment="1" applyBorder="1" applyFont="1">
      <alignment horizontal="left" readingOrder="0" shrinkToFit="0" vertical="bottom" wrapText="0"/>
    </xf>
    <xf borderId="8" fillId="0" fontId="1" numFmtId="0" xfId="0" applyAlignment="1" applyBorder="1" applyFont="1">
      <alignment horizontal="left" readingOrder="0" shrinkToFit="0" wrapText="0"/>
    </xf>
    <xf borderId="0" fillId="4" fontId="1" numFmtId="0" xfId="0" applyAlignment="1" applyFont="1">
      <alignment horizontal="left" readingOrder="0" shrinkToFit="0" vertical="bottom" wrapText="0"/>
    </xf>
    <xf borderId="0" fillId="0" fontId="1" numFmtId="172" xfId="0" applyAlignment="1" applyFont="1" applyNumberFormat="1">
      <alignment horizontal="left" shrinkToFit="0" vertical="bottom" wrapText="0"/>
    </xf>
    <xf borderId="0" fillId="0" fontId="1" numFmtId="169" xfId="0" applyAlignment="1" applyFont="1" applyNumberFormat="1">
      <alignment horizontal="left" shrinkToFit="0" vertical="bottom" wrapText="0"/>
    </xf>
    <xf borderId="0" fillId="5" fontId="1" numFmtId="0" xfId="0" applyAlignment="1" applyFont="1">
      <alignment horizontal="left" shrinkToFit="0" vertical="bottom" wrapText="0"/>
    </xf>
    <xf borderId="0" fillId="4" fontId="1" numFmtId="0" xfId="0" applyAlignment="1" applyFont="1">
      <alignment horizontal="left" shrinkToFit="0" vertical="bottom" wrapText="0"/>
    </xf>
    <xf borderId="8" fillId="0" fontId="1" numFmtId="169" xfId="0" applyAlignment="1" applyBorder="1" applyFont="1" applyNumberFormat="1">
      <alignment horizontal="left" shrinkToFit="0" vertical="bottom" wrapText="0"/>
    </xf>
    <xf borderId="0" fillId="0" fontId="8" numFmtId="0" xfId="0" applyAlignment="1" applyFont="1">
      <alignment shrinkToFit="0" wrapText="0"/>
    </xf>
    <xf borderId="0" fillId="0" fontId="8" numFmtId="167" xfId="0" applyAlignment="1" applyFont="1" applyNumberFormat="1">
      <alignment shrinkToFit="0" wrapText="0"/>
    </xf>
    <xf borderId="0" fillId="0" fontId="8" numFmtId="168" xfId="0" applyAlignment="1" applyFont="1" applyNumberFormat="1">
      <alignment shrinkToFit="0" wrapText="0"/>
    </xf>
    <xf borderId="0" fillId="0" fontId="9" numFmtId="167" xfId="0" applyFont="1" applyNumberFormat="1"/>
    <xf borderId="12" fillId="0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13" fillId="0" fontId="6" numFmtId="0" xfId="0" applyAlignment="1" applyBorder="1" applyFont="1">
      <alignment horizontal="center"/>
    </xf>
    <xf borderId="3" fillId="0" fontId="10" numFmtId="0" xfId="0" applyAlignment="1" applyBorder="1" applyFont="1">
      <alignment horizontal="center" shrinkToFit="0" wrapText="0"/>
    </xf>
    <xf borderId="6" fillId="0" fontId="6" numFmtId="0" xfId="0" applyAlignment="1" applyBorder="1" applyFont="1">
      <alignment horizontal="center"/>
    </xf>
    <xf borderId="4" fillId="0" fontId="10" numFmtId="0" xfId="0" applyAlignment="1" applyBorder="1" applyFont="1">
      <alignment horizontal="center" shrinkToFit="0" wrapText="0"/>
    </xf>
    <xf borderId="6" fillId="0" fontId="6" numFmtId="0" xfId="0" applyAlignment="1" applyBorder="1" applyFont="1">
      <alignment horizontal="center" shrinkToFit="0" wrapText="0"/>
    </xf>
    <xf borderId="6" fillId="0" fontId="11" numFmtId="0" xfId="0" applyAlignment="1" applyBorder="1" applyFont="1">
      <alignment horizontal="center" shrinkToFit="0" wrapText="0"/>
    </xf>
    <xf borderId="3" fillId="0" fontId="11" numFmtId="0" xfId="0" applyAlignment="1" applyBorder="1" applyFont="1">
      <alignment horizontal="center" readingOrder="0" shrinkToFit="0" wrapText="0"/>
    </xf>
    <xf borderId="14" fillId="0" fontId="6" numFmtId="0" xfId="0" applyAlignment="1" applyBorder="1" applyFont="1">
      <alignment horizontal="center"/>
    </xf>
    <xf borderId="15" fillId="0" fontId="6" numFmtId="0" xfId="0" applyAlignment="1" applyBorder="1" applyFont="1">
      <alignment horizontal="center"/>
    </xf>
    <xf borderId="13" fillId="0" fontId="6" numFmtId="0" xfId="0" applyBorder="1" applyFont="1"/>
    <xf borderId="15" fillId="0" fontId="6" numFmtId="0" xfId="0" applyBorder="1" applyFont="1"/>
    <xf borderId="16" fillId="0" fontId="6" numFmtId="0" xfId="0" applyBorder="1" applyFont="1"/>
    <xf borderId="2" fillId="0" fontId="11" numFmtId="0" xfId="0" applyAlignment="1" applyBorder="1" applyFont="1">
      <alignment horizontal="center" readingOrder="0" shrinkToFit="0" wrapText="0"/>
    </xf>
    <xf borderId="9" fillId="0" fontId="6" numFmtId="0" xfId="0" applyAlignment="1" applyBorder="1" applyFont="1">
      <alignment horizontal="right" vertical="bottom"/>
    </xf>
    <xf borderId="0" fillId="0" fontId="6" numFmtId="0" xfId="0" applyAlignment="1" applyFont="1">
      <alignment horizontal="right" vertical="bottom"/>
    </xf>
    <xf borderId="8" fillId="0" fontId="6" numFmtId="0" xfId="0" applyAlignment="1" applyBorder="1" applyFont="1">
      <alignment vertical="bottom"/>
    </xf>
    <xf borderId="0" fillId="0" fontId="12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8" fillId="0" fontId="6" numFmtId="0" xfId="0" applyAlignment="1" applyBorder="1" applyFont="1">
      <alignment readingOrder="0" vertical="bottom"/>
    </xf>
    <xf borderId="0" fillId="0" fontId="6" numFmtId="0" xfId="0" applyAlignment="1" applyFont="1">
      <alignment horizontal="right" vertical="bottom"/>
    </xf>
    <xf borderId="8" fillId="0" fontId="6" numFmtId="0" xfId="0" applyAlignment="1" applyBorder="1" applyFont="1">
      <alignment horizontal="right" vertical="bottom"/>
    </xf>
    <xf borderId="8" fillId="0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9" fillId="0" fontId="6" numFmtId="0" xfId="0" applyBorder="1" applyFont="1"/>
    <xf borderId="0" fillId="0" fontId="6" numFmtId="0" xfId="0" applyFont="1"/>
    <xf borderId="8" fillId="0" fontId="6" numFmtId="0" xfId="0" applyBorder="1" applyFont="1"/>
    <xf borderId="0" fillId="0" fontId="6" numFmtId="0" xfId="0" applyAlignment="1" applyFont="1">
      <alignment readingOrder="0"/>
    </xf>
    <xf borderId="8" fillId="0" fontId="6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8" fillId="0" fontId="6" numFmtId="0" xfId="0" applyAlignment="1" applyBorder="1" applyFont="1">
      <alignment horizontal="right" readingOrder="0" vertical="bottom"/>
    </xf>
    <xf borderId="8" fillId="0" fontId="6" numFmtId="0" xfId="0" applyAlignment="1" applyBorder="1" applyFont="1">
      <alignment shrinkToFit="0" vertical="bottom" wrapText="0"/>
    </xf>
    <xf borderId="0" fillId="0" fontId="6" numFmtId="0" xfId="0" applyAlignment="1" applyFont="1">
      <alignment horizontal="right"/>
    </xf>
    <xf borderId="9" fillId="0" fontId="6" numFmtId="0" xfId="0" applyAlignment="1" applyBorder="1" applyFont="1">
      <alignment readingOrder="0"/>
    </xf>
    <xf borderId="8" fillId="0" fontId="6" numFmtId="0" xfId="0" applyAlignment="1" applyBorder="1" applyFont="1">
      <alignment horizontal="right" vertical="bottom"/>
    </xf>
    <xf borderId="0" fillId="2" fontId="6" numFmtId="0" xfId="0" applyFont="1"/>
    <xf borderId="9" fillId="0" fontId="9" numFmtId="0" xfId="0" applyAlignment="1" applyBorder="1" applyFont="1">
      <alignment readingOrder="0"/>
    </xf>
    <xf borderId="0" fillId="0" fontId="7" numFmtId="0" xfId="0" applyAlignment="1" applyFont="1">
      <alignment vertical="bottom"/>
    </xf>
    <xf borderId="8" fillId="0" fontId="9" numFmtId="0" xfId="0" applyAlignment="1" applyBorder="1" applyFont="1">
      <alignment readingOrder="0"/>
    </xf>
    <xf borderId="9" fillId="0" fontId="6" numFmtId="0" xfId="0" applyAlignment="1" applyBorder="1" applyFont="1">
      <alignment horizontal="right" readingOrder="0" vertical="bottom"/>
    </xf>
    <xf borderId="0" fillId="0" fontId="6" numFmtId="0" xfId="0" applyAlignment="1" applyFont="1">
      <alignment horizontal="right" readingOrder="0" vertical="bottom"/>
    </xf>
    <xf borderId="8" fillId="0" fontId="6" numFmtId="0" xfId="0" applyAlignment="1" applyBorder="1" applyFont="1">
      <alignment vertical="bottom"/>
    </xf>
    <xf borderId="8" fillId="0" fontId="6" numFmtId="0" xfId="0" applyAlignment="1" applyBorder="1" applyFont="1">
      <alignment horizontal="right" vertical="bottom"/>
    </xf>
    <xf borderId="9" fillId="0" fontId="9" numFmtId="0" xfId="0" applyBorder="1" applyFont="1"/>
    <xf borderId="8" fillId="0" fontId="9" numFmtId="0" xfId="0" applyBorder="1" applyFont="1"/>
    <xf borderId="17" fillId="0" fontId="9" numFmtId="0" xfId="0" applyBorder="1" applyFont="1"/>
    <xf borderId="2" fillId="6" fontId="6" numFmtId="0" xfId="0" applyAlignment="1" applyBorder="1" applyFill="1" applyFont="1">
      <alignment horizontal="center"/>
    </xf>
    <xf borderId="2" fillId="6" fontId="6" numFmtId="0" xfId="0" applyBorder="1" applyFont="1"/>
    <xf borderId="2" fillId="6" fontId="13" numFmtId="0" xfId="0" applyBorder="1" applyFont="1"/>
    <xf borderId="0" fillId="0" fontId="7" numFmtId="0" xfId="0" applyAlignment="1" applyFont="1">
      <alignment horizontal="center" shrinkToFit="0" wrapText="1"/>
    </xf>
    <xf borderId="2" fillId="0" fontId="6" numFmtId="0" xfId="0" applyAlignment="1" applyBorder="1" applyFont="1">
      <alignment vertical="bottom"/>
    </xf>
    <xf borderId="2" fillId="0" fontId="6" numFmtId="0" xfId="0" applyBorder="1" applyFont="1"/>
    <xf borderId="2" fillId="0" fontId="13" numFmtId="0" xfId="0" applyBorder="1" applyFont="1"/>
    <xf borderId="8" fillId="0" fontId="7" numFmtId="0" xfId="0" applyAlignment="1" applyBorder="1" applyFont="1">
      <alignment horizontal="center" vertical="bottom"/>
    </xf>
    <xf borderId="0" fillId="0" fontId="7" numFmtId="0" xfId="0" applyAlignment="1" applyFont="1">
      <alignment horizontal="center" vertical="bottom"/>
    </xf>
    <xf borderId="2" fillId="7" fontId="6" numFmtId="0" xfId="0" applyAlignment="1" applyBorder="1" applyFill="1" applyFont="1">
      <alignment readingOrder="0"/>
    </xf>
    <xf borderId="2" fillId="7" fontId="13" numFmtId="0" xfId="0" applyBorder="1" applyFont="1"/>
    <xf borderId="2" fillId="0" fontId="6" numFmtId="0" xfId="0" applyAlignment="1" applyBorder="1" applyFont="1">
      <alignment shrinkToFit="0" wrapText="0"/>
    </xf>
    <xf borderId="2" fillId="0" fontId="6" numFmtId="0" xfId="0" applyAlignment="1" applyBorder="1" applyFont="1">
      <alignment readingOrder="0" vertical="bottom"/>
    </xf>
    <xf borderId="2" fillId="0" fontId="14" numFmtId="0" xfId="0" applyBorder="1" applyFont="1"/>
    <xf borderId="8" fillId="2" fontId="15" numFmtId="0" xfId="0" applyBorder="1" applyFont="1"/>
    <xf borderId="2" fillId="0" fontId="12" numFmtId="0" xfId="0" applyBorder="1" applyFont="1"/>
    <xf borderId="2" fillId="0" fontId="6" numFmtId="0" xfId="0" applyAlignment="1" applyBorder="1" applyFont="1">
      <alignment readingOrder="0"/>
    </xf>
    <xf borderId="0" fillId="5" fontId="7" numFmtId="172" xfId="0" applyAlignment="1" applyFont="1" applyNumberFormat="1">
      <alignment horizontal="left" readingOrder="0"/>
    </xf>
    <xf borderId="0" fillId="0" fontId="6" numFmtId="0" xfId="0" applyAlignment="1" applyFont="1">
      <alignment shrinkToFit="0" wrapText="0"/>
    </xf>
    <xf borderId="2" fillId="0" fontId="7" numFmtId="0" xfId="0" applyAlignment="1" applyBorder="1" applyFont="1">
      <alignment vertical="bottom"/>
    </xf>
    <xf borderId="2" fillId="2" fontId="6" numFmtId="0" xfId="0" applyBorder="1" applyFont="1"/>
    <xf borderId="0" fillId="0" fontId="13" numFmtId="0" xfId="0" applyAlignment="1" applyFont="1">
      <alignment readingOrder="0"/>
    </xf>
    <xf borderId="2" fillId="0" fontId="13" numFmtId="0" xfId="0" applyAlignment="1" applyBorder="1" applyFont="1">
      <alignment readingOrder="0"/>
    </xf>
    <xf borderId="0" fillId="0" fontId="7" numFmtId="172" xfId="0" applyAlignment="1" applyFont="1" applyNumberFormat="1">
      <alignment vertical="bottom"/>
    </xf>
    <xf borderId="0" fillId="0" fontId="13" numFmtId="0" xfId="0" applyFont="1"/>
    <xf borderId="9" fillId="0" fontId="6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center" shrinkToFit="0" vertical="center" wrapText="1"/>
    </xf>
    <xf borderId="17" fillId="2" fontId="16" numFmtId="164" xfId="0" applyAlignment="1" applyBorder="1" applyFont="1" applyNumberFormat="1">
      <alignment horizontal="center"/>
    </xf>
    <xf borderId="7" fillId="0" fontId="6" numFmtId="164" xfId="0" applyAlignment="1" applyBorder="1" applyFont="1" applyNumberFormat="1">
      <alignment horizontal="center"/>
    </xf>
    <xf borderId="18" fillId="0" fontId="6" numFmtId="164" xfId="0" applyAlignment="1" applyBorder="1" applyFont="1" applyNumberFormat="1">
      <alignment horizontal="center"/>
    </xf>
    <xf borderId="19" fillId="0" fontId="6" numFmtId="164" xfId="0" applyAlignment="1" applyBorder="1" applyFont="1" applyNumberFormat="1">
      <alignment horizontal="center"/>
    </xf>
    <xf borderId="9" fillId="0" fontId="6" numFmtId="164" xfId="0" applyAlignment="1" applyBorder="1" applyFont="1" applyNumberFormat="1">
      <alignment horizontal="center"/>
    </xf>
    <xf borderId="8" fillId="0" fontId="6" numFmtId="0" xfId="0" applyAlignment="1" applyBorder="1" applyFont="1">
      <alignment horizontal="center"/>
    </xf>
    <xf borderId="5" fillId="0" fontId="6" numFmtId="164" xfId="0" applyAlignment="1" applyBorder="1" applyFont="1" applyNumberFormat="1">
      <alignment horizontal="center"/>
    </xf>
    <xf borderId="5" fillId="0" fontId="6" numFmtId="0" xfId="0" applyAlignment="1" applyBorder="1" applyFont="1">
      <alignment horizontal="center"/>
    </xf>
    <xf borderId="1" fillId="0" fontId="6" numFmtId="164" xfId="0" applyBorder="1" applyFont="1" applyNumberFormat="1"/>
    <xf borderId="0" fillId="0" fontId="6" numFmtId="164" xfId="0" applyAlignment="1" applyFont="1" applyNumberFormat="1">
      <alignment horizontal="center"/>
    </xf>
    <xf borderId="1" fillId="0" fontId="6" numFmtId="49" xfId="0" applyAlignment="1" applyBorder="1" applyFont="1" applyNumberFormat="1">
      <alignment horizontal="right"/>
    </xf>
    <xf borderId="1" fillId="0" fontId="6" numFmtId="0" xfId="0" applyBorder="1" applyFont="1"/>
    <xf borderId="15" fillId="0" fontId="6" numFmtId="165" xfId="0" applyAlignment="1" applyBorder="1" applyFont="1" applyNumberFormat="1">
      <alignment horizontal="center"/>
    </xf>
    <xf borderId="15" fillId="2" fontId="11" numFmtId="166" xfId="0" applyAlignment="1" applyBorder="1" applyFont="1" applyNumberFormat="1">
      <alignment horizontal="center"/>
    </xf>
    <xf borderId="16" fillId="2" fontId="11" numFmtId="0" xfId="0" applyAlignment="1" applyBorder="1" applyFont="1">
      <alignment horizontal="center"/>
    </xf>
    <xf borderId="20" fillId="0" fontId="6" numFmtId="164" xfId="0" applyAlignment="1" applyBorder="1" applyFont="1" applyNumberFormat="1">
      <alignment horizontal="center"/>
    </xf>
    <xf borderId="17" fillId="0" fontId="6" numFmtId="164" xfId="0" applyAlignment="1" applyBorder="1" applyFont="1" applyNumberFormat="1">
      <alignment horizontal="center"/>
    </xf>
    <xf borderId="7" fillId="0" fontId="6" numFmtId="164" xfId="0" applyBorder="1" applyFont="1" applyNumberFormat="1"/>
    <xf borderId="7" fillId="0" fontId="6" numFmtId="0" xfId="0" applyAlignment="1" applyBorder="1" applyFont="1">
      <alignment horizontal="center"/>
    </xf>
    <xf borderId="12" fillId="0" fontId="6" numFmtId="0" xfId="0" applyAlignment="1" applyBorder="1" applyFont="1">
      <alignment horizontal="center"/>
    </xf>
    <xf borderId="21" fillId="0" fontId="6" numFmtId="0" xfId="0" applyAlignment="1" applyBorder="1" applyFont="1">
      <alignment horizontal="center"/>
    </xf>
    <xf borderId="22" fillId="0" fontId="6" numFmtId="0" xfId="0" applyAlignment="1" applyBorder="1" applyFont="1">
      <alignment horizontal="center" shrinkToFit="0" wrapText="0"/>
    </xf>
    <xf borderId="23" fillId="0" fontId="6" numFmtId="0" xfId="0" applyAlignment="1" applyBorder="1" applyFont="1">
      <alignment horizontal="center" shrinkToFit="0" wrapText="0"/>
    </xf>
    <xf borderId="23" fillId="2" fontId="16" numFmtId="0" xfId="0" applyAlignment="1" applyBorder="1" applyFont="1">
      <alignment horizontal="center" shrinkToFit="0" wrapText="0"/>
    </xf>
    <xf borderId="0" fillId="4" fontId="16" numFmtId="0" xfId="0" applyAlignment="1" applyFont="1">
      <alignment horizontal="center" shrinkToFit="0" wrapText="0"/>
    </xf>
    <xf borderId="10" fillId="2" fontId="16" numFmtId="0" xfId="0" applyAlignment="1" applyBorder="1" applyFont="1">
      <alignment horizontal="center" shrinkToFit="0" wrapText="0"/>
    </xf>
    <xf borderId="11" fillId="2" fontId="16" numFmtId="164" xfId="0" applyAlignment="1" applyBorder="1" applyFont="1" applyNumberFormat="1">
      <alignment horizontal="center" shrinkToFit="0" wrapText="0"/>
    </xf>
    <xf borderId="0" fillId="2" fontId="16" numFmtId="164" xfId="0" applyAlignment="1" applyFont="1" applyNumberFormat="1">
      <alignment horizontal="center" shrinkToFit="0" wrapText="0"/>
    </xf>
    <xf borderId="0" fillId="2" fontId="17" numFmtId="0" xfId="0" applyAlignment="1" applyFont="1">
      <alignment horizontal="center" shrinkToFit="0" vertical="center" wrapText="0"/>
    </xf>
    <xf borderId="0" fillId="4" fontId="5" numFmtId="0" xfId="0" applyAlignment="1" applyFont="1">
      <alignment horizontal="center"/>
    </xf>
    <xf borderId="24" fillId="0" fontId="6" numFmtId="164" xfId="0" applyAlignment="1" applyBorder="1" applyFont="1" applyNumberFormat="1">
      <alignment horizontal="center"/>
    </xf>
    <xf borderId="25" fillId="0" fontId="6" numFmtId="164" xfId="0" applyAlignment="1" applyBorder="1" applyFont="1" applyNumberFormat="1">
      <alignment horizontal="center"/>
    </xf>
    <xf borderId="26" fillId="0" fontId="3" numFmtId="0" xfId="0" applyBorder="1" applyFont="1"/>
    <xf borderId="27" fillId="0" fontId="6" numFmtId="164" xfId="0" applyAlignment="1" applyBorder="1" applyFont="1" applyNumberFormat="1">
      <alignment horizontal="center"/>
    </xf>
    <xf borderId="26" fillId="0" fontId="6" numFmtId="164" xfId="0" applyAlignment="1" applyBorder="1" applyFont="1" applyNumberFormat="1">
      <alignment horizontal="center"/>
    </xf>
    <xf borderId="27" fillId="0" fontId="6" numFmtId="164" xfId="0" applyBorder="1" applyFont="1" applyNumberFormat="1"/>
    <xf borderId="28" fillId="4" fontId="18" numFmtId="0" xfId="0" applyAlignment="1" applyBorder="1" applyFont="1">
      <alignment horizontal="center" shrinkToFit="0" vertical="center" wrapText="1"/>
    </xf>
    <xf borderId="29" fillId="4" fontId="19" numFmtId="0" xfId="0" applyAlignment="1" applyBorder="1" applyFont="1">
      <alignment horizontal="center" shrinkToFit="0" vertical="center" wrapText="1"/>
    </xf>
    <xf borderId="0" fillId="4" fontId="18" numFmtId="0" xfId="0" applyAlignment="1" applyFont="1">
      <alignment horizontal="center" shrinkToFit="0" vertical="center" wrapText="1"/>
    </xf>
    <xf borderId="0" fillId="5" fontId="17" numFmtId="49" xfId="0" applyAlignment="1" applyFont="1" applyNumberFormat="1">
      <alignment shrinkToFit="0" wrapText="1"/>
    </xf>
    <xf borderId="0" fillId="4" fontId="20" numFmtId="49" xfId="0" applyAlignment="1" applyFont="1" applyNumberFormat="1">
      <alignment shrinkToFit="0" wrapText="1"/>
    </xf>
    <xf borderId="0" fillId="5" fontId="17" numFmtId="49" xfId="0" applyAlignment="1" applyFont="1" applyNumberFormat="1">
      <alignment horizontal="center" shrinkToFit="0" wrapText="1"/>
    </xf>
    <xf borderId="0" fillId="5" fontId="20" numFmtId="49" xfId="0" applyAlignment="1" applyFont="1" applyNumberFormat="1">
      <alignment shrinkToFit="0" wrapText="1"/>
    </xf>
    <xf borderId="0" fillId="5" fontId="20" numFmtId="164" xfId="0" applyAlignment="1" applyFont="1" applyNumberFormat="1">
      <alignment shrinkToFit="0" wrapText="1"/>
    </xf>
    <xf borderId="0" fillId="4" fontId="20" numFmtId="0" xfId="0" applyFont="1"/>
    <xf borderId="0" fillId="4" fontId="20" numFmtId="0" xfId="0" applyAlignment="1" applyFont="1">
      <alignment horizontal="center" shrinkToFit="0" wrapText="1"/>
    </xf>
    <xf borderId="0" fillId="4" fontId="17" numFmtId="0" xfId="0" applyAlignment="1" applyFont="1">
      <alignment horizontal="center" shrinkToFit="0" wrapText="1"/>
    </xf>
    <xf borderId="30" fillId="4" fontId="17" numFmtId="0" xfId="0" applyAlignment="1" applyBorder="1" applyFont="1">
      <alignment horizontal="center" shrinkToFit="0" wrapText="1"/>
    </xf>
    <xf borderId="31" fillId="5" fontId="21" numFmtId="164" xfId="0" applyAlignment="1" applyBorder="1" applyFont="1" applyNumberFormat="1">
      <alignment horizontal="center" shrinkToFit="0" wrapText="0"/>
    </xf>
    <xf borderId="32" fillId="5" fontId="21" numFmtId="164" xfId="0" applyAlignment="1" applyBorder="1" applyFont="1" applyNumberFormat="1">
      <alignment horizontal="center" shrinkToFit="0" wrapText="0"/>
    </xf>
    <xf borderId="32" fillId="5" fontId="21" numFmtId="0" xfId="0" applyAlignment="1" applyBorder="1" applyFont="1">
      <alignment horizontal="center" readingOrder="0" shrinkToFit="0" wrapText="0"/>
    </xf>
    <xf borderId="33" fillId="5" fontId="21" numFmtId="164" xfId="0" applyAlignment="1" applyBorder="1" applyFont="1" applyNumberFormat="1">
      <alignment horizontal="center" shrinkToFit="0" wrapText="0"/>
    </xf>
    <xf borderId="34" fillId="5" fontId="21" numFmtId="164" xfId="0" applyAlignment="1" applyBorder="1" applyFont="1" applyNumberFormat="1">
      <alignment horizontal="center" shrinkToFit="0" wrapText="0"/>
    </xf>
    <xf borderId="23" fillId="3" fontId="5" numFmtId="0" xfId="0" applyAlignment="1" applyBorder="1" applyFont="1">
      <alignment horizontal="center"/>
    </xf>
    <xf borderId="23" fillId="0" fontId="3" numFmtId="0" xfId="0" applyBorder="1" applyFont="1"/>
    <xf borderId="35" fillId="0" fontId="3" numFmtId="0" xfId="0" applyBorder="1" applyFont="1"/>
    <xf borderId="22" fillId="3" fontId="5" numFmtId="0" xfId="0" applyAlignment="1" applyBorder="1" applyFont="1">
      <alignment horizontal="center"/>
    </xf>
    <xf borderId="0" fillId="3" fontId="5" numFmtId="0" xfId="0" applyAlignment="1" applyFont="1">
      <alignment horizontal="center"/>
    </xf>
    <xf borderId="35" fillId="3" fontId="5" numFmtId="0" xfId="0" applyAlignment="1" applyBorder="1" applyFont="1">
      <alignment horizontal="center"/>
    </xf>
    <xf borderId="36" fillId="3" fontId="5" numFmtId="0" xfId="0" applyAlignment="1" applyBorder="1" applyFont="1">
      <alignment horizontal="center"/>
    </xf>
    <xf borderId="37" fillId="0" fontId="3" numFmtId="0" xfId="0" applyBorder="1" applyFont="1"/>
    <xf borderId="38" fillId="0" fontId="3" numFmtId="0" xfId="0" applyBorder="1" applyFont="1"/>
    <xf borderId="39" fillId="3" fontId="5" numFmtId="0" xfId="0" applyAlignment="1" applyBorder="1" applyFont="1">
      <alignment horizontal="center"/>
    </xf>
    <xf borderId="29" fillId="0" fontId="3" numFmtId="0" xfId="0" applyBorder="1" applyFont="1"/>
    <xf borderId="40" fillId="0" fontId="3" numFmtId="0" xfId="0" applyBorder="1" applyFont="1"/>
    <xf borderId="34" fillId="3" fontId="5" numFmtId="0" xfId="0" applyAlignment="1" applyBorder="1" applyFont="1">
      <alignment horizontal="center"/>
    </xf>
    <xf borderId="13" fillId="0" fontId="6" numFmtId="0" xfId="0" applyAlignment="1" applyBorder="1" applyFont="1">
      <alignment horizontal="center" vertical="center"/>
    </xf>
    <xf borderId="13" fillId="0" fontId="5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readingOrder="0" shrinkToFit="0" vertical="center" wrapText="1"/>
    </xf>
    <xf borderId="39" fillId="0" fontId="6" numFmtId="0" xfId="0" applyAlignment="1" applyBorder="1" applyFont="1">
      <alignment shrinkToFit="0" wrapText="1"/>
    </xf>
    <xf borderId="29" fillId="0" fontId="6" numFmtId="0" xfId="0" applyAlignment="1" applyBorder="1" applyFont="1">
      <alignment shrinkToFit="0" wrapText="1"/>
    </xf>
    <xf borderId="40" fillId="0" fontId="6" numFmtId="0" xfId="0" applyAlignment="1" applyBorder="1" applyFont="1">
      <alignment shrinkToFit="0" wrapText="1"/>
    </xf>
    <xf borderId="29" fillId="0" fontId="6" numFmtId="0" xfId="0" applyAlignment="1" applyBorder="1" applyFont="1">
      <alignment horizontal="center" shrinkToFit="0" vertical="center" wrapText="1"/>
    </xf>
    <xf borderId="2" fillId="3" fontId="12" numFmtId="0" xfId="0" applyAlignment="1" applyBorder="1" applyFont="1">
      <alignment horizontal="center" shrinkToFit="0" vertical="center" wrapText="1"/>
    </xf>
    <xf borderId="29" fillId="0" fontId="22" numFmtId="0" xfId="0" applyAlignment="1" applyBorder="1" applyFont="1">
      <alignment shrinkToFit="0" wrapText="1"/>
    </xf>
    <xf borderId="40" fillId="0" fontId="6" numFmtId="0" xfId="0" applyBorder="1" applyFont="1"/>
    <xf borderId="39" fillId="0" fontId="6" numFmtId="0" xfId="0" applyBorder="1" applyFont="1"/>
    <xf borderId="29" fillId="0" fontId="6" numFmtId="0" xfId="0" applyBorder="1" applyFont="1"/>
    <xf borderId="39" fillId="0" fontId="23" numFmtId="0" xfId="0" applyBorder="1" applyFont="1"/>
    <xf borderId="29" fillId="0" fontId="23" numFmtId="0" xfId="0" applyBorder="1" applyFont="1"/>
    <xf borderId="29" fillId="4" fontId="23" numFmtId="0" xfId="0" applyBorder="1" applyFont="1"/>
    <xf borderId="40" fillId="2" fontId="23" numFmtId="0" xfId="0" applyBorder="1" applyFont="1"/>
    <xf borderId="29" fillId="4" fontId="17" numFmtId="0" xfId="0" applyAlignment="1" applyBorder="1" applyFont="1">
      <alignment shrinkToFit="0" vertical="center" wrapText="0"/>
    </xf>
    <xf borderId="41" fillId="0" fontId="6" numFmtId="0" xfId="0" applyAlignment="1" applyBorder="1" applyFont="1">
      <alignment horizontal="center"/>
    </xf>
    <xf borderId="42" fillId="0" fontId="6" numFmtId="0" xfId="0" applyAlignment="1" applyBorder="1" applyFont="1">
      <alignment horizontal="center"/>
    </xf>
    <xf borderId="43" fillId="0" fontId="6" numFmtId="0" xfId="0" applyAlignment="1" applyBorder="1" applyFont="1">
      <alignment horizontal="center"/>
    </xf>
    <xf borderId="44" fillId="0" fontId="6" numFmtId="0" xfId="0" applyAlignment="1" applyBorder="1" applyFont="1">
      <alignment horizontal="center"/>
    </xf>
    <xf borderId="40" fillId="4" fontId="18" numFmtId="0" xfId="0" applyAlignment="1" applyBorder="1" applyFont="1">
      <alignment horizontal="center" shrinkToFit="0" vertical="center" wrapText="1"/>
    </xf>
    <xf borderId="29" fillId="2" fontId="20" numFmtId="0" xfId="0" applyAlignment="1" applyBorder="1" applyFont="1">
      <alignment shrinkToFit="0" wrapText="1"/>
    </xf>
    <xf borderId="29" fillId="4" fontId="23" numFmtId="0" xfId="0" applyAlignment="1" applyBorder="1" applyFont="1">
      <alignment shrinkToFit="0" wrapText="0"/>
    </xf>
    <xf borderId="29" fillId="0" fontId="23" numFmtId="0" xfId="0" applyAlignment="1" applyBorder="1" applyFont="1">
      <alignment shrinkToFit="0" wrapText="1"/>
    </xf>
    <xf borderId="29" fillId="2" fontId="24" numFmtId="0" xfId="0" applyAlignment="1" applyBorder="1" applyFont="1">
      <alignment shrinkToFit="0" wrapText="1"/>
    </xf>
    <xf borderId="29" fillId="4" fontId="20" numFmtId="49" xfId="0" applyAlignment="1" applyBorder="1" applyFont="1" applyNumberFormat="1">
      <alignment shrinkToFit="0" wrapText="1"/>
    </xf>
    <xf borderId="29" fillId="4" fontId="23" numFmtId="0" xfId="0" applyAlignment="1" applyBorder="1" applyFont="1">
      <alignment shrinkToFit="0" wrapText="1"/>
    </xf>
    <xf borderId="39" fillId="4" fontId="23" numFmtId="0" xfId="0" applyAlignment="1" applyBorder="1" applyFont="1">
      <alignment shrinkToFit="0" wrapText="0"/>
    </xf>
    <xf borderId="31" fillId="5" fontId="21" numFmtId="164" xfId="0" applyAlignment="1" applyBorder="1" applyFont="1" applyNumberFormat="1">
      <alignment shrinkToFit="0" wrapText="0"/>
    </xf>
    <xf borderId="32" fillId="5" fontId="21" numFmtId="164" xfId="0" applyAlignment="1" applyBorder="1" applyFont="1" applyNumberFormat="1">
      <alignment shrinkToFit="0" wrapText="0"/>
    </xf>
    <xf borderId="32" fillId="5" fontId="21" numFmtId="0" xfId="0" applyAlignment="1" applyBorder="1" applyFont="1">
      <alignment shrinkToFit="0" wrapText="0"/>
    </xf>
    <xf borderId="33" fillId="5" fontId="21" numFmtId="164" xfId="0" applyAlignment="1" applyBorder="1" applyFont="1" applyNumberFormat="1">
      <alignment shrinkToFit="0" wrapText="0"/>
    </xf>
    <xf borderId="34" fillId="5" fontId="8" numFmtId="0" xfId="0" applyAlignment="1" applyBorder="1" applyFont="1">
      <alignment shrinkToFit="0" wrapText="1"/>
    </xf>
    <xf borderId="0" fillId="0" fontId="25" numFmtId="0" xfId="0" applyFont="1"/>
    <xf borderId="0" fillId="0" fontId="25" numFmtId="0" xfId="0" applyAlignment="1" applyFont="1">
      <alignment vertical="bottom"/>
    </xf>
    <xf borderId="8" fillId="0" fontId="26" numFmtId="167" xfId="0" applyAlignment="1" applyBorder="1" applyFont="1" applyNumberFormat="1">
      <alignment vertical="bottom"/>
    </xf>
    <xf borderId="10" fillId="0" fontId="25" numFmtId="0" xfId="0" applyBorder="1" applyFont="1"/>
    <xf borderId="11" fillId="0" fontId="25" numFmtId="0" xfId="0" applyBorder="1" applyFont="1"/>
    <xf borderId="0" fillId="0" fontId="25" numFmtId="167" xfId="0" applyFont="1" applyNumberFormat="1"/>
    <xf borderId="0" fillId="0" fontId="27" numFmtId="0" xfId="0" applyAlignment="1" applyFont="1">
      <alignment vertical="bottom"/>
    </xf>
    <xf borderId="0" fillId="2" fontId="25" numFmtId="0" xfId="0" applyFont="1"/>
    <xf borderId="0" fillId="4" fontId="25" numFmtId="0" xfId="0" applyAlignment="1" applyFont="1">
      <alignment horizontal="center"/>
    </xf>
    <xf borderId="0" fillId="4" fontId="25" numFmtId="0" xfId="0" applyFont="1"/>
    <xf borderId="0" fillId="4" fontId="28" numFmtId="0" xfId="0" applyAlignment="1" applyFont="1">
      <alignment horizontal="center"/>
    </xf>
    <xf borderId="0" fillId="4" fontId="29" numFmtId="0" xfId="0" applyFont="1"/>
    <xf borderId="0" fillId="4" fontId="29" numFmtId="0" xfId="0" applyAlignment="1" applyFont="1">
      <alignment shrinkToFit="0" wrapText="1"/>
    </xf>
    <xf borderId="0" fillId="0" fontId="29" numFmtId="0" xfId="0" applyAlignment="1" applyFont="1">
      <alignment shrinkToFit="0" wrapText="1"/>
    </xf>
    <xf borderId="0" fillId="2" fontId="27" numFmtId="176" xfId="0" applyAlignment="1" applyFont="1" applyNumberFormat="1">
      <alignment vertical="bottom"/>
    </xf>
    <xf borderId="0" fillId="0" fontId="25" numFmtId="171" xfId="0" applyFont="1" applyNumberFormat="1"/>
    <xf borderId="0" fillId="0" fontId="25" numFmtId="20" xfId="0" applyFont="1" applyNumberFormat="1"/>
    <xf borderId="8" fillId="0" fontId="7" numFmtId="167" xfId="0" applyAlignment="1" applyBorder="1" applyFont="1" applyNumberFormat="1">
      <alignment vertical="bottom"/>
    </xf>
    <xf borderId="10" fillId="0" fontId="6" numFmtId="0" xfId="0" applyBorder="1" applyFont="1"/>
    <xf borderId="11" fillId="0" fontId="6" numFmtId="0" xfId="0" applyBorder="1" applyFont="1"/>
    <xf borderId="0" fillId="0" fontId="6" numFmtId="167" xfId="0" applyFont="1" applyNumberFormat="1"/>
    <xf borderId="0" fillId="0" fontId="6" numFmtId="169" xfId="0" applyFont="1" applyNumberFormat="1"/>
    <xf borderId="0" fillId="4" fontId="6" numFmtId="0" xfId="0" applyAlignment="1" applyFont="1">
      <alignment horizontal="center"/>
    </xf>
    <xf borderId="0" fillId="4" fontId="6" numFmtId="0" xfId="0" applyFont="1"/>
    <xf borderId="0" fillId="4" fontId="6" numFmtId="0" xfId="0" applyAlignment="1" applyFont="1">
      <alignment horizontal="right" vertical="bottom"/>
    </xf>
    <xf borderId="0" fillId="4" fontId="20" numFmtId="0" xfId="0" applyAlignment="1" applyFont="1">
      <alignment shrinkToFit="0" wrapText="1"/>
    </xf>
    <xf borderId="0" fillId="0" fontId="20" numFmtId="0" xfId="0" applyAlignment="1" applyFont="1">
      <alignment shrinkToFit="0" wrapText="1"/>
    </xf>
    <xf borderId="0" fillId="0" fontId="6" numFmtId="170" xfId="0" applyFont="1" applyNumberFormat="1"/>
    <xf borderId="0" fillId="0" fontId="6" numFmtId="172" xfId="0" applyFont="1" applyNumberFormat="1"/>
    <xf borderId="0" fillId="0" fontId="6" numFmtId="20" xfId="0" applyFont="1" applyNumberFormat="1"/>
    <xf borderId="0" fillId="0" fontId="6" numFmtId="173" xfId="0" applyFont="1" applyNumberFormat="1"/>
    <xf borderId="0" fillId="4" fontId="6" numFmtId="173" xfId="0" applyFont="1" applyNumberFormat="1"/>
    <xf borderId="0" fillId="0" fontId="30" numFmtId="0" xfId="0" applyFont="1"/>
    <xf borderId="0" fillId="4" fontId="25" numFmtId="0" xfId="0" applyAlignment="1" applyFont="1">
      <alignment horizontal="right" vertical="bottom"/>
    </xf>
    <xf borderId="0" fillId="0" fontId="25" numFmtId="0" xfId="0" applyAlignment="1" applyFont="1">
      <alignment horizontal="right"/>
    </xf>
    <xf borderId="0" fillId="0" fontId="25" numFmtId="170" xfId="0" applyFont="1" applyNumberFormat="1"/>
    <xf borderId="0" fillId="2" fontId="6" numFmtId="0" xfId="0" applyAlignment="1" applyFont="1">
      <alignment readingOrder="0"/>
    </xf>
    <xf borderId="8" fillId="0" fontId="7" numFmtId="167" xfId="0" applyAlignment="1" applyBorder="1" applyFont="1" applyNumberFormat="1">
      <alignment readingOrder="0" vertical="bottom"/>
    </xf>
    <xf borderId="10" fillId="0" fontId="6" numFmtId="0" xfId="0" applyAlignment="1" applyBorder="1" applyFont="1">
      <alignment readingOrder="0"/>
    </xf>
    <xf borderId="11" fillId="0" fontId="6" numFmtId="0" xfId="0" applyAlignment="1" applyBorder="1" applyFont="1">
      <alignment readingOrder="0"/>
    </xf>
    <xf borderId="0" fillId="0" fontId="6" numFmtId="167" xfId="0" applyAlignment="1" applyFont="1" applyNumberFormat="1">
      <alignment readingOrder="0"/>
    </xf>
    <xf borderId="0" fillId="0" fontId="6" numFmtId="170" xfId="0" applyAlignment="1" applyFont="1" applyNumberFormat="1">
      <alignment readingOrder="0"/>
    </xf>
    <xf borderId="0" fillId="0" fontId="20" numFmtId="0" xfId="0" applyAlignment="1" applyFont="1">
      <alignment readingOrder="0" shrinkToFit="0" wrapText="1"/>
    </xf>
    <xf borderId="0" fillId="0" fontId="31" numFmtId="0" xfId="0" applyAlignment="1" applyFont="1">
      <alignment readingOrder="0" shrinkToFit="0" vertical="bottom" wrapText="1"/>
    </xf>
    <xf borderId="0" fillId="0" fontId="7" numFmtId="0" xfId="0" applyAlignment="1" applyFont="1">
      <alignment horizontal="right" readingOrder="0" vertical="bottom"/>
    </xf>
    <xf borderId="0" fillId="0" fontId="6" numFmtId="0" xfId="0" applyAlignment="1" applyFont="1">
      <alignment horizontal="right" readingOrder="0"/>
    </xf>
    <xf borderId="0" fillId="0" fontId="6" numFmtId="20" xfId="0" applyAlignment="1" applyFont="1" applyNumberFormat="1">
      <alignment readingOrder="0"/>
    </xf>
    <xf borderId="0" fillId="0" fontId="7" numFmtId="0" xfId="0" applyAlignment="1" applyFont="1">
      <alignment horizontal="right" vertical="bottom"/>
    </xf>
    <xf borderId="0" fillId="0" fontId="9" numFmtId="0" xfId="0" applyFont="1"/>
    <xf borderId="15" fillId="2" fontId="6" numFmtId="0" xfId="0" applyBorder="1" applyFont="1"/>
    <xf borderId="15" fillId="0" fontId="6" numFmtId="0" xfId="0" applyAlignment="1" applyBorder="1" applyFont="1">
      <alignment vertical="bottom"/>
    </xf>
    <xf borderId="16" fillId="0" fontId="7" numFmtId="167" xfId="0" applyAlignment="1" applyBorder="1" applyFont="1" applyNumberFormat="1">
      <alignment readingOrder="0" vertical="bottom"/>
    </xf>
    <xf borderId="15" fillId="0" fontId="6" numFmtId="0" xfId="0" applyAlignment="1" applyBorder="1" applyFont="1">
      <alignment readingOrder="0"/>
    </xf>
    <xf borderId="45" fillId="0" fontId="6" numFmtId="0" xfId="0" applyAlignment="1" applyBorder="1" applyFont="1">
      <alignment readingOrder="0"/>
    </xf>
    <xf borderId="46" fillId="0" fontId="6" numFmtId="0" xfId="0" applyAlignment="1" applyBorder="1" applyFont="1">
      <alignment readingOrder="0"/>
    </xf>
    <xf borderId="15" fillId="0" fontId="6" numFmtId="167" xfId="0" applyBorder="1" applyFont="1" applyNumberFormat="1"/>
    <xf borderId="15" fillId="0" fontId="6" numFmtId="167" xfId="0" applyAlignment="1" applyBorder="1" applyFont="1" applyNumberFormat="1">
      <alignment readingOrder="0"/>
    </xf>
    <xf borderId="15" fillId="0" fontId="9" numFmtId="0" xfId="0" applyBorder="1" applyFont="1"/>
    <xf borderId="15" fillId="0" fontId="12" numFmtId="0" xfId="0" applyAlignment="1" applyBorder="1" applyFont="1">
      <alignment vertical="bottom"/>
    </xf>
    <xf borderId="45" fillId="0" fontId="6" numFmtId="0" xfId="0" applyBorder="1" applyFont="1"/>
    <xf borderId="46" fillId="0" fontId="6" numFmtId="0" xfId="0" applyBorder="1" applyFont="1"/>
    <xf borderId="15" fillId="4" fontId="6" numFmtId="0" xfId="0" applyAlignment="1" applyBorder="1" applyFont="1">
      <alignment horizontal="center"/>
    </xf>
    <xf borderId="15" fillId="4" fontId="6" numFmtId="0" xfId="0" applyBorder="1" applyFont="1"/>
    <xf borderId="15" fillId="4" fontId="5" numFmtId="0" xfId="0" applyAlignment="1" applyBorder="1" applyFont="1">
      <alignment horizontal="center"/>
    </xf>
    <xf borderId="15" fillId="4" fontId="20" numFmtId="0" xfId="0" applyBorder="1" applyFont="1"/>
    <xf borderId="15" fillId="4" fontId="6" numFmtId="0" xfId="0" applyAlignment="1" applyBorder="1" applyFont="1">
      <alignment horizontal="right" vertical="bottom"/>
    </xf>
    <xf borderId="15" fillId="4" fontId="20" numFmtId="0" xfId="0" applyAlignment="1" applyBorder="1" applyFont="1">
      <alignment shrinkToFit="0" wrapText="1"/>
    </xf>
    <xf borderId="15" fillId="0" fontId="20" numFmtId="0" xfId="0" applyAlignment="1" applyBorder="1" applyFont="1">
      <alignment shrinkToFit="0" wrapText="1"/>
    </xf>
    <xf borderId="0" fillId="0" fontId="9" numFmtId="174" xfId="0" applyAlignment="1" applyFont="1" applyNumberFormat="1">
      <alignment readingOrder="0"/>
    </xf>
    <xf borderId="0" fillId="0" fontId="9" numFmtId="20" xfId="0" applyAlignment="1" applyFont="1" applyNumberFormat="1">
      <alignment readingOrder="0"/>
    </xf>
    <xf borderId="0" fillId="0" fontId="9" numFmtId="170" xfId="0" applyAlignment="1" applyFont="1" applyNumberFormat="1">
      <alignment readingOrder="0"/>
    </xf>
    <xf borderId="0" fillId="0" fontId="9" numFmtId="175" xfId="0" applyAlignment="1" applyFont="1" applyNumberFormat="1">
      <alignment readingOrder="0"/>
    </xf>
    <xf borderId="0" fillId="0" fontId="9" numFmtId="171" xfId="0" applyAlignment="1" applyFont="1" applyNumberFormat="1">
      <alignment readingOrder="0"/>
    </xf>
    <xf borderId="0" fillId="0" fontId="9" numFmtId="177" xfId="0" applyAlignment="1" applyFont="1" applyNumberFormat="1">
      <alignment readingOrder="0"/>
    </xf>
    <xf borderId="11" fillId="0" fontId="6" numFmtId="0" xfId="0" applyAlignment="1" applyBorder="1" applyFont="1">
      <alignment vertical="bottom"/>
    </xf>
    <xf borderId="0" fillId="0" fontId="6" numFmtId="167" xfId="0" applyAlignment="1" applyFont="1" applyNumberFormat="1">
      <alignment readingOrder="0" vertical="bottom"/>
    </xf>
    <xf borderId="0" fillId="0" fontId="6" numFmtId="171" xfId="0" applyAlignment="1" applyFont="1" applyNumberFormat="1">
      <alignment horizontal="right" readingOrder="0" vertical="bottom"/>
    </xf>
    <xf borderId="0" fillId="0" fontId="6" numFmtId="170" xfId="0" applyAlignment="1" applyFont="1" applyNumberFormat="1">
      <alignment vertical="bottom"/>
    </xf>
    <xf borderId="10" fillId="5" fontId="6" numFmtId="0" xfId="0" applyAlignment="1" applyBorder="1" applyFont="1">
      <alignment vertical="bottom"/>
    </xf>
    <xf borderId="0" fillId="5" fontId="6" numFmtId="0" xfId="0" applyAlignment="1" applyFont="1">
      <alignment readingOrder="0" vertical="bottom"/>
    </xf>
    <xf borderId="0" fillId="5" fontId="6" numFmtId="0" xfId="0" applyAlignment="1" applyFont="1">
      <alignment vertical="bottom"/>
    </xf>
    <xf borderId="11" fillId="0" fontId="6" numFmtId="0" xfId="0" applyAlignment="1" applyBorder="1" applyFont="1">
      <alignment horizontal="right" vertical="bottom"/>
    </xf>
    <xf borderId="0" fillId="4" fontId="6" numFmtId="0" xfId="0" applyAlignment="1" applyFont="1">
      <alignment horizontal="center" vertical="bottom"/>
    </xf>
    <xf borderId="0" fillId="4" fontId="6" numFmtId="0" xfId="0" applyAlignment="1" applyFont="1">
      <alignment vertical="bottom"/>
    </xf>
    <xf borderId="0" fillId="4" fontId="5" numFmtId="0" xfId="0" applyAlignment="1" applyFont="1">
      <alignment horizontal="center" vertical="bottom"/>
    </xf>
    <xf borderId="0" fillId="0" fontId="6" numFmtId="20" xfId="0" applyAlignment="1" applyFont="1" applyNumberFormat="1">
      <alignment horizontal="right" readingOrder="0" vertical="bottom"/>
    </xf>
    <xf borderId="0" fillId="4" fontId="31" numFmtId="0" xfId="0" applyAlignment="1" applyFont="1">
      <alignment horizontal="right" vertical="bottom"/>
    </xf>
    <xf borderId="0" fillId="4" fontId="31" numFmtId="0" xfId="0" applyAlignment="1" applyFont="1">
      <alignment horizontal="right" shrinkToFit="0" vertical="bottom" wrapText="1"/>
    </xf>
    <xf borderId="0" fillId="4" fontId="31" numFmtId="0" xfId="0" applyAlignment="1" applyFont="1">
      <alignment shrinkToFit="0" vertical="bottom" wrapText="1"/>
    </xf>
    <xf borderId="0" fillId="0" fontId="31" numFmtId="0" xfId="0" applyAlignment="1" applyFont="1">
      <alignment horizontal="right" readingOrder="0" shrinkToFit="0" vertical="bottom" wrapText="1"/>
    </xf>
    <xf borderId="0" fillId="0" fontId="31" numFmtId="0" xfId="0" applyAlignment="1" applyFont="1">
      <alignment shrinkToFit="0" vertical="bottom" wrapText="1"/>
    </xf>
    <xf borderId="0" fillId="0" fontId="31" numFmtId="0" xfId="0" applyAlignment="1" applyFont="1">
      <alignment horizontal="right" shrinkToFit="0" vertical="bottom" wrapText="1"/>
    </xf>
    <xf borderId="0" fillId="0" fontId="6" numFmtId="170" xfId="0" applyAlignment="1" applyFont="1" applyNumberFormat="1">
      <alignment horizontal="right" vertical="bottom"/>
    </xf>
    <xf borderId="0" fillId="0" fontId="6" numFmtId="174" xfId="0" applyAlignment="1" applyFont="1" applyNumberFormat="1">
      <alignment horizontal="right" vertical="bottom"/>
    </xf>
    <xf borderId="0" fillId="0" fontId="6" numFmtId="167" xfId="0" applyAlignment="1" applyFont="1" applyNumberFormat="1">
      <alignment horizontal="right" vertical="bottom"/>
    </xf>
    <xf borderId="0" fillId="0" fontId="6" numFmtId="172" xfId="0" applyAlignment="1" applyFont="1" applyNumberFormat="1">
      <alignment vertical="bottom"/>
    </xf>
    <xf borderId="0" fillId="0" fontId="6" numFmtId="177" xfId="0" applyAlignment="1" applyFont="1" applyNumberFormat="1">
      <alignment horizontal="right" vertical="bottom"/>
    </xf>
    <xf borderId="0" fillId="0" fontId="6" numFmtId="167" xfId="0" applyAlignment="1" applyFont="1" applyNumberFormat="1">
      <alignment vertical="bottom"/>
    </xf>
    <xf borderId="10" fillId="0" fontId="6" numFmtId="0" xfId="0" applyAlignment="1" applyBorder="1" applyFont="1">
      <alignment vertical="bottom"/>
    </xf>
    <xf borderId="10" fillId="0" fontId="6" numFmtId="0" xfId="0" applyAlignment="1" applyBorder="1" applyFont="1">
      <alignment horizontal="right" vertical="bottom"/>
    </xf>
    <xf borderId="0" fillId="0" fontId="6" numFmtId="173" xfId="0" applyAlignment="1" applyFont="1" applyNumberFormat="1">
      <alignment horizontal="right" vertical="bottom"/>
    </xf>
    <xf borderId="0" fillId="4" fontId="6" numFmtId="173" xfId="0" applyAlignment="1" applyFont="1" applyNumberFormat="1">
      <alignment horizontal="right" vertical="bottom"/>
    </xf>
    <xf borderId="0" fillId="0" fontId="25" numFmtId="0" xfId="0" applyAlignment="1" applyFont="1">
      <alignment readingOrder="0" vertical="bottom"/>
    </xf>
    <xf borderId="8" fillId="0" fontId="26" numFmtId="167" xfId="0" applyAlignment="1" applyBorder="1" applyFont="1" applyNumberFormat="1">
      <alignment readingOrder="0" vertical="bottom"/>
    </xf>
    <xf borderId="0" fillId="0" fontId="25" numFmtId="0" xfId="0" applyAlignment="1" applyFont="1">
      <alignment horizontal="right" vertical="bottom"/>
    </xf>
    <xf borderId="11" fillId="0" fontId="25" numFmtId="0" xfId="0" applyAlignment="1" applyBorder="1" applyFont="1">
      <alignment vertical="bottom"/>
    </xf>
    <xf borderId="0" fillId="0" fontId="25" numFmtId="167" xfId="0" applyAlignment="1" applyFont="1" applyNumberFormat="1">
      <alignment vertical="bottom"/>
    </xf>
    <xf borderId="0" fillId="0" fontId="25" numFmtId="171" xfId="0" applyAlignment="1" applyFont="1" applyNumberFormat="1">
      <alignment horizontal="right" vertical="bottom"/>
    </xf>
    <xf borderId="0" fillId="0" fontId="25" numFmtId="170" xfId="0" applyAlignment="1" applyFont="1" applyNumberFormat="1">
      <alignment vertical="bottom"/>
    </xf>
    <xf borderId="10" fillId="5" fontId="25" numFmtId="0" xfId="0" applyAlignment="1" applyBorder="1" applyFont="1">
      <alignment vertical="bottom"/>
    </xf>
    <xf borderId="0" fillId="5" fontId="25" numFmtId="0" xfId="0" applyAlignment="1" applyFont="1">
      <alignment vertical="bottom"/>
    </xf>
    <xf borderId="11" fillId="0" fontId="25" numFmtId="0" xfId="0" applyAlignment="1" applyBorder="1" applyFont="1">
      <alignment horizontal="right" vertical="bottom"/>
    </xf>
    <xf borderId="0" fillId="4" fontId="25" numFmtId="0" xfId="0" applyAlignment="1" applyFont="1">
      <alignment horizontal="center" vertical="bottom"/>
    </xf>
    <xf borderId="0" fillId="4" fontId="25" numFmtId="0" xfId="0" applyAlignment="1" applyFont="1">
      <alignment vertical="bottom"/>
    </xf>
    <xf borderId="0" fillId="4" fontId="28" numFmtId="0" xfId="0" applyAlignment="1" applyFont="1">
      <alignment horizontal="center" vertical="bottom"/>
    </xf>
    <xf borderId="0" fillId="4" fontId="29" numFmtId="0" xfId="0" applyAlignment="1" applyFont="1">
      <alignment horizontal="right" vertical="bottom"/>
    </xf>
    <xf borderId="0" fillId="4" fontId="29" numFmtId="0" xfId="0" applyAlignment="1" applyFont="1">
      <alignment horizontal="right" shrinkToFit="0" vertical="bottom" wrapText="1"/>
    </xf>
    <xf borderId="0" fillId="4" fontId="29" numFmtId="0" xfId="0" applyAlignment="1" applyFont="1">
      <alignment shrinkToFit="0" vertical="bottom" wrapText="1"/>
    </xf>
    <xf borderId="0" fillId="0" fontId="29" numFmtId="0" xfId="0" applyAlignment="1" applyFont="1">
      <alignment horizontal="right" shrinkToFit="0" vertical="bottom" wrapText="1"/>
    </xf>
    <xf borderId="0" fillId="0" fontId="29" numFmtId="0" xfId="0" applyAlignment="1" applyFont="1">
      <alignment shrinkToFit="0" vertical="bottom" wrapText="1"/>
    </xf>
    <xf borderId="11" fillId="0" fontId="6" numFmtId="0" xfId="0" applyAlignment="1" applyBorder="1" applyFont="1">
      <alignment readingOrder="0" vertical="bottom"/>
    </xf>
    <xf borderId="0" fillId="0" fontId="6" numFmtId="171" xfId="0" applyAlignment="1" applyFont="1" applyNumberFormat="1">
      <alignment horizontal="right" vertical="bottom"/>
    </xf>
    <xf borderId="10" fillId="0" fontId="6" numFmtId="0" xfId="0" applyAlignment="1" applyBorder="1" applyFont="1">
      <alignment vertical="bottom"/>
    </xf>
    <xf borderId="0" fillId="0" fontId="6" numFmtId="20" xfId="0" applyAlignment="1" applyFont="1" applyNumberFormat="1">
      <alignment horizontal="right" vertical="bottom"/>
    </xf>
    <xf borderId="0" fillId="5" fontId="6" numFmtId="0" xfId="0" applyAlignment="1" applyFont="1">
      <alignment vertical="bottom"/>
    </xf>
    <xf borderId="0" fillId="0" fontId="25" numFmtId="0" xfId="0" applyAlignment="1" applyFont="1">
      <alignment horizontal="right" readingOrder="0" vertical="bottom"/>
    </xf>
    <xf borderId="11" fillId="0" fontId="25" numFmtId="0" xfId="0" applyAlignment="1" applyBorder="1" applyFont="1">
      <alignment readingOrder="0" vertical="bottom"/>
    </xf>
    <xf borderId="0" fillId="0" fontId="25" numFmtId="0" xfId="0" applyAlignment="1" applyFont="1">
      <alignment vertical="bottom"/>
    </xf>
    <xf borderId="0" fillId="0" fontId="25" numFmtId="0" xfId="0" applyAlignment="1" applyFont="1">
      <alignment horizontal="right" vertical="bottom"/>
    </xf>
    <xf borderId="0" fillId="0" fontId="25" numFmtId="0" xfId="0" applyAlignment="1" applyFont="1">
      <alignment vertical="bottom"/>
    </xf>
    <xf borderId="0" fillId="0" fontId="25" numFmtId="0" xfId="0" applyAlignment="1" applyFont="1">
      <alignment horizontal="right" vertical="bottom"/>
    </xf>
    <xf borderId="10" fillId="5" fontId="25" numFmtId="0" xfId="0" applyAlignment="1" applyBorder="1" applyFont="1">
      <alignment vertical="bottom"/>
    </xf>
    <xf borderId="0" fillId="5" fontId="25" numFmtId="0" xfId="0" applyAlignment="1" applyFont="1">
      <alignment readingOrder="0" vertical="bottom"/>
    </xf>
    <xf borderId="10" fillId="5" fontId="25" numFmtId="0" xfId="0" applyAlignment="1" applyBorder="1" applyFont="1">
      <alignment readingOrder="0" vertical="bottom"/>
    </xf>
    <xf borderId="11" fillId="0" fontId="25" numFmtId="0" xfId="0" applyAlignment="1" applyBorder="1" applyFont="1">
      <alignment horizontal="right" readingOrder="0" vertical="bottom"/>
    </xf>
    <xf borderId="0" fillId="0" fontId="25" numFmtId="20" xfId="0" applyAlignment="1" applyFont="1" applyNumberFormat="1">
      <alignment horizontal="right" readingOrder="0" vertical="bottom"/>
    </xf>
    <xf borderId="0" fillId="0" fontId="29" numFmtId="0" xfId="0" applyAlignment="1" applyFont="1">
      <alignment horizontal="right" readingOrder="0" shrinkToFit="0" vertical="bottom" wrapText="1"/>
    </xf>
    <xf borderId="0" fillId="0" fontId="29" numFmtId="0" xfId="0" applyAlignment="1" applyFont="1">
      <alignment readingOrder="0" shrinkToFit="0" vertical="bottom" wrapText="1"/>
    </xf>
    <xf borderId="8" fillId="0" fontId="7" numFmtId="167" xfId="0" applyAlignment="1" applyBorder="1" applyFont="1" applyNumberFormat="1">
      <alignment horizontal="right" vertical="bottom"/>
    </xf>
    <xf borderId="8" fillId="0" fontId="26" numFmtId="167" xfId="0" applyAlignment="1" applyBorder="1" applyFont="1" applyNumberFormat="1">
      <alignment horizontal="right" vertical="bottom"/>
    </xf>
    <xf borderId="0" fillId="0" fontId="25" numFmtId="177" xfId="0" applyAlignment="1" applyFont="1" applyNumberFormat="1">
      <alignment vertical="bottom"/>
    </xf>
    <xf borderId="0" fillId="5" fontId="25" numFmtId="0" xfId="0" applyAlignment="1" applyFont="1">
      <alignment vertical="bottom"/>
    </xf>
    <xf borderId="10" fillId="0" fontId="25" numFmtId="0" xfId="0" applyAlignment="1" applyBorder="1" applyFont="1">
      <alignment horizontal="right" vertical="bottom"/>
    </xf>
    <xf borderId="0" fillId="0" fontId="25" numFmtId="0" xfId="0" applyAlignment="1" applyFont="1">
      <alignment readingOrder="0"/>
    </xf>
    <xf borderId="0" fillId="0" fontId="30" numFmtId="0" xfId="0" applyAlignment="1" applyFont="1">
      <alignment readingOrder="0"/>
    </xf>
    <xf borderId="10" fillId="0" fontId="25" numFmtId="0" xfId="0" applyAlignment="1" applyBorder="1" applyFont="1">
      <alignment horizontal="right" vertical="bottom"/>
    </xf>
    <xf borderId="0" fillId="0" fontId="25" numFmtId="167" xfId="0" applyAlignment="1" applyFont="1" applyNumberFormat="1">
      <alignment horizontal="right" vertical="bottom"/>
    </xf>
    <xf borderId="0" fillId="5" fontId="25" numFmtId="0" xfId="0" applyAlignment="1" applyFont="1">
      <alignment vertical="bottom"/>
    </xf>
    <xf borderId="10" fillId="5" fontId="25" numFmtId="0" xfId="0" applyAlignment="1" applyBorder="1" applyFont="1">
      <alignment vertical="bottom"/>
    </xf>
    <xf borderId="0" fillId="0" fontId="25" numFmtId="20" xfId="0" applyAlignment="1" applyFont="1" applyNumberFormat="1">
      <alignment horizontal="right" vertical="bottom"/>
    </xf>
    <xf borderId="11" fillId="0" fontId="25" numFmtId="0" xfId="0" applyAlignment="1" applyBorder="1" applyFont="1">
      <alignment readingOrder="0"/>
    </xf>
    <xf borderId="10" fillId="0" fontId="25" numFmtId="0" xfId="0" applyAlignment="1" applyBorder="1" applyFont="1">
      <alignment readingOrder="0"/>
    </xf>
    <xf borderId="0" fillId="0" fontId="29" numFmtId="0" xfId="0" applyAlignment="1" applyFont="1">
      <alignment readingOrder="0" shrinkToFit="0" wrapText="1"/>
    </xf>
    <xf borderId="0" fillId="0" fontId="29" numFmtId="167" xfId="0" applyAlignment="1" applyFont="1" applyNumberFormat="1">
      <alignment horizontal="right" shrinkToFit="0" vertical="bottom" wrapText="1"/>
    </xf>
    <xf borderId="0" fillId="0" fontId="31" numFmtId="167" xfId="0" applyAlignment="1" applyFont="1" applyNumberFormat="1">
      <alignment horizontal="right" shrinkToFit="0" vertical="bottom" wrapText="1"/>
    </xf>
    <xf borderId="0" fillId="0" fontId="30" numFmtId="171" xfId="0" applyAlignment="1" applyFont="1" applyNumberFormat="1">
      <alignment readingOrder="0"/>
    </xf>
    <xf borderId="0" fillId="0" fontId="26" numFmtId="0" xfId="0" applyAlignment="1" applyFont="1">
      <alignment horizontal="right" readingOrder="0" vertical="bottom"/>
    </xf>
    <xf borderId="10" fillId="0" fontId="25" numFmtId="0" xfId="0" applyAlignment="1" applyBorder="1" applyFont="1">
      <alignment horizontal="right" readingOrder="0" vertical="bottom"/>
    </xf>
    <xf borderId="0" fillId="0" fontId="25" numFmtId="167" xfId="0" applyAlignment="1" applyFont="1" applyNumberFormat="1">
      <alignment horizontal="right" readingOrder="0" vertical="bottom"/>
    </xf>
    <xf borderId="0" fillId="0" fontId="25" numFmtId="170" xfId="0" applyAlignment="1" applyFont="1" applyNumberFormat="1">
      <alignment horizontal="right" vertical="bottom"/>
    </xf>
    <xf borderId="0" fillId="5" fontId="25" numFmtId="170" xfId="0" applyAlignment="1" applyFont="1" applyNumberFormat="1">
      <alignment vertical="bottom"/>
    </xf>
    <xf borderId="11" fillId="0" fontId="25" numFmtId="0" xfId="0" applyAlignment="1" applyBorder="1" applyFont="1">
      <alignment vertical="bottom"/>
    </xf>
    <xf borderId="9" fillId="0" fontId="26" numFmtId="0" xfId="0" applyAlignment="1" applyBorder="1" applyFont="1">
      <alignment horizontal="right" readingOrder="0" vertical="bottom"/>
    </xf>
    <xf borderId="8" fillId="0" fontId="25" numFmtId="0" xfId="0" applyAlignment="1" applyBorder="1" applyFont="1">
      <alignment horizontal="right" readingOrder="0" vertical="bottom"/>
    </xf>
    <xf borderId="0" fillId="0" fontId="25" numFmtId="167" xfId="0" applyAlignment="1" applyFont="1" applyNumberFormat="1">
      <alignment readingOrder="0" vertical="bottom"/>
    </xf>
    <xf borderId="0" fillId="0" fontId="25" numFmtId="172" xfId="0" applyAlignment="1" applyFont="1" applyNumberFormat="1">
      <alignment horizontal="right" vertical="bottom"/>
    </xf>
    <xf borderId="9" fillId="0" fontId="30" numFmtId="0" xfId="0" applyAlignment="1" applyBorder="1" applyFont="1">
      <alignment readingOrder="0"/>
    </xf>
    <xf borderId="8" fillId="0" fontId="30" numFmtId="0" xfId="0" applyAlignment="1" applyBorder="1" applyFont="1">
      <alignment readingOrder="0"/>
    </xf>
    <xf borderId="0" fillId="0" fontId="30" numFmtId="170" xfId="0" applyAlignment="1" applyFont="1" applyNumberFormat="1">
      <alignment readingOrder="0"/>
    </xf>
    <xf borderId="0" fillId="0" fontId="25" numFmtId="20" xfId="0" applyAlignment="1" applyFont="1" applyNumberFormat="1">
      <alignment readingOrder="0"/>
    </xf>
    <xf borderId="10" fillId="5" fontId="6" numFmtId="0" xfId="0" applyAlignment="1" applyBorder="1" applyFont="1">
      <alignment readingOrder="0" vertical="bottom"/>
    </xf>
    <xf borderId="10" fillId="0" fontId="6" numFmtId="0" xfId="0" applyAlignment="1" applyBorder="1" applyFont="1">
      <alignment horizontal="right" readingOrder="0" vertical="bottom"/>
    </xf>
    <xf borderId="11" fillId="0" fontId="6" numFmtId="0" xfId="0" applyAlignment="1" applyBorder="1" applyFont="1">
      <alignment horizontal="right" readingOrder="0" vertical="bottom"/>
    </xf>
    <xf borderId="0" fillId="0" fontId="30" numFmtId="175" xfId="0" applyAlignment="1" applyFont="1" applyNumberFormat="1">
      <alignment readingOrder="0"/>
    </xf>
    <xf borderId="0" fillId="0" fontId="29" numFmtId="175" xfId="0" applyAlignment="1" applyFont="1" applyNumberFormat="1">
      <alignment horizontal="right" shrinkToFit="0" vertical="bottom" wrapText="1"/>
    </xf>
    <xf borderId="0" fillId="4" fontId="6" numFmtId="0" xfId="0" applyAlignment="1" applyFont="1">
      <alignment horizontal="right" readingOrder="0" vertical="bottom"/>
    </xf>
    <xf borderId="0" fillId="0" fontId="6" numFmtId="170" xfId="0" applyAlignment="1" applyFont="1" applyNumberFormat="1">
      <alignment horizontal="right" readingOrder="0" vertical="bottom"/>
    </xf>
    <xf borderId="0" fillId="0" fontId="6" numFmtId="171" xfId="0" applyAlignment="1" applyFont="1" applyNumberFormat="1">
      <alignment vertical="bottom"/>
    </xf>
    <xf borderId="0" fillId="5" fontId="6" numFmtId="0" xfId="0" applyAlignment="1" applyFont="1">
      <alignment vertical="bottom"/>
    </xf>
    <xf borderId="10" fillId="0" fontId="6" numFmtId="0" xfId="0" applyAlignment="1" applyBorder="1" applyFont="1">
      <alignment horizontal="right" vertical="bottom"/>
    </xf>
    <xf borderId="0" fillId="0" fontId="31" numFmtId="0" xfId="0" applyAlignment="1" applyFont="1">
      <alignment horizontal="right" shrinkToFit="0" vertical="bottom" wrapText="1"/>
    </xf>
    <xf borderId="0" fillId="0" fontId="31" numFmtId="0" xfId="0" applyAlignment="1" applyFont="1">
      <alignment shrinkToFit="0" vertical="bottom" wrapText="1"/>
    </xf>
    <xf borderId="0" fillId="0" fontId="31" numFmtId="0" xfId="0" applyAlignment="1" applyFont="1">
      <alignment shrinkToFit="0" vertical="bottom" wrapText="1"/>
    </xf>
    <xf borderId="0" fillId="0" fontId="7" numFmtId="169" xfId="0" applyAlignment="1" applyFont="1" applyNumberFormat="1">
      <alignment shrinkToFit="0" vertical="bottom" wrapText="1"/>
    </xf>
    <xf borderId="0" fillId="0" fontId="6" numFmtId="174" xfId="0" applyAlignment="1" applyFont="1" applyNumberFormat="1">
      <alignment readingOrder="0" vertical="bottom"/>
    </xf>
    <xf borderId="0" fillId="0" fontId="6" numFmtId="171" xfId="0" applyAlignment="1" applyFont="1" applyNumberFormat="1">
      <alignment readingOrder="0" vertical="bottom"/>
    </xf>
    <xf borderId="10" fillId="5" fontId="6" numFmtId="0" xfId="0" applyAlignment="1" applyBorder="1" applyFont="1">
      <alignment vertical="bottom"/>
    </xf>
    <xf borderId="0" fillId="5" fontId="6" numFmtId="0" xfId="0" applyAlignment="1" applyFont="1">
      <alignment horizontal="right" vertical="bottom"/>
    </xf>
    <xf borderId="0" fillId="4" fontId="31" numFmtId="0" xfId="0" applyAlignment="1" applyFont="1">
      <alignment horizontal="right" vertical="bottom"/>
    </xf>
    <xf borderId="0" fillId="0" fontId="31" numFmtId="169" xfId="0" applyAlignment="1" applyFont="1" applyNumberFormat="1">
      <alignment horizontal="right" shrinkToFit="0" vertical="bottom" wrapText="1"/>
    </xf>
    <xf borderId="9" fillId="0" fontId="6" numFmtId="0" xfId="0" applyAlignment="1" applyBorder="1" applyFont="1">
      <alignment horizontal="right" vertical="bottom"/>
    </xf>
    <xf borderId="11" fillId="0" fontId="6" numFmtId="0" xfId="0" applyAlignment="1" applyBorder="1" applyFont="1">
      <alignment horizontal="right" vertical="bottom"/>
    </xf>
    <xf borderId="0" fillId="4" fontId="6" numFmtId="0" xfId="0" applyAlignment="1" applyFont="1">
      <alignment vertical="bottom"/>
    </xf>
    <xf borderId="0" fillId="0" fontId="31" numFmtId="0" xfId="0" applyAlignment="1" applyFont="1">
      <alignment horizontal="right" shrinkToFit="0" vertical="bottom" wrapText="1"/>
    </xf>
    <xf borderId="10" fillId="0" fontId="6" numFmtId="0" xfId="0" applyAlignment="1" applyBorder="1" applyFont="1">
      <alignment horizontal="right" vertical="bottom"/>
    </xf>
    <xf borderId="11" fillId="0" fontId="6" numFmtId="0" xfId="0" applyAlignment="1" applyBorder="1" applyFont="1">
      <alignment vertical="bottom"/>
    </xf>
    <xf borderId="0" fillId="4" fontId="6" numFmtId="0" xfId="0" applyAlignment="1" applyFont="1">
      <alignment horizontal="right" vertical="bottom"/>
    </xf>
    <xf borderId="0" fillId="4" fontId="6" numFmtId="0" xfId="0" applyAlignment="1" applyFont="1">
      <alignment horizontal="center" vertical="bottom"/>
    </xf>
    <xf borderId="0" fillId="4" fontId="5" numFmtId="0" xfId="0" applyAlignment="1" applyFont="1">
      <alignment horizontal="center" vertical="bottom"/>
    </xf>
    <xf borderId="0" fillId="4" fontId="31" numFmtId="0" xfId="0" applyAlignment="1" applyFont="1">
      <alignment horizontal="right" shrinkToFit="0" vertical="bottom" wrapText="1"/>
    </xf>
    <xf borderId="0" fillId="4" fontId="31" numFmtId="0" xfId="0" applyAlignment="1" applyFont="1">
      <alignment shrinkToFit="0" vertical="bottom" wrapText="1"/>
    </xf>
    <xf borderId="0" fillId="0" fontId="31" numFmtId="172" xfId="0" applyAlignment="1" applyFont="1" applyNumberFormat="1">
      <alignment horizontal="right" shrinkToFit="0" vertical="bottom" wrapText="1"/>
    </xf>
    <xf borderId="0" fillId="4" fontId="31" numFmtId="0" xfId="0" applyAlignment="1" applyFont="1">
      <alignment horizontal="center" shrinkToFit="0" vertical="bottom" wrapText="1"/>
    </xf>
    <xf borderId="0" fillId="0" fontId="26" numFmtId="0" xfId="0" applyAlignment="1" applyFont="1">
      <alignment vertical="bottom"/>
    </xf>
    <xf borderId="0" fillId="0" fontId="26" numFmtId="172" xfId="0" applyAlignment="1" applyFont="1" applyNumberFormat="1">
      <alignment vertical="bottom"/>
    </xf>
    <xf borderId="9" fillId="0" fontId="25" numFmtId="0" xfId="0" applyAlignment="1" applyBorder="1" applyFont="1">
      <alignment horizontal="right" readingOrder="0" vertical="bottom"/>
    </xf>
    <xf borderId="0" fillId="4" fontId="25" numFmtId="0" xfId="0" applyAlignment="1" applyFont="1">
      <alignment horizontal="center" vertical="bottom"/>
    </xf>
    <xf borderId="0" fillId="4" fontId="25" numFmtId="0" xfId="0" applyAlignment="1" applyFont="1">
      <alignment horizontal="right" vertical="bottom"/>
    </xf>
    <xf borderId="0" fillId="4" fontId="25" numFmtId="0" xfId="0" applyAlignment="1" applyFont="1">
      <alignment vertical="bottom"/>
    </xf>
    <xf borderId="0" fillId="4" fontId="28" numFmtId="0" xfId="0" applyAlignment="1" applyFont="1">
      <alignment horizontal="center" vertical="bottom"/>
    </xf>
    <xf borderId="0" fillId="4" fontId="29" numFmtId="0" xfId="0" applyAlignment="1" applyFont="1">
      <alignment horizontal="right" vertical="bottom"/>
    </xf>
    <xf borderId="0" fillId="4" fontId="29" numFmtId="0" xfId="0" applyAlignment="1" applyFont="1">
      <alignment horizontal="right" shrinkToFit="0" vertical="bottom" wrapText="1"/>
    </xf>
    <xf borderId="0" fillId="4" fontId="29" numFmtId="0" xfId="0" applyAlignment="1" applyFont="1">
      <alignment shrinkToFit="0" vertical="bottom" wrapText="1"/>
    </xf>
    <xf borderId="0" fillId="0" fontId="29" numFmtId="0" xfId="0" applyAlignment="1" applyFont="1">
      <alignment shrinkToFit="0" vertical="bottom" wrapText="1"/>
    </xf>
    <xf borderId="0" fillId="0" fontId="25" numFmtId="170" xfId="0" applyAlignment="1" applyFont="1" applyNumberFormat="1">
      <alignment horizontal="right" readingOrder="0" vertical="bottom"/>
    </xf>
    <xf borderId="0" fillId="0" fontId="29" numFmtId="172" xfId="0" applyAlignment="1" applyFont="1" applyNumberFormat="1">
      <alignment horizontal="right" shrinkToFit="0" vertical="bottom" wrapText="1"/>
    </xf>
    <xf borderId="0" fillId="5" fontId="6" numFmtId="171" xfId="0" applyAlignment="1" applyFont="1" applyNumberFormat="1">
      <alignment vertical="bottom"/>
    </xf>
    <xf borderId="0" fillId="5" fontId="6" numFmtId="170" xfId="0" applyAlignment="1" applyFont="1" applyNumberFormat="1">
      <alignment vertical="bottom"/>
    </xf>
    <xf borderId="0" fillId="5" fontId="6" numFmtId="172" xfId="0" applyAlignment="1" applyFont="1" applyNumberFormat="1">
      <alignment vertical="bottom"/>
    </xf>
    <xf borderId="8" fillId="0" fontId="26" numFmtId="169" xfId="0" applyAlignment="1" applyBorder="1" applyFont="1" applyNumberFormat="1">
      <alignment shrinkToFit="0" vertical="bottom" wrapText="1"/>
    </xf>
    <xf borderId="8" fillId="0" fontId="7" numFmtId="169" xfId="0" applyAlignment="1" applyBorder="1" applyFont="1" applyNumberFormat="1">
      <alignment shrinkToFit="0" vertical="bottom" wrapText="1"/>
    </xf>
    <xf borderId="0" fillId="4" fontId="25" numFmtId="0" xfId="0" applyAlignment="1" applyFont="1">
      <alignment horizontal="right" readingOrder="0" vertical="bottom"/>
    </xf>
    <xf borderId="0" fillId="0" fontId="29" numFmtId="169" xfId="0" applyAlignment="1" applyFont="1" applyNumberFormat="1">
      <alignment horizontal="right" shrinkToFit="0" vertical="bottom" wrapText="1"/>
    </xf>
    <xf borderId="10" fillId="0" fontId="6" numFmtId="0" xfId="0" applyAlignment="1" applyBorder="1" applyFont="1">
      <alignment vertical="bottom"/>
    </xf>
    <xf borderId="0" fillId="0" fontId="6" numFmtId="175" xfId="0" applyAlignment="1" applyFont="1" applyNumberFormat="1">
      <alignment horizontal="right" vertical="bottom"/>
    </xf>
    <xf borderId="2" fillId="3" fontId="12" numFmtId="0" xfId="0" applyAlignment="1" applyBorder="1" applyFont="1">
      <alignment horizontal="center"/>
    </xf>
    <xf borderId="0" fillId="0" fontId="32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2" fontId="12" numFmtId="0" xfId="0" applyAlignment="1" applyFont="1">
      <alignment vertical="bottom"/>
    </xf>
    <xf borderId="0" fillId="2" fontId="12" numFmtId="0" xfId="0" applyAlignment="1" applyFont="1">
      <alignment readingOrder="0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 fitToPage="1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3" max="13" width="26.0"/>
    <col customWidth="1" min="15" max="15" width="51.5"/>
    <col customWidth="1" min="22" max="22" width="20.5"/>
    <col customWidth="1" min="49" max="49" width="47.88"/>
    <col customWidth="1" min="52" max="52" width="14.5"/>
    <col customWidth="1" min="61" max="61" width="15.13"/>
    <col customWidth="1" min="75" max="75" width="21.88"/>
    <col customWidth="1" min="76" max="76" width="14.0"/>
    <col customWidth="1" min="89" max="89" width="16.25"/>
    <col customWidth="1" min="90" max="90" width="11.25"/>
    <col customWidth="1" min="91" max="91" width="10.75"/>
    <col customWidth="1" min="92" max="92" width="25.25"/>
    <col customWidth="1" min="96" max="96" width="8.25"/>
    <col customWidth="1" min="97" max="97" width="10.5"/>
    <col customWidth="1" min="124" max="137" width="15.13"/>
  </cols>
  <sheetData>
    <row r="1" ht="15.75" customHeight="1">
      <c r="A1" s="1" t="s">
        <v>0</v>
      </c>
      <c r="B1" s="1" t="s">
        <v>1</v>
      </c>
      <c r="C1" s="1" t="s">
        <v>2</v>
      </c>
      <c r="D1" s="2">
        <v>44927.0</v>
      </c>
      <c r="E1" s="3">
        <v>44958.0</v>
      </c>
      <c r="F1" s="3">
        <v>44986.0</v>
      </c>
      <c r="G1" s="3">
        <v>45017.0</v>
      </c>
      <c r="H1" s="3">
        <v>44928.0</v>
      </c>
      <c r="I1" s="3">
        <v>44959.0</v>
      </c>
      <c r="J1" s="4">
        <v>2.22</v>
      </c>
      <c r="K1" s="3">
        <v>44987.0</v>
      </c>
      <c r="L1" s="3">
        <v>45018.0</v>
      </c>
      <c r="M1" s="3">
        <v>45048.0</v>
      </c>
      <c r="N1" s="4">
        <v>2.52</v>
      </c>
      <c r="O1" s="3">
        <v>45079.0</v>
      </c>
      <c r="P1" s="3">
        <v>45109.0</v>
      </c>
      <c r="Q1" s="3">
        <v>45140.0</v>
      </c>
      <c r="R1" s="3">
        <v>45171.0</v>
      </c>
      <c r="S1" s="3">
        <v>45201.0</v>
      </c>
      <c r="T1" s="3">
        <v>45232.0</v>
      </c>
      <c r="U1" s="3">
        <v>45262.0</v>
      </c>
      <c r="V1" s="5" t="s">
        <v>3</v>
      </c>
      <c r="W1" s="6" t="s">
        <v>4</v>
      </c>
      <c r="X1" s="4" t="s">
        <v>5</v>
      </c>
      <c r="Y1" s="7">
        <v>2.151</v>
      </c>
      <c r="Z1" s="7">
        <v>2.152</v>
      </c>
      <c r="AA1" s="7">
        <v>2.153</v>
      </c>
      <c r="AB1" s="7">
        <v>2.154</v>
      </c>
      <c r="AC1" s="7">
        <v>2.155</v>
      </c>
      <c r="AD1" s="7">
        <v>2.156</v>
      </c>
      <c r="AE1" s="7">
        <v>2.157</v>
      </c>
      <c r="AF1" s="7">
        <v>2.158</v>
      </c>
      <c r="AG1" s="7">
        <v>2.159</v>
      </c>
      <c r="AH1" s="8" t="s">
        <v>6</v>
      </c>
      <c r="AI1" s="8" t="s">
        <v>7</v>
      </c>
      <c r="AJ1" s="8" t="s">
        <v>8</v>
      </c>
      <c r="AK1" s="9">
        <v>2.16</v>
      </c>
      <c r="AL1" s="3">
        <v>44929.0</v>
      </c>
      <c r="AM1" s="3"/>
      <c r="AN1" s="3"/>
      <c r="AO1" s="3"/>
      <c r="AP1" s="3">
        <v>44960.0</v>
      </c>
      <c r="AQ1" s="3">
        <v>44988.0</v>
      </c>
      <c r="AR1" s="3">
        <v>45019.0</v>
      </c>
      <c r="AS1" s="3">
        <v>45049.0</v>
      </c>
      <c r="AT1" s="3">
        <v>45080.0</v>
      </c>
      <c r="AU1" s="3">
        <v>45110.0</v>
      </c>
      <c r="AV1" s="3">
        <v>45141.0</v>
      </c>
      <c r="AW1" s="3">
        <v>45172.0</v>
      </c>
      <c r="AX1" s="3">
        <v>45202.0</v>
      </c>
      <c r="AY1" s="3">
        <v>45233.0</v>
      </c>
      <c r="AZ1" s="3">
        <v>45263.0</v>
      </c>
      <c r="BA1" s="4" t="s">
        <v>9</v>
      </c>
      <c r="BB1" s="4" t="s">
        <v>10</v>
      </c>
      <c r="BC1" s="4"/>
      <c r="BD1" s="4">
        <v>4.1</v>
      </c>
      <c r="BE1" s="4">
        <v>4.2</v>
      </c>
      <c r="BF1" s="9">
        <v>4.3</v>
      </c>
      <c r="BG1" s="4">
        <v>4.4</v>
      </c>
      <c r="BH1" s="9">
        <v>4.5</v>
      </c>
      <c r="BI1" s="10" t="s">
        <v>11</v>
      </c>
      <c r="BJ1" s="9" t="s">
        <v>12</v>
      </c>
      <c r="BK1" s="2">
        <v>44931.0</v>
      </c>
      <c r="BL1" s="2">
        <v>44962.0</v>
      </c>
      <c r="BM1" s="2">
        <v>44990.0</v>
      </c>
      <c r="BN1" s="2">
        <v>45021.0</v>
      </c>
      <c r="BO1" s="2">
        <v>45051.0</v>
      </c>
      <c r="BP1" s="2">
        <v>45082.0</v>
      </c>
      <c r="BQ1" s="2">
        <v>45112.0</v>
      </c>
      <c r="BR1" s="2">
        <v>45143.0</v>
      </c>
      <c r="BS1" s="2">
        <v>45174.0</v>
      </c>
      <c r="BT1" s="2">
        <v>45204.0</v>
      </c>
      <c r="BU1" s="2">
        <v>45021.0</v>
      </c>
      <c r="BV1" s="2">
        <v>45204.0</v>
      </c>
      <c r="BW1" s="11" t="s">
        <v>13</v>
      </c>
      <c r="BX1" s="12" t="s">
        <v>14</v>
      </c>
      <c r="BY1" s="3">
        <v>44932.0</v>
      </c>
      <c r="BZ1" s="13">
        <v>44963.0</v>
      </c>
      <c r="CA1" s="14"/>
      <c r="CB1" s="3">
        <v>44991.0</v>
      </c>
      <c r="CC1" s="3">
        <v>45022.0</v>
      </c>
      <c r="CD1" s="3"/>
      <c r="CE1" s="3">
        <v>45052.0</v>
      </c>
      <c r="CF1" s="3">
        <v>45083.0</v>
      </c>
      <c r="CG1" s="3"/>
      <c r="CH1" s="3">
        <v>45113.0</v>
      </c>
      <c r="CI1" s="3"/>
      <c r="CJ1" s="15"/>
      <c r="CK1" s="16"/>
      <c r="CL1" s="15"/>
      <c r="CM1" s="15"/>
      <c r="CN1" s="15" t="s">
        <v>15</v>
      </c>
      <c r="CO1" s="17" t="s">
        <v>16</v>
      </c>
      <c r="CP1" s="17" t="s">
        <v>17</v>
      </c>
      <c r="CQ1" s="18" t="s">
        <v>18</v>
      </c>
      <c r="CR1" s="19" t="s">
        <v>19</v>
      </c>
      <c r="CS1" s="14"/>
      <c r="CT1" s="6" t="s">
        <v>20</v>
      </c>
      <c r="CU1" s="17" t="s">
        <v>21</v>
      </c>
      <c r="CV1" s="17" t="s">
        <v>22</v>
      </c>
      <c r="CW1" s="17" t="s">
        <v>23</v>
      </c>
      <c r="CX1" s="17" t="s">
        <v>24</v>
      </c>
      <c r="CY1" s="17" t="s">
        <v>25</v>
      </c>
      <c r="CZ1" s="17" t="s">
        <v>26</v>
      </c>
      <c r="DA1" s="17" t="s">
        <v>27</v>
      </c>
      <c r="DB1" s="17" t="s">
        <v>28</v>
      </c>
      <c r="DC1" s="17" t="s">
        <v>29</v>
      </c>
      <c r="DD1" s="17" t="s">
        <v>30</v>
      </c>
      <c r="DE1" s="17" t="s">
        <v>31</v>
      </c>
      <c r="DF1" s="6"/>
      <c r="DG1" s="18" t="s">
        <v>32</v>
      </c>
      <c r="DH1" s="20">
        <v>45084.0</v>
      </c>
      <c r="DI1" s="20">
        <v>45114.0</v>
      </c>
      <c r="DJ1" s="20">
        <v>45145.0</v>
      </c>
      <c r="DK1" s="20">
        <v>45176.0</v>
      </c>
      <c r="DL1" s="10" t="s">
        <v>33</v>
      </c>
      <c r="DM1" s="10" t="s">
        <v>34</v>
      </c>
      <c r="DN1" s="10" t="s">
        <v>35</v>
      </c>
      <c r="DO1" s="10" t="s">
        <v>36</v>
      </c>
      <c r="DP1" s="10" t="s">
        <v>37</v>
      </c>
      <c r="DQ1" s="10" t="s">
        <v>38</v>
      </c>
      <c r="DR1" s="10" t="s">
        <v>39</v>
      </c>
      <c r="DS1" s="10" t="s">
        <v>40</v>
      </c>
      <c r="DT1" s="21" t="s">
        <v>41</v>
      </c>
      <c r="DU1" s="21" t="s">
        <v>42</v>
      </c>
      <c r="DV1" s="22">
        <v>44934.0</v>
      </c>
      <c r="DW1" s="22">
        <v>44965.0</v>
      </c>
      <c r="DX1" s="22">
        <v>44993.0</v>
      </c>
      <c r="DY1" s="22">
        <v>45024.0</v>
      </c>
      <c r="DZ1" s="22">
        <v>45054.0</v>
      </c>
      <c r="EA1" s="22">
        <v>45085.0</v>
      </c>
      <c r="EB1" s="22">
        <v>45115.0</v>
      </c>
      <c r="EC1" s="22">
        <v>45146.0</v>
      </c>
      <c r="ED1" s="22">
        <v>45177.0</v>
      </c>
      <c r="EE1" s="22">
        <v>45207.0</v>
      </c>
      <c r="EF1" s="23" t="s">
        <v>43</v>
      </c>
      <c r="EG1" s="24" t="s">
        <v>44</v>
      </c>
      <c r="EH1" s="24" t="s">
        <v>45</v>
      </c>
    </row>
    <row r="2" ht="15.75" customHeight="1">
      <c r="A2" s="25"/>
      <c r="B2" s="25"/>
      <c r="C2" s="25"/>
      <c r="D2" s="26" t="s">
        <v>46</v>
      </c>
      <c r="E2" s="27"/>
      <c r="F2" s="27"/>
      <c r="G2" s="14"/>
      <c r="H2" s="26" t="s">
        <v>47</v>
      </c>
      <c r="I2" s="27"/>
      <c r="J2" s="27"/>
      <c r="K2" s="27"/>
      <c r="L2" s="27"/>
      <c r="M2" s="27"/>
      <c r="N2" s="27"/>
      <c r="O2" s="14"/>
      <c r="P2" s="28" t="s">
        <v>48</v>
      </c>
      <c r="Q2" s="27"/>
      <c r="R2" s="27"/>
      <c r="S2" s="27"/>
      <c r="T2" s="27"/>
      <c r="U2" s="14"/>
      <c r="V2" s="25"/>
      <c r="W2" s="28" t="s">
        <v>49</v>
      </c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14"/>
      <c r="AL2" s="26" t="s">
        <v>50</v>
      </c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14"/>
      <c r="BD2" s="4" t="s">
        <v>51</v>
      </c>
      <c r="BE2" s="4" t="s">
        <v>52</v>
      </c>
      <c r="BF2" s="4" t="s">
        <v>53</v>
      </c>
      <c r="BG2" s="4" t="s">
        <v>54</v>
      </c>
      <c r="BH2" s="4" t="s">
        <v>55</v>
      </c>
      <c r="BI2" s="12"/>
      <c r="BJ2" s="12"/>
      <c r="BK2" s="26" t="s">
        <v>56</v>
      </c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14"/>
      <c r="BY2" s="26" t="s">
        <v>57</v>
      </c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14"/>
      <c r="CK2" s="29"/>
      <c r="CL2" s="29"/>
      <c r="CM2" s="29"/>
      <c r="CN2" s="29"/>
      <c r="CO2" s="26" t="s">
        <v>41</v>
      </c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14"/>
      <c r="DV2" s="26" t="s">
        <v>58</v>
      </c>
      <c r="DW2" s="27"/>
      <c r="DX2" s="27"/>
      <c r="DY2" s="27"/>
      <c r="DZ2" s="27"/>
      <c r="EA2" s="27"/>
      <c r="EB2" s="27"/>
      <c r="EC2" s="27"/>
      <c r="ED2" s="27"/>
      <c r="EE2" s="14"/>
      <c r="EF2" s="25"/>
      <c r="EG2" s="25"/>
      <c r="EH2" s="25"/>
    </row>
    <row r="3" ht="81.0" customHeight="1">
      <c r="A3" s="30"/>
      <c r="B3" s="30"/>
      <c r="C3" s="30"/>
      <c r="D3" s="31" t="s">
        <v>59</v>
      </c>
      <c r="E3" s="4" t="s">
        <v>60</v>
      </c>
      <c r="F3" s="4" t="s">
        <v>61</v>
      </c>
      <c r="G3" s="4" t="s">
        <v>62</v>
      </c>
      <c r="H3" s="4" t="s">
        <v>63</v>
      </c>
      <c r="I3" s="4" t="s">
        <v>64</v>
      </c>
      <c r="J3" s="4" t="s">
        <v>65</v>
      </c>
      <c r="K3" s="4" t="s">
        <v>66</v>
      </c>
      <c r="L3" s="4" t="s">
        <v>67</v>
      </c>
      <c r="M3" s="4" t="s">
        <v>68</v>
      </c>
      <c r="N3" s="4" t="s">
        <v>69</v>
      </c>
      <c r="O3" s="4" t="s">
        <v>70</v>
      </c>
      <c r="P3" s="32"/>
      <c r="Q3" s="27"/>
      <c r="R3" s="27"/>
      <c r="S3" s="27"/>
      <c r="T3" s="27"/>
      <c r="U3" s="14"/>
      <c r="V3" s="30"/>
      <c r="W3" s="4" t="s">
        <v>71</v>
      </c>
      <c r="X3" s="4"/>
      <c r="Y3" s="4" t="s">
        <v>72</v>
      </c>
      <c r="Z3" s="4" t="s">
        <v>73</v>
      </c>
      <c r="AA3" s="4" t="s">
        <v>74</v>
      </c>
      <c r="AB3" s="4" t="s">
        <v>75</v>
      </c>
      <c r="AC3" s="4" t="s">
        <v>76</v>
      </c>
      <c r="AD3" s="4" t="s">
        <v>77</v>
      </c>
      <c r="AE3" s="4" t="s">
        <v>78</v>
      </c>
      <c r="AF3" s="4" t="s">
        <v>79</v>
      </c>
      <c r="AG3" s="4" t="s">
        <v>80</v>
      </c>
      <c r="AH3" s="4" t="s">
        <v>81</v>
      </c>
      <c r="AI3" s="4" t="s">
        <v>82</v>
      </c>
      <c r="AJ3" s="4" t="s">
        <v>83</v>
      </c>
      <c r="AK3" s="4"/>
      <c r="AL3" s="4" t="s">
        <v>84</v>
      </c>
      <c r="AM3" s="4" t="s">
        <v>85</v>
      </c>
      <c r="AN3" s="4" t="s">
        <v>86</v>
      </c>
      <c r="AO3" s="4" t="s">
        <v>87</v>
      </c>
      <c r="AP3" s="4" t="s">
        <v>88</v>
      </c>
      <c r="AQ3" s="4" t="s">
        <v>89</v>
      </c>
      <c r="AR3" s="4" t="s">
        <v>90</v>
      </c>
      <c r="AS3" s="4" t="s">
        <v>91</v>
      </c>
      <c r="AT3" s="4" t="s">
        <v>92</v>
      </c>
      <c r="AU3" s="4" t="s">
        <v>93</v>
      </c>
      <c r="AV3" s="4" t="s">
        <v>94</v>
      </c>
      <c r="AW3" s="4" t="s">
        <v>95</v>
      </c>
      <c r="AX3" s="4" t="s">
        <v>96</v>
      </c>
      <c r="AY3" s="4" t="s">
        <v>97</v>
      </c>
      <c r="AZ3" s="4" t="s">
        <v>98</v>
      </c>
      <c r="BA3" s="4" t="s">
        <v>99</v>
      </c>
      <c r="BB3" s="4" t="s">
        <v>100</v>
      </c>
      <c r="BC3" s="4" t="s">
        <v>101</v>
      </c>
      <c r="BD3" s="4" t="s">
        <v>102</v>
      </c>
      <c r="BE3" s="4" t="s">
        <v>102</v>
      </c>
      <c r="BF3" s="4" t="s">
        <v>102</v>
      </c>
      <c r="BG3" s="4" t="s">
        <v>102</v>
      </c>
      <c r="BH3" s="4" t="s">
        <v>102</v>
      </c>
      <c r="BI3" s="10" t="s">
        <v>103</v>
      </c>
      <c r="BJ3" s="9"/>
      <c r="BK3" s="4" t="s">
        <v>104</v>
      </c>
      <c r="BL3" s="4" t="s">
        <v>104</v>
      </c>
      <c r="BM3" s="4" t="s">
        <v>104</v>
      </c>
      <c r="BN3" s="4" t="s">
        <v>104</v>
      </c>
      <c r="BO3" s="4" t="s">
        <v>104</v>
      </c>
      <c r="BP3" s="4" t="s">
        <v>104</v>
      </c>
      <c r="BQ3" s="4" t="s">
        <v>104</v>
      </c>
      <c r="BR3" s="4" t="s">
        <v>104</v>
      </c>
      <c r="BS3" s="4" t="s">
        <v>104</v>
      </c>
      <c r="BT3" s="4" t="s">
        <v>104</v>
      </c>
      <c r="BU3" s="16" t="s">
        <v>105</v>
      </c>
      <c r="BV3" s="16" t="s">
        <v>105</v>
      </c>
      <c r="BW3" s="16" t="s">
        <v>106</v>
      </c>
      <c r="BX3" s="16" t="s">
        <v>107</v>
      </c>
      <c r="BY3" s="4" t="s">
        <v>108</v>
      </c>
      <c r="BZ3" s="4" t="s">
        <v>109</v>
      </c>
      <c r="CA3" s="4" t="s">
        <v>110</v>
      </c>
      <c r="CB3" s="4" t="s">
        <v>108</v>
      </c>
      <c r="CC3" s="4" t="s">
        <v>109</v>
      </c>
      <c r="CD3" s="4" t="s">
        <v>110</v>
      </c>
      <c r="CE3" s="4" t="s">
        <v>108</v>
      </c>
      <c r="CF3" s="4" t="s">
        <v>109</v>
      </c>
      <c r="CG3" s="4" t="s">
        <v>110</v>
      </c>
      <c r="CH3" s="4" t="s">
        <v>109</v>
      </c>
      <c r="CI3" s="4" t="s">
        <v>110</v>
      </c>
      <c r="CJ3" s="33" t="s">
        <v>111</v>
      </c>
      <c r="CK3" s="16" t="s">
        <v>112</v>
      </c>
      <c r="CL3" s="34" t="s">
        <v>113</v>
      </c>
      <c r="CM3" s="14"/>
      <c r="CN3" s="15" t="s">
        <v>15</v>
      </c>
      <c r="CO3" s="9"/>
      <c r="CP3" s="9"/>
      <c r="CQ3" s="10" t="s">
        <v>114</v>
      </c>
      <c r="CR3" s="9" t="s">
        <v>109</v>
      </c>
      <c r="CS3" s="9" t="s">
        <v>115</v>
      </c>
      <c r="CT3" s="4" t="s">
        <v>116</v>
      </c>
      <c r="CU3" s="4"/>
      <c r="CV3" s="9" t="s">
        <v>117</v>
      </c>
      <c r="CW3" s="9" t="s">
        <v>117</v>
      </c>
      <c r="CX3" s="9" t="s">
        <v>117</v>
      </c>
      <c r="CY3" s="9" t="s">
        <v>117</v>
      </c>
      <c r="CZ3" s="9" t="s">
        <v>117</v>
      </c>
      <c r="DA3" s="9" t="s">
        <v>117</v>
      </c>
      <c r="DB3" s="9" t="s">
        <v>117</v>
      </c>
      <c r="DC3" s="9" t="s">
        <v>117</v>
      </c>
      <c r="DD3" s="9" t="s">
        <v>117</v>
      </c>
      <c r="DE3" s="9" t="s">
        <v>117</v>
      </c>
      <c r="DF3" s="9"/>
      <c r="DG3" s="18"/>
      <c r="DH3" s="9" t="s">
        <v>117</v>
      </c>
      <c r="DI3" s="9" t="s">
        <v>117</v>
      </c>
      <c r="DJ3" s="9" t="s">
        <v>117</v>
      </c>
      <c r="DK3" s="9" t="s">
        <v>117</v>
      </c>
      <c r="DL3" s="10" t="s">
        <v>118</v>
      </c>
      <c r="DM3" s="10" t="s">
        <v>119</v>
      </c>
      <c r="DN3" s="10" t="s">
        <v>120</v>
      </c>
      <c r="DO3" s="10" t="s">
        <v>121</v>
      </c>
      <c r="DP3" s="10" t="s">
        <v>122</v>
      </c>
      <c r="DQ3" s="10" t="s">
        <v>123</v>
      </c>
      <c r="DR3" s="10" t="s">
        <v>124</v>
      </c>
      <c r="DS3" s="10" t="s">
        <v>125</v>
      </c>
      <c r="DT3" s="10" t="s">
        <v>126</v>
      </c>
      <c r="DU3" s="10" t="s">
        <v>127</v>
      </c>
      <c r="DV3" s="22"/>
      <c r="DW3" s="22"/>
      <c r="DX3" s="22"/>
      <c r="DY3" s="22"/>
      <c r="DZ3" s="22"/>
      <c r="EA3" s="12"/>
      <c r="EB3" s="22"/>
      <c r="EC3" s="22"/>
      <c r="ED3" s="22"/>
      <c r="EE3" s="22"/>
      <c r="EF3" s="30"/>
      <c r="EG3" s="30"/>
      <c r="EH3" s="30"/>
    </row>
    <row r="4" ht="15.75" customHeight="1">
      <c r="A4" s="35" t="s">
        <v>128</v>
      </c>
      <c r="B4" s="36" t="s">
        <v>129</v>
      </c>
      <c r="C4" s="37">
        <v>44876.0</v>
      </c>
      <c r="D4" s="38">
        <v>34.0</v>
      </c>
      <c r="E4" s="35" t="s">
        <v>130</v>
      </c>
      <c r="F4" s="35">
        <v>163.0</v>
      </c>
      <c r="G4" s="39">
        <v>70.0</v>
      </c>
      <c r="H4" s="40" t="s">
        <v>131</v>
      </c>
      <c r="I4" s="35">
        <v>4.0</v>
      </c>
      <c r="J4" s="41">
        <v>44678.0</v>
      </c>
      <c r="K4" s="35" t="s">
        <v>132</v>
      </c>
      <c r="L4" s="36" t="s">
        <v>133</v>
      </c>
      <c r="M4" s="42" t="s">
        <v>133</v>
      </c>
      <c r="N4" s="36" t="s">
        <v>133</v>
      </c>
      <c r="O4" s="42" t="s">
        <v>133</v>
      </c>
      <c r="P4" s="36" t="s">
        <v>133</v>
      </c>
      <c r="Q4" s="36" t="s">
        <v>133</v>
      </c>
      <c r="R4" s="36" t="s">
        <v>133</v>
      </c>
      <c r="S4" s="36" t="s">
        <v>133</v>
      </c>
      <c r="T4" s="36" t="s">
        <v>133</v>
      </c>
      <c r="U4" s="36" t="s">
        <v>133</v>
      </c>
      <c r="V4" s="36" t="str">
        <f t="shared" ref="V4:V98" si="2">IF(K4="NO","No infectado",IF(P4="SI",IF(U4="SI","Internación severa (UCI)","Internación moderada"),"Paciente ambulatorio"))</f>
        <v>No infectado</v>
      </c>
      <c r="W4" s="36" t="s">
        <v>133</v>
      </c>
      <c r="X4" s="36" t="s">
        <v>133</v>
      </c>
      <c r="Y4" s="36" t="s">
        <v>133</v>
      </c>
      <c r="Z4" s="36" t="s">
        <v>133</v>
      </c>
      <c r="AA4" s="36" t="s">
        <v>133</v>
      </c>
      <c r="AB4" s="36" t="s">
        <v>133</v>
      </c>
      <c r="AC4" s="36" t="s">
        <v>133</v>
      </c>
      <c r="AD4" s="36" t="s">
        <v>133</v>
      </c>
      <c r="AE4" s="36" t="s">
        <v>133</v>
      </c>
      <c r="AF4" s="36" t="s">
        <v>133</v>
      </c>
      <c r="AG4" s="36" t="s">
        <v>133</v>
      </c>
      <c r="AH4" s="36" t="s">
        <v>133</v>
      </c>
      <c r="AI4" s="36" t="s">
        <v>133</v>
      </c>
      <c r="AJ4" s="36" t="s">
        <v>133</v>
      </c>
      <c r="AK4" s="36" t="s">
        <v>133</v>
      </c>
      <c r="AL4" s="40" t="s">
        <v>132</v>
      </c>
      <c r="AM4" s="35" t="s">
        <v>132</v>
      </c>
      <c r="AN4" s="35" t="s">
        <v>132</v>
      </c>
      <c r="AO4" s="35" t="s">
        <v>132</v>
      </c>
      <c r="AP4" s="35" t="s">
        <v>132</v>
      </c>
      <c r="AQ4" s="35" t="s">
        <v>132</v>
      </c>
      <c r="AR4" s="35" t="s">
        <v>132</v>
      </c>
      <c r="AS4" s="35" t="s">
        <v>132</v>
      </c>
      <c r="AT4" s="35" t="s">
        <v>132</v>
      </c>
      <c r="AU4" s="35" t="s">
        <v>132</v>
      </c>
      <c r="AV4" s="35" t="s">
        <v>131</v>
      </c>
      <c r="AW4" s="35" t="s">
        <v>134</v>
      </c>
      <c r="AX4" s="43" t="s">
        <v>131</v>
      </c>
      <c r="AY4" s="35">
        <v>1.0</v>
      </c>
      <c r="AZ4" s="35">
        <v>20.0</v>
      </c>
      <c r="BA4" s="36" t="s">
        <v>133</v>
      </c>
      <c r="BB4" s="35" t="s">
        <v>135</v>
      </c>
      <c r="BC4" s="39">
        <v>1.0</v>
      </c>
      <c r="BD4" s="40">
        <v>1.0</v>
      </c>
      <c r="BE4" s="35">
        <v>1.0</v>
      </c>
      <c r="BF4" s="35">
        <v>1.0</v>
      </c>
      <c r="BG4" s="35">
        <v>1.0</v>
      </c>
      <c r="BH4" s="35">
        <v>1.0</v>
      </c>
      <c r="BI4" s="44" t="str">
        <f t="shared" ref="BI4:BI112" si="3">CONCATENATE(BD4:BH4)</f>
        <v>11111</v>
      </c>
      <c r="BJ4" s="35">
        <v>80.0</v>
      </c>
      <c r="BK4" s="35">
        <v>1.0</v>
      </c>
      <c r="BL4" s="35">
        <v>1.0</v>
      </c>
      <c r="BM4" s="35">
        <v>4.0</v>
      </c>
      <c r="BN4" s="35">
        <v>4.0</v>
      </c>
      <c r="BO4" s="35">
        <v>2.0</v>
      </c>
      <c r="BP4" s="35">
        <v>1.0</v>
      </c>
      <c r="BQ4" s="35">
        <v>1.0</v>
      </c>
      <c r="BR4" s="35">
        <v>2.0</v>
      </c>
      <c r="BS4" s="35">
        <v>2.0</v>
      </c>
      <c r="BT4" s="35">
        <v>5.0</v>
      </c>
      <c r="BU4" s="44">
        <f t="shared" ref="BU4:BU121" si="4">IF(BN4=1,5,IF(BN4=2,4,IF(BN4=3,3,IF(BN4=4,2,IF(BN4=5,1)))))</f>
        <v>2</v>
      </c>
      <c r="BV4" s="44">
        <f t="shared" ref="BV4:BV88" si="5">IF(BT4=1,5,IF(BT4=2,4,IF(BT4=3,3,IF(BT4=4,2,IF(BT4=5,1)))))</f>
        <v>1</v>
      </c>
      <c r="BW4" s="44">
        <f t="shared" ref="BW4:BW13" si="6">SUM(BK4,BL4,BM4,BO4,BP4,BQ4,BR4,BS4,BT4,BV4)</f>
        <v>20</v>
      </c>
      <c r="BX4" s="44" t="str">
        <f t="shared" ref="BX4:BX121" si="7">IF(BW4&lt;22,"NO HAY FATIGA",IF(BW4&lt;35,"FATIGA","FATIGA EXTREMA"))</f>
        <v>NO HAY FATIGA</v>
      </c>
      <c r="BY4" s="35">
        <v>1.0</v>
      </c>
      <c r="BZ4" s="35">
        <v>2.0</v>
      </c>
      <c r="CA4" s="35">
        <v>0.0</v>
      </c>
      <c r="CB4" s="35">
        <v>3.0</v>
      </c>
      <c r="CC4" s="35">
        <v>6.0</v>
      </c>
      <c r="CD4" s="35">
        <v>0.0</v>
      </c>
      <c r="CE4" s="35">
        <v>6.0</v>
      </c>
      <c r="CF4" s="35">
        <v>0.0</v>
      </c>
      <c r="CG4" s="35">
        <v>20.0</v>
      </c>
      <c r="CH4" s="35">
        <v>19.0</v>
      </c>
      <c r="CI4" s="35">
        <v>0.0</v>
      </c>
      <c r="CJ4" s="44">
        <f t="shared" ref="CJ4:CJ5" si="8">(8*BY4*(BZ4*60+CA4)+4*CB4*(CC4*60+CD4)+3.3*CE4*(CF4*60+CG4))</f>
        <v>5676</v>
      </c>
      <c r="CK4" s="44">
        <f t="shared" ref="CK4:CK6" si="9">(BY4+CB4+CE4)</f>
        <v>10</v>
      </c>
      <c r="CL4" s="44" t="str">
        <f t="shared" ref="CL4:CL6" si="10">IF(CJ4&gt;3000,IF(CK4&gt;6,"Nivel de actividad física alto"),IF(CJ4&gt;1500,IF(BY4&gt;2,"Nivel de actividad física alto")))</f>
        <v>Nivel de actividad física alto</v>
      </c>
      <c r="CM4" s="44" t="str">
        <f t="shared" ref="CM4:CM6" si="11">IF(BY4&gt;2,(IF(BZ4*60+CA4&gt;25,"Nivel de actividad física moderado")),IF(CB4+CE4&gt;5,IF(CC4*60+CD4+CF4*60+CG4&gt;30,"Nivel de actividad física moderado"),IF(CJ4&gt;600,(IF(CK4&gt;5,"Nivel de actividad física moderado")))))</f>
        <v>Nivel de actividad física moderado</v>
      </c>
      <c r="CN4" s="45" t="str">
        <f t="shared" ref="CN4:CN6" si="12">IF(CL4="Nivel de actividad física alto","Nivel de actividad física alto",IF(CM4="Nivel de actividad física moderado","Nivel de actividad física moderado","Nivel de actividad física bajo"))</f>
        <v>Nivel de actividad física alto</v>
      </c>
      <c r="CO4" s="35">
        <v>23.0</v>
      </c>
      <c r="CP4" s="35">
        <v>30.0</v>
      </c>
      <c r="CQ4" s="44">
        <f t="shared" ref="CQ4:CQ6" si="13">IF(CP4&gt;60,3,IF(CP4&gt;30,2,IF(CP4&gt;15,1,0)))</f>
        <v>1</v>
      </c>
      <c r="CR4" s="35">
        <v>6.0</v>
      </c>
      <c r="CS4" s="35">
        <v>30.0</v>
      </c>
      <c r="CT4" s="35">
        <f>((60*(6*60+30))/3600)</f>
        <v>6.5</v>
      </c>
      <c r="CU4" s="35">
        <v>6.0</v>
      </c>
      <c r="CV4" s="35">
        <v>2.0</v>
      </c>
      <c r="CW4" s="35">
        <v>3.0</v>
      </c>
      <c r="CX4" s="35">
        <v>3.0</v>
      </c>
      <c r="CY4" s="35">
        <v>0.0</v>
      </c>
      <c r="CZ4" s="35">
        <v>0.0</v>
      </c>
      <c r="DA4" s="35">
        <v>0.0</v>
      </c>
      <c r="DB4" s="35">
        <v>1.0</v>
      </c>
      <c r="DC4" s="35">
        <v>0.0</v>
      </c>
      <c r="DD4" s="35">
        <v>1.0</v>
      </c>
      <c r="DE4" s="35">
        <v>3.0</v>
      </c>
      <c r="DF4" s="36" t="s">
        <v>133</v>
      </c>
      <c r="DG4" s="44">
        <f t="shared" ref="DG4:DG6" si="14">SUM(CW4:DE4)</f>
        <v>11</v>
      </c>
      <c r="DH4" s="35">
        <v>1.0</v>
      </c>
      <c r="DI4" s="35">
        <v>0.0</v>
      </c>
      <c r="DJ4" s="35">
        <v>1.0</v>
      </c>
      <c r="DK4" s="35">
        <v>0.0</v>
      </c>
      <c r="DL4" s="46">
        <f t="shared" ref="DL4:DL6" si="15">((CU4/CT4)*100)</f>
        <v>92.30769231</v>
      </c>
      <c r="DM4" s="44">
        <f t="shared" ref="DM4:DM6" si="16">IF(CU4&gt;=7,0,IF(CU4&gt;=6,1,IF(CU4&gt;=5,2,IF(CU4&lt;5,3))))</f>
        <v>1</v>
      </c>
      <c r="DN4" s="44">
        <f t="shared" ref="DN4:DN6" si="17">IF(DG4&gt;18,3,IF(DG4&gt;9,2,IF(DG4&gt;=1,1,0)))</f>
        <v>2</v>
      </c>
      <c r="DO4" s="44">
        <f t="shared" ref="DO4:DO6" si="18">IF(CV4+CQ4&gt;=5,3,IF(CQ4+CV4&gt;=3,2,IF(CQ4+CV4&gt;=1,1,0)))</f>
        <v>2</v>
      </c>
      <c r="DP4" s="44">
        <f t="shared" ref="DP4:DP6" si="19">IF(DJ4+DK4&gt;=5,3,IF(DJ4+DK4&gt;=3,2,IF(DJ4+DK4&gt;=1,1,0)))</f>
        <v>1</v>
      </c>
      <c r="DQ4" s="44">
        <f t="shared" ref="DQ4:DQ6" si="20">IF(DL4&gt;85,0,IF(DL4&gt;75,1,IF(DL4&gt;65,2,3)))</f>
        <v>0</v>
      </c>
      <c r="DR4" s="44">
        <f t="shared" ref="DR4:DS4" si="1">(DH4)</f>
        <v>1</v>
      </c>
      <c r="DS4" s="44">
        <f t="shared" si="1"/>
        <v>0</v>
      </c>
      <c r="DT4" s="44">
        <f t="shared" ref="DT4:DT6" si="22">SUM(DM4:DS4)</f>
        <v>7</v>
      </c>
      <c r="DU4" s="44" t="str">
        <f t="shared" ref="DU4:DU6" si="23">IF(DT4&gt;5,"poor sleep quality","good sleep quality")</f>
        <v>poor sleep quality</v>
      </c>
      <c r="DV4" s="35">
        <v>1.0</v>
      </c>
      <c r="DW4" s="35" t="s">
        <v>136</v>
      </c>
      <c r="DX4" s="35" t="s">
        <v>137</v>
      </c>
      <c r="DY4" s="35">
        <v>1.0</v>
      </c>
      <c r="DZ4" s="35" t="s">
        <v>131</v>
      </c>
      <c r="EA4" s="35" t="s">
        <v>138</v>
      </c>
      <c r="EB4" s="35" t="s">
        <v>139</v>
      </c>
      <c r="EC4" s="35" t="s">
        <v>140</v>
      </c>
      <c r="ED4" s="35" t="s">
        <v>131</v>
      </c>
      <c r="EE4" s="35" t="s">
        <v>141</v>
      </c>
      <c r="EF4" s="36" t="s">
        <v>133</v>
      </c>
      <c r="EG4" s="36" t="s">
        <v>133</v>
      </c>
      <c r="EH4" s="47">
        <f t="shared" ref="EH4:EH217" si="24">(10000*G4/(F4*F4))</f>
        <v>26.34649403</v>
      </c>
    </row>
    <row r="5" ht="15.75" customHeight="1">
      <c r="A5" s="35" t="s">
        <v>142</v>
      </c>
      <c r="B5" s="36" t="s">
        <v>129</v>
      </c>
      <c r="C5" s="37">
        <v>44900.0</v>
      </c>
      <c r="D5" s="48">
        <v>50.0</v>
      </c>
      <c r="E5" s="35" t="s">
        <v>130</v>
      </c>
      <c r="F5" s="35">
        <v>159.0</v>
      </c>
      <c r="G5" s="39">
        <v>64.0</v>
      </c>
      <c r="H5" s="40" t="s">
        <v>131</v>
      </c>
      <c r="I5" s="35">
        <v>4.0</v>
      </c>
      <c r="J5" s="41">
        <v>44652.0</v>
      </c>
      <c r="K5" s="35" t="s">
        <v>131</v>
      </c>
      <c r="L5" s="35">
        <v>2.0</v>
      </c>
      <c r="M5" s="41">
        <v>44050.0</v>
      </c>
      <c r="N5" s="35">
        <v>0.0</v>
      </c>
      <c r="O5" s="41">
        <v>44713.0</v>
      </c>
      <c r="P5" s="35" t="s">
        <v>132</v>
      </c>
      <c r="Q5" s="36" t="s">
        <v>133</v>
      </c>
      <c r="R5" s="36" t="s">
        <v>133</v>
      </c>
      <c r="S5" s="36" t="s">
        <v>133</v>
      </c>
      <c r="T5" s="36" t="s">
        <v>133</v>
      </c>
      <c r="U5" s="36" t="s">
        <v>133</v>
      </c>
      <c r="V5" s="36" t="str">
        <f t="shared" si="2"/>
        <v>Paciente ambulatorio</v>
      </c>
      <c r="W5" s="35" t="s">
        <v>143</v>
      </c>
      <c r="X5" s="35" t="s">
        <v>132</v>
      </c>
      <c r="Y5" s="35">
        <v>2.0</v>
      </c>
      <c r="Z5" s="35">
        <v>3.0</v>
      </c>
      <c r="AA5" s="35">
        <v>2.0</v>
      </c>
      <c r="AB5" s="35">
        <v>3.0</v>
      </c>
      <c r="AC5" s="35">
        <v>3.0</v>
      </c>
      <c r="AD5" s="35">
        <v>3.0</v>
      </c>
      <c r="AE5" s="35">
        <v>2.0</v>
      </c>
      <c r="AF5" s="35">
        <v>3.0</v>
      </c>
      <c r="AG5" s="35">
        <v>3.0</v>
      </c>
      <c r="AH5" s="35">
        <v>3.0</v>
      </c>
      <c r="AI5" s="35">
        <v>3.0</v>
      </c>
      <c r="AJ5" s="35">
        <v>3.0</v>
      </c>
      <c r="AK5" s="39" t="s">
        <v>144</v>
      </c>
      <c r="AL5" s="40" t="s">
        <v>132</v>
      </c>
      <c r="AM5" s="35" t="s">
        <v>132</v>
      </c>
      <c r="AN5" s="35" t="s">
        <v>132</v>
      </c>
      <c r="AO5" s="35" t="s">
        <v>132</v>
      </c>
      <c r="AP5" s="35" t="s">
        <v>132</v>
      </c>
      <c r="AQ5" s="35" t="s">
        <v>132</v>
      </c>
      <c r="AR5" s="35" t="s">
        <v>132</v>
      </c>
      <c r="AS5" s="35" t="s">
        <v>131</v>
      </c>
      <c r="AT5" s="35" t="s">
        <v>132</v>
      </c>
      <c r="AU5" s="35" t="s">
        <v>132</v>
      </c>
      <c r="AV5" s="35" t="s">
        <v>131</v>
      </c>
      <c r="AW5" s="36" t="s">
        <v>133</v>
      </c>
      <c r="AX5" s="35" t="s">
        <v>131</v>
      </c>
      <c r="AY5" s="35">
        <v>20.0</v>
      </c>
      <c r="AZ5" s="35">
        <v>20.0</v>
      </c>
      <c r="BA5" s="36" t="s">
        <v>133</v>
      </c>
      <c r="BB5" s="35" t="s">
        <v>145</v>
      </c>
      <c r="BC5" s="36" t="s">
        <v>133</v>
      </c>
      <c r="BD5" s="40">
        <v>1.0</v>
      </c>
      <c r="BE5" s="35">
        <v>1.0</v>
      </c>
      <c r="BF5" s="35">
        <v>1.0</v>
      </c>
      <c r="BG5" s="35">
        <v>1.0</v>
      </c>
      <c r="BH5" s="35">
        <v>2.0</v>
      </c>
      <c r="BI5" s="44" t="str">
        <f t="shared" si="3"/>
        <v>11112</v>
      </c>
      <c r="BJ5" s="35">
        <v>100.0</v>
      </c>
      <c r="BK5" s="35">
        <v>1.0</v>
      </c>
      <c r="BL5" s="35">
        <v>1.0</v>
      </c>
      <c r="BM5" s="35">
        <v>1.0</v>
      </c>
      <c r="BN5" s="35">
        <v>4.0</v>
      </c>
      <c r="BO5" s="35">
        <v>2.0</v>
      </c>
      <c r="BP5" s="35">
        <v>1.0</v>
      </c>
      <c r="BQ5" s="35">
        <v>2.0</v>
      </c>
      <c r="BR5" s="35">
        <v>2.0</v>
      </c>
      <c r="BS5" s="35">
        <v>2.0</v>
      </c>
      <c r="BT5" s="35">
        <v>4.0</v>
      </c>
      <c r="BU5" s="44">
        <f t="shared" si="4"/>
        <v>2</v>
      </c>
      <c r="BV5" s="44">
        <f t="shared" si="5"/>
        <v>2</v>
      </c>
      <c r="BW5" s="44">
        <f t="shared" si="6"/>
        <v>18</v>
      </c>
      <c r="BX5" s="44" t="str">
        <f t="shared" si="7"/>
        <v>NO HAY FATIGA</v>
      </c>
      <c r="BY5" s="35">
        <v>3.0</v>
      </c>
      <c r="BZ5" s="35">
        <v>1.0</v>
      </c>
      <c r="CA5" s="35">
        <v>0.0</v>
      </c>
      <c r="CB5" s="35">
        <v>2.0</v>
      </c>
      <c r="CC5" s="35">
        <v>3.0</v>
      </c>
      <c r="CD5" s="35">
        <v>0.0</v>
      </c>
      <c r="CE5" s="35">
        <v>7.0</v>
      </c>
      <c r="CF5" s="35">
        <v>4.0</v>
      </c>
      <c r="CG5" s="35">
        <v>0.0</v>
      </c>
      <c r="CH5" s="35">
        <v>7.0</v>
      </c>
      <c r="CI5" s="35">
        <v>0.0</v>
      </c>
      <c r="CJ5" s="44">
        <f t="shared" si="8"/>
        <v>8424</v>
      </c>
      <c r="CK5" s="44">
        <f t="shared" si="9"/>
        <v>12</v>
      </c>
      <c r="CL5" s="44" t="str">
        <f t="shared" si="10"/>
        <v>Nivel de actividad física alto</v>
      </c>
      <c r="CM5" s="44" t="str">
        <f t="shared" si="11"/>
        <v>Nivel de actividad física moderado</v>
      </c>
      <c r="CN5" s="45" t="str">
        <f t="shared" si="12"/>
        <v>Nivel de actividad física alto</v>
      </c>
      <c r="CO5" s="35">
        <v>23.0</v>
      </c>
      <c r="CP5" s="35">
        <v>0.0</v>
      </c>
      <c r="CQ5" s="44">
        <f t="shared" si="13"/>
        <v>0</v>
      </c>
      <c r="CR5" s="35">
        <v>5.0</v>
      </c>
      <c r="CS5" s="35">
        <v>0.0</v>
      </c>
      <c r="CT5" s="35">
        <v>6.0</v>
      </c>
      <c r="CU5" s="35">
        <v>6.0</v>
      </c>
      <c r="CV5" s="35">
        <v>0.0</v>
      </c>
      <c r="CW5" s="35">
        <v>0.0</v>
      </c>
      <c r="CX5" s="35">
        <v>0.0</v>
      </c>
      <c r="CY5" s="35">
        <v>0.0</v>
      </c>
      <c r="CZ5" s="35">
        <v>0.0</v>
      </c>
      <c r="DA5" s="35">
        <v>0.0</v>
      </c>
      <c r="DB5" s="35">
        <v>0.0</v>
      </c>
      <c r="DC5" s="35">
        <v>0.0</v>
      </c>
      <c r="DD5" s="35">
        <v>0.0</v>
      </c>
      <c r="DE5" s="35">
        <v>0.0</v>
      </c>
      <c r="DF5" s="36" t="s">
        <v>133</v>
      </c>
      <c r="DG5" s="44">
        <f t="shared" si="14"/>
        <v>0</v>
      </c>
      <c r="DH5" s="35">
        <v>0.0</v>
      </c>
      <c r="DI5" s="35">
        <v>0.0</v>
      </c>
      <c r="DJ5" s="35">
        <v>0.0</v>
      </c>
      <c r="DK5" s="35">
        <v>0.0</v>
      </c>
      <c r="DL5" s="46">
        <f t="shared" si="15"/>
        <v>100</v>
      </c>
      <c r="DM5" s="44">
        <f t="shared" si="16"/>
        <v>1</v>
      </c>
      <c r="DN5" s="44">
        <f t="shared" si="17"/>
        <v>0</v>
      </c>
      <c r="DO5" s="44">
        <f t="shared" si="18"/>
        <v>0</v>
      </c>
      <c r="DP5" s="44">
        <f t="shared" si="19"/>
        <v>0</v>
      </c>
      <c r="DQ5" s="44">
        <f t="shared" si="20"/>
        <v>0</v>
      </c>
      <c r="DR5" s="44">
        <f t="shared" ref="DR5:DS5" si="21">(DH5)</f>
        <v>0</v>
      </c>
      <c r="DS5" s="44">
        <f t="shared" si="21"/>
        <v>0</v>
      </c>
      <c r="DT5" s="44">
        <f t="shared" si="22"/>
        <v>1</v>
      </c>
      <c r="DU5" s="44" t="str">
        <f t="shared" si="23"/>
        <v>good sleep quality</v>
      </c>
      <c r="DV5" s="35">
        <v>0.0</v>
      </c>
      <c r="DW5" s="36" t="s">
        <v>133</v>
      </c>
      <c r="DX5" s="35" t="s">
        <v>146</v>
      </c>
      <c r="DY5" s="35">
        <v>1.0</v>
      </c>
      <c r="DZ5" s="35" t="s">
        <v>131</v>
      </c>
      <c r="EA5" s="35" t="s">
        <v>147</v>
      </c>
      <c r="EB5" s="35" t="s">
        <v>139</v>
      </c>
      <c r="EC5" s="35" t="s">
        <v>140</v>
      </c>
      <c r="ED5" s="35" t="s">
        <v>132</v>
      </c>
      <c r="EE5" s="35" t="s">
        <v>141</v>
      </c>
      <c r="EF5" s="35">
        <f>C5-M5</f>
        <v>850</v>
      </c>
      <c r="EG5" s="35">
        <f>C5-O5</f>
        <v>187</v>
      </c>
      <c r="EH5" s="47">
        <f t="shared" si="24"/>
        <v>25.31545429</v>
      </c>
    </row>
    <row r="6" ht="15.75" customHeight="1">
      <c r="A6" s="35" t="s">
        <v>148</v>
      </c>
      <c r="B6" s="36" t="s">
        <v>129</v>
      </c>
      <c r="C6" s="37">
        <v>44890.0</v>
      </c>
      <c r="D6" s="48">
        <v>53.0</v>
      </c>
      <c r="E6" s="35" t="s">
        <v>130</v>
      </c>
      <c r="F6" s="35">
        <v>152.0</v>
      </c>
      <c r="G6" s="39">
        <v>63.0</v>
      </c>
      <c r="H6" s="40" t="s">
        <v>131</v>
      </c>
      <c r="I6" s="35">
        <v>3.0</v>
      </c>
      <c r="J6" s="41">
        <v>44621.0</v>
      </c>
      <c r="K6" s="35" t="s">
        <v>132</v>
      </c>
      <c r="L6" s="36" t="s">
        <v>133</v>
      </c>
      <c r="M6" s="42" t="s">
        <v>133</v>
      </c>
      <c r="N6" s="36" t="s">
        <v>133</v>
      </c>
      <c r="O6" s="42" t="s">
        <v>133</v>
      </c>
      <c r="P6" s="36" t="s">
        <v>133</v>
      </c>
      <c r="Q6" s="36" t="s">
        <v>133</v>
      </c>
      <c r="R6" s="36" t="s">
        <v>133</v>
      </c>
      <c r="S6" s="36" t="s">
        <v>133</v>
      </c>
      <c r="T6" s="36" t="s">
        <v>133</v>
      </c>
      <c r="U6" s="36" t="s">
        <v>133</v>
      </c>
      <c r="V6" s="36" t="str">
        <f t="shared" si="2"/>
        <v>No infectado</v>
      </c>
      <c r="W6" s="36" t="s">
        <v>133</v>
      </c>
      <c r="X6" s="36" t="s">
        <v>133</v>
      </c>
      <c r="Y6" s="36" t="s">
        <v>133</v>
      </c>
      <c r="Z6" s="36" t="s">
        <v>133</v>
      </c>
      <c r="AA6" s="36" t="s">
        <v>133</v>
      </c>
      <c r="AB6" s="36" t="s">
        <v>133</v>
      </c>
      <c r="AC6" s="36" t="s">
        <v>133</v>
      </c>
      <c r="AD6" s="36" t="s">
        <v>133</v>
      </c>
      <c r="AE6" s="36" t="s">
        <v>133</v>
      </c>
      <c r="AF6" s="36" t="s">
        <v>133</v>
      </c>
      <c r="AG6" s="36" t="s">
        <v>133</v>
      </c>
      <c r="AH6" s="36" t="s">
        <v>133</v>
      </c>
      <c r="AI6" s="36" t="s">
        <v>133</v>
      </c>
      <c r="AJ6" s="36" t="s">
        <v>133</v>
      </c>
      <c r="AK6" s="36" t="s">
        <v>133</v>
      </c>
      <c r="AL6" s="40" t="s">
        <v>131</v>
      </c>
      <c r="AM6" s="35" t="s">
        <v>131</v>
      </c>
      <c r="AN6" s="35" t="s">
        <v>132</v>
      </c>
      <c r="AO6" s="35" t="s">
        <v>131</v>
      </c>
      <c r="AP6" s="35" t="s">
        <v>132</v>
      </c>
      <c r="AQ6" s="35" t="s">
        <v>132</v>
      </c>
      <c r="AR6" s="35" t="s">
        <v>132</v>
      </c>
      <c r="AS6" s="35" t="s">
        <v>131</v>
      </c>
      <c r="AT6" s="35" t="s">
        <v>132</v>
      </c>
      <c r="AU6" s="35" t="s">
        <v>132</v>
      </c>
      <c r="AV6" s="35" t="s">
        <v>132</v>
      </c>
      <c r="AW6" s="36" t="s">
        <v>133</v>
      </c>
      <c r="AX6" s="35" t="s">
        <v>132</v>
      </c>
      <c r="AY6" s="36" t="s">
        <v>133</v>
      </c>
      <c r="AZ6" s="36" t="s">
        <v>133</v>
      </c>
      <c r="BA6" s="36" t="s">
        <v>133</v>
      </c>
      <c r="BB6" s="35" t="s">
        <v>145</v>
      </c>
      <c r="BC6" s="36" t="s">
        <v>133</v>
      </c>
      <c r="BD6" s="40">
        <v>2.0</v>
      </c>
      <c r="BE6" s="35">
        <v>1.0</v>
      </c>
      <c r="BF6" s="35">
        <v>1.0</v>
      </c>
      <c r="BG6" s="35">
        <v>2.0</v>
      </c>
      <c r="BH6" s="35">
        <v>1.0</v>
      </c>
      <c r="BI6" s="44" t="str">
        <f t="shared" si="3"/>
        <v>21121</v>
      </c>
      <c r="BJ6" s="35">
        <v>60.0</v>
      </c>
      <c r="BK6" s="35">
        <v>5.0</v>
      </c>
      <c r="BL6" s="35">
        <v>5.0</v>
      </c>
      <c r="BM6" s="35">
        <v>2.0</v>
      </c>
      <c r="BN6" s="35">
        <v>2.0</v>
      </c>
      <c r="BO6" s="35">
        <v>5.0</v>
      </c>
      <c r="BP6" s="35">
        <v>4.0</v>
      </c>
      <c r="BQ6" s="35">
        <v>3.0</v>
      </c>
      <c r="BR6" s="35">
        <v>2.0</v>
      </c>
      <c r="BS6" s="35">
        <v>2.0</v>
      </c>
      <c r="BT6" s="35">
        <v>5.0</v>
      </c>
      <c r="BU6" s="44">
        <f t="shared" si="4"/>
        <v>4</v>
      </c>
      <c r="BV6" s="44">
        <f t="shared" si="5"/>
        <v>1</v>
      </c>
      <c r="BW6" s="44">
        <f t="shared" si="6"/>
        <v>34</v>
      </c>
      <c r="BX6" s="44" t="str">
        <f t="shared" si="7"/>
        <v>FATIGA</v>
      </c>
      <c r="BY6" s="35">
        <v>0.0</v>
      </c>
      <c r="BZ6" s="35">
        <v>0.0</v>
      </c>
      <c r="CA6" s="35">
        <v>0.0</v>
      </c>
      <c r="CB6" s="35">
        <v>0.0</v>
      </c>
      <c r="CC6" s="35">
        <v>0.0</v>
      </c>
      <c r="CD6" s="35">
        <v>0.0</v>
      </c>
      <c r="CE6" s="35">
        <v>1.0</v>
      </c>
      <c r="CF6" s="35">
        <v>0.0</v>
      </c>
      <c r="CG6" s="35">
        <v>30.0</v>
      </c>
      <c r="CH6" s="35">
        <v>4.0</v>
      </c>
      <c r="CI6" s="35">
        <v>45.0</v>
      </c>
      <c r="CJ6" s="44">
        <f>(8*BY6*(BZ6*60+CA6)+4*CB6*(CC6*60+CD6)+3.3*CE6*($CF$6*60+CG6))</f>
        <v>99</v>
      </c>
      <c r="CK6" s="44">
        <f t="shared" si="9"/>
        <v>1</v>
      </c>
      <c r="CL6" s="44" t="b">
        <f t="shared" si="10"/>
        <v>0</v>
      </c>
      <c r="CM6" s="44" t="b">
        <f t="shared" si="11"/>
        <v>0</v>
      </c>
      <c r="CN6" s="45" t="str">
        <f t="shared" si="12"/>
        <v>Nivel de actividad física bajo</v>
      </c>
      <c r="CO6" s="35">
        <v>0.0</v>
      </c>
      <c r="CP6" s="35">
        <v>210.0</v>
      </c>
      <c r="CQ6" s="44">
        <f t="shared" si="13"/>
        <v>3</v>
      </c>
      <c r="CR6" s="35">
        <v>8.0</v>
      </c>
      <c r="CS6" s="35">
        <v>30.0</v>
      </c>
      <c r="CT6" s="35">
        <f>((8*60+30)*60)/3600</f>
        <v>8.5</v>
      </c>
      <c r="CU6" s="35">
        <v>4.0</v>
      </c>
      <c r="CV6" s="35">
        <v>3.0</v>
      </c>
      <c r="CW6" s="35">
        <v>3.0</v>
      </c>
      <c r="CX6" s="35">
        <v>3.0</v>
      </c>
      <c r="CY6" s="35">
        <v>0.0</v>
      </c>
      <c r="CZ6" s="35">
        <v>0.0</v>
      </c>
      <c r="DA6" s="35">
        <v>2.0</v>
      </c>
      <c r="DB6" s="35">
        <v>3.0</v>
      </c>
      <c r="DC6" s="35">
        <v>0.0</v>
      </c>
      <c r="DD6" s="35">
        <v>3.0</v>
      </c>
      <c r="DE6" s="35">
        <v>0.0</v>
      </c>
      <c r="DF6" s="36" t="s">
        <v>133</v>
      </c>
      <c r="DG6" s="44">
        <f t="shared" si="14"/>
        <v>14</v>
      </c>
      <c r="DH6" s="35">
        <v>3.0</v>
      </c>
      <c r="DI6" s="35">
        <v>3.0</v>
      </c>
      <c r="DJ6" s="35">
        <v>3.0</v>
      </c>
      <c r="DK6" s="35">
        <v>2.0</v>
      </c>
      <c r="DL6" s="46">
        <f t="shared" si="15"/>
        <v>47.05882353</v>
      </c>
      <c r="DM6" s="44">
        <f t="shared" si="16"/>
        <v>3</v>
      </c>
      <c r="DN6" s="44">
        <f t="shared" si="17"/>
        <v>2</v>
      </c>
      <c r="DO6" s="44">
        <f t="shared" si="18"/>
        <v>3</v>
      </c>
      <c r="DP6" s="44">
        <f t="shared" si="19"/>
        <v>3</v>
      </c>
      <c r="DQ6" s="44">
        <f t="shared" si="20"/>
        <v>3</v>
      </c>
      <c r="DR6" s="44">
        <f t="shared" ref="DR6:DS6" si="25">(DH6)</f>
        <v>3</v>
      </c>
      <c r="DS6" s="44">
        <f t="shared" si="25"/>
        <v>3</v>
      </c>
      <c r="DT6" s="44">
        <f t="shared" si="22"/>
        <v>20</v>
      </c>
      <c r="DU6" s="44" t="str">
        <f t="shared" si="23"/>
        <v>poor sleep quality</v>
      </c>
      <c r="DV6" s="36" t="s">
        <v>133</v>
      </c>
      <c r="DW6" s="35" t="s">
        <v>149</v>
      </c>
      <c r="DX6" s="35" t="s">
        <v>146</v>
      </c>
      <c r="DY6" s="35">
        <v>1.0</v>
      </c>
      <c r="DZ6" s="35" t="s">
        <v>131</v>
      </c>
      <c r="EA6" s="35" t="s">
        <v>150</v>
      </c>
      <c r="EB6" s="35" t="s">
        <v>139</v>
      </c>
      <c r="EC6" s="35" t="s">
        <v>140</v>
      </c>
      <c r="ED6" s="35" t="s">
        <v>132</v>
      </c>
      <c r="EE6" s="35" t="s">
        <v>151</v>
      </c>
      <c r="EF6" s="36" t="s">
        <v>133</v>
      </c>
      <c r="EG6" s="36" t="s">
        <v>133</v>
      </c>
      <c r="EH6" s="47">
        <f t="shared" si="24"/>
        <v>27.26800554</v>
      </c>
    </row>
    <row r="7" ht="15.75" customHeight="1">
      <c r="A7" s="35" t="s">
        <v>152</v>
      </c>
      <c r="B7" s="36" t="s">
        <v>129</v>
      </c>
      <c r="C7" s="37">
        <v>44988.0</v>
      </c>
      <c r="D7" s="48">
        <v>59.0</v>
      </c>
      <c r="E7" s="35" t="s">
        <v>153</v>
      </c>
      <c r="F7" s="35">
        <v>180.0</v>
      </c>
      <c r="G7" s="39">
        <v>84.0</v>
      </c>
      <c r="H7" s="40" t="s">
        <v>131</v>
      </c>
      <c r="I7" s="35">
        <v>4.0</v>
      </c>
      <c r="J7" s="41">
        <v>44569.0</v>
      </c>
      <c r="K7" s="35" t="s">
        <v>132</v>
      </c>
      <c r="L7" s="36" t="s">
        <v>133</v>
      </c>
      <c r="M7" s="42" t="s">
        <v>133</v>
      </c>
      <c r="N7" s="36" t="s">
        <v>133</v>
      </c>
      <c r="O7" s="42" t="s">
        <v>133</v>
      </c>
      <c r="P7" s="36" t="s">
        <v>133</v>
      </c>
      <c r="Q7" s="36" t="s">
        <v>133</v>
      </c>
      <c r="R7" s="36" t="s">
        <v>133</v>
      </c>
      <c r="S7" s="36" t="s">
        <v>133</v>
      </c>
      <c r="T7" s="36" t="s">
        <v>133</v>
      </c>
      <c r="U7" s="36" t="s">
        <v>133</v>
      </c>
      <c r="V7" s="36" t="str">
        <f t="shared" si="2"/>
        <v>No infectado</v>
      </c>
      <c r="W7" s="36" t="s">
        <v>133</v>
      </c>
      <c r="X7" s="36" t="s">
        <v>133</v>
      </c>
      <c r="Y7" s="36" t="s">
        <v>133</v>
      </c>
      <c r="Z7" s="36" t="s">
        <v>133</v>
      </c>
      <c r="AA7" s="36" t="s">
        <v>133</v>
      </c>
      <c r="AB7" s="36" t="s">
        <v>133</v>
      </c>
      <c r="AC7" s="36" t="s">
        <v>133</v>
      </c>
      <c r="AD7" s="36" t="s">
        <v>133</v>
      </c>
      <c r="AE7" s="36" t="s">
        <v>133</v>
      </c>
      <c r="AF7" s="36" t="s">
        <v>133</v>
      </c>
      <c r="AG7" s="36" t="s">
        <v>133</v>
      </c>
      <c r="AH7" s="36" t="s">
        <v>133</v>
      </c>
      <c r="AI7" s="36" t="s">
        <v>133</v>
      </c>
      <c r="AJ7" s="36" t="s">
        <v>133</v>
      </c>
      <c r="AK7" s="36" t="s">
        <v>133</v>
      </c>
      <c r="AL7" s="40" t="s">
        <v>131</v>
      </c>
      <c r="AM7" s="35" t="s">
        <v>132</v>
      </c>
      <c r="AN7" s="35" t="s">
        <v>132</v>
      </c>
      <c r="AO7" s="35" t="s">
        <v>131</v>
      </c>
      <c r="AP7" s="35" t="s">
        <v>132</v>
      </c>
      <c r="AQ7" s="35" t="s">
        <v>132</v>
      </c>
      <c r="AR7" s="35" t="s">
        <v>132</v>
      </c>
      <c r="AS7" s="35" t="s">
        <v>131</v>
      </c>
      <c r="AT7" s="35" t="s">
        <v>132</v>
      </c>
      <c r="AU7" s="35" t="s">
        <v>132</v>
      </c>
      <c r="AV7" s="35" t="s">
        <v>132</v>
      </c>
      <c r="AW7" s="36" t="s">
        <v>133</v>
      </c>
      <c r="AX7" s="35" t="s">
        <v>131</v>
      </c>
      <c r="AY7" s="35">
        <v>10.0</v>
      </c>
      <c r="AZ7" s="35">
        <v>40.0</v>
      </c>
      <c r="BA7" s="36" t="s">
        <v>133</v>
      </c>
      <c r="BB7" s="35" t="s">
        <v>135</v>
      </c>
      <c r="BC7" s="39">
        <v>2.0</v>
      </c>
      <c r="BD7" s="40">
        <v>1.0</v>
      </c>
      <c r="BE7" s="35">
        <v>1.0</v>
      </c>
      <c r="BF7" s="35">
        <v>1.0</v>
      </c>
      <c r="BG7" s="35">
        <v>1.0</v>
      </c>
      <c r="BH7" s="35">
        <v>1.0</v>
      </c>
      <c r="BI7" s="44" t="str">
        <f t="shared" si="3"/>
        <v>11111</v>
      </c>
      <c r="BJ7" s="35">
        <v>70.0</v>
      </c>
      <c r="BK7" s="35">
        <v>2.0</v>
      </c>
      <c r="BL7" s="35">
        <v>2.0</v>
      </c>
      <c r="BM7" s="35">
        <v>2.0</v>
      </c>
      <c r="BN7" s="35">
        <v>4.0</v>
      </c>
      <c r="BO7" s="35">
        <v>2.0</v>
      </c>
      <c r="BP7" s="35">
        <v>2.0</v>
      </c>
      <c r="BQ7" s="35">
        <v>2.0</v>
      </c>
      <c r="BR7" s="35">
        <v>2.0</v>
      </c>
      <c r="BS7" s="35">
        <v>2.0</v>
      </c>
      <c r="BT7" s="35">
        <v>4.0</v>
      </c>
      <c r="BU7" s="44">
        <f t="shared" si="4"/>
        <v>2</v>
      </c>
      <c r="BV7" s="44">
        <f t="shared" si="5"/>
        <v>2</v>
      </c>
      <c r="BW7" s="44">
        <f t="shared" si="6"/>
        <v>22</v>
      </c>
      <c r="BX7" s="44" t="str">
        <f t="shared" si="7"/>
        <v>FATIGA</v>
      </c>
      <c r="BY7" s="36" t="s">
        <v>133</v>
      </c>
      <c r="BZ7" s="36" t="s">
        <v>133</v>
      </c>
      <c r="CA7" s="36" t="s">
        <v>133</v>
      </c>
      <c r="CB7" s="36" t="s">
        <v>133</v>
      </c>
      <c r="CC7" s="36" t="s">
        <v>133</v>
      </c>
      <c r="CD7" s="36" t="s">
        <v>133</v>
      </c>
      <c r="CE7" s="36" t="s">
        <v>133</v>
      </c>
      <c r="CF7" s="36" t="s">
        <v>133</v>
      </c>
      <c r="CG7" s="36" t="s">
        <v>133</v>
      </c>
      <c r="CH7" s="36" t="s">
        <v>133</v>
      </c>
      <c r="CI7" s="36" t="s">
        <v>133</v>
      </c>
      <c r="CJ7" s="36" t="s">
        <v>133</v>
      </c>
      <c r="CK7" s="36" t="s">
        <v>133</v>
      </c>
      <c r="CL7" s="36" t="s">
        <v>133</v>
      </c>
      <c r="CM7" s="36" t="s">
        <v>133</v>
      </c>
      <c r="CN7" s="36" t="s">
        <v>133</v>
      </c>
      <c r="CO7" s="36" t="s">
        <v>133</v>
      </c>
      <c r="CP7" s="36" t="s">
        <v>133</v>
      </c>
      <c r="CQ7" s="36" t="s">
        <v>133</v>
      </c>
      <c r="CR7" s="36" t="s">
        <v>133</v>
      </c>
      <c r="CS7" s="36" t="s">
        <v>133</v>
      </c>
      <c r="CT7" s="36" t="s">
        <v>133</v>
      </c>
      <c r="CU7" s="36" t="s">
        <v>133</v>
      </c>
      <c r="CV7" s="36" t="s">
        <v>133</v>
      </c>
      <c r="CW7" s="36" t="s">
        <v>133</v>
      </c>
      <c r="CX7" s="36" t="s">
        <v>133</v>
      </c>
      <c r="CY7" s="36" t="s">
        <v>133</v>
      </c>
      <c r="CZ7" s="36" t="s">
        <v>133</v>
      </c>
      <c r="DA7" s="36" t="s">
        <v>133</v>
      </c>
      <c r="DB7" s="36" t="s">
        <v>133</v>
      </c>
      <c r="DC7" s="36" t="s">
        <v>133</v>
      </c>
      <c r="DD7" s="36" t="s">
        <v>133</v>
      </c>
      <c r="DE7" s="36" t="s">
        <v>133</v>
      </c>
      <c r="DF7" s="36" t="s">
        <v>133</v>
      </c>
      <c r="DG7" s="36" t="s">
        <v>133</v>
      </c>
      <c r="DH7" s="36" t="s">
        <v>133</v>
      </c>
      <c r="DI7" s="36" t="s">
        <v>133</v>
      </c>
      <c r="DJ7" s="36" t="s">
        <v>133</v>
      </c>
      <c r="DK7" s="36" t="s">
        <v>133</v>
      </c>
      <c r="DL7" s="49" t="s">
        <v>133</v>
      </c>
      <c r="DM7" s="36" t="s">
        <v>133</v>
      </c>
      <c r="DN7" s="36" t="s">
        <v>133</v>
      </c>
      <c r="DO7" s="36" t="s">
        <v>133</v>
      </c>
      <c r="DP7" s="36" t="s">
        <v>133</v>
      </c>
      <c r="DQ7" s="36" t="s">
        <v>133</v>
      </c>
      <c r="DR7" s="36" t="s">
        <v>133</v>
      </c>
      <c r="DS7" s="36" t="s">
        <v>133</v>
      </c>
      <c r="DT7" s="36" t="s">
        <v>133</v>
      </c>
      <c r="DU7" s="36" t="s">
        <v>133</v>
      </c>
      <c r="DV7" s="36" t="s">
        <v>133</v>
      </c>
      <c r="DW7" s="36" t="s">
        <v>133</v>
      </c>
      <c r="DX7" s="36" t="s">
        <v>133</v>
      </c>
      <c r="DY7" s="36" t="s">
        <v>133</v>
      </c>
      <c r="DZ7" s="36" t="s">
        <v>133</v>
      </c>
      <c r="EA7" s="36" t="s">
        <v>133</v>
      </c>
      <c r="EB7" s="36" t="s">
        <v>133</v>
      </c>
      <c r="EC7" s="36" t="s">
        <v>133</v>
      </c>
      <c r="ED7" s="36" t="s">
        <v>133</v>
      </c>
      <c r="EE7" s="36" t="s">
        <v>133</v>
      </c>
      <c r="EF7" s="36" t="s">
        <v>133</v>
      </c>
      <c r="EG7" s="36" t="s">
        <v>133</v>
      </c>
      <c r="EH7" s="47">
        <f t="shared" si="24"/>
        <v>25.92592593</v>
      </c>
    </row>
    <row r="8" ht="15.75" customHeight="1">
      <c r="A8" s="35" t="s">
        <v>154</v>
      </c>
      <c r="B8" s="36" t="s">
        <v>129</v>
      </c>
      <c r="C8" s="37">
        <v>44888.0</v>
      </c>
      <c r="D8" s="48">
        <v>54.0</v>
      </c>
      <c r="E8" s="35" t="s">
        <v>130</v>
      </c>
      <c r="F8" s="35">
        <v>160.0</v>
      </c>
      <c r="G8" s="39">
        <v>62.0</v>
      </c>
      <c r="H8" s="40" t="s">
        <v>131</v>
      </c>
      <c r="I8" s="35">
        <v>3.0</v>
      </c>
      <c r="J8" s="41">
        <v>44593.0</v>
      </c>
      <c r="K8" s="35" t="s">
        <v>132</v>
      </c>
      <c r="L8" s="36" t="s">
        <v>133</v>
      </c>
      <c r="M8" s="42" t="s">
        <v>133</v>
      </c>
      <c r="N8" s="36" t="s">
        <v>133</v>
      </c>
      <c r="O8" s="42" t="s">
        <v>133</v>
      </c>
      <c r="P8" s="36" t="s">
        <v>133</v>
      </c>
      <c r="Q8" s="36" t="s">
        <v>133</v>
      </c>
      <c r="R8" s="36" t="s">
        <v>133</v>
      </c>
      <c r="S8" s="36" t="s">
        <v>133</v>
      </c>
      <c r="T8" s="36" t="s">
        <v>133</v>
      </c>
      <c r="U8" s="36" t="s">
        <v>133</v>
      </c>
      <c r="V8" s="36" t="str">
        <f t="shared" si="2"/>
        <v>No infectado</v>
      </c>
      <c r="W8" s="36" t="s">
        <v>133</v>
      </c>
      <c r="X8" s="36" t="s">
        <v>133</v>
      </c>
      <c r="Y8" s="36" t="s">
        <v>133</v>
      </c>
      <c r="Z8" s="36" t="s">
        <v>133</v>
      </c>
      <c r="AA8" s="36" t="s">
        <v>133</v>
      </c>
      <c r="AB8" s="36" t="s">
        <v>133</v>
      </c>
      <c r="AC8" s="36" t="s">
        <v>133</v>
      </c>
      <c r="AD8" s="36" t="s">
        <v>133</v>
      </c>
      <c r="AE8" s="36" t="s">
        <v>133</v>
      </c>
      <c r="AF8" s="36" t="s">
        <v>133</v>
      </c>
      <c r="AG8" s="36" t="s">
        <v>133</v>
      </c>
      <c r="AH8" s="36" t="s">
        <v>133</v>
      </c>
      <c r="AI8" s="36" t="s">
        <v>133</v>
      </c>
      <c r="AJ8" s="36" t="s">
        <v>133</v>
      </c>
      <c r="AK8" s="36" t="s">
        <v>133</v>
      </c>
      <c r="AL8" s="40" t="s">
        <v>132</v>
      </c>
      <c r="AM8" s="35" t="s">
        <v>132</v>
      </c>
      <c r="AN8" s="35" t="s">
        <v>132</v>
      </c>
      <c r="AO8" s="35" t="s">
        <v>131</v>
      </c>
      <c r="AP8" s="35" t="s">
        <v>132</v>
      </c>
      <c r="AQ8" s="35" t="s">
        <v>132</v>
      </c>
      <c r="AR8" s="35" t="s">
        <v>132</v>
      </c>
      <c r="AS8" s="35" t="s">
        <v>132</v>
      </c>
      <c r="AT8" s="35" t="s">
        <v>132</v>
      </c>
      <c r="AU8" s="35" t="s">
        <v>132</v>
      </c>
      <c r="AV8" s="35" t="s">
        <v>132</v>
      </c>
      <c r="AW8" s="36" t="s">
        <v>133</v>
      </c>
      <c r="AX8" s="35" t="s">
        <v>132</v>
      </c>
      <c r="AY8" s="36" t="s">
        <v>133</v>
      </c>
      <c r="AZ8" s="36" t="s">
        <v>133</v>
      </c>
      <c r="BA8" s="36" t="s">
        <v>133</v>
      </c>
      <c r="BB8" s="35" t="s">
        <v>145</v>
      </c>
      <c r="BC8" s="36" t="s">
        <v>133</v>
      </c>
      <c r="BD8" s="40">
        <v>1.0</v>
      </c>
      <c r="BE8" s="35">
        <v>1.0</v>
      </c>
      <c r="BF8" s="35">
        <v>1.0</v>
      </c>
      <c r="BG8" s="35">
        <v>1.0</v>
      </c>
      <c r="BH8" s="35">
        <v>1.0</v>
      </c>
      <c r="BI8" s="44" t="str">
        <f t="shared" si="3"/>
        <v>11111</v>
      </c>
      <c r="BJ8" s="35">
        <v>100.0</v>
      </c>
      <c r="BK8" s="35">
        <v>1.0</v>
      </c>
      <c r="BL8" s="35">
        <v>1.0</v>
      </c>
      <c r="BM8" s="35">
        <v>2.0</v>
      </c>
      <c r="BN8" s="35">
        <v>5.0</v>
      </c>
      <c r="BO8" s="35">
        <v>1.0</v>
      </c>
      <c r="BP8" s="35">
        <v>2.0</v>
      </c>
      <c r="BQ8" s="35">
        <v>2.0</v>
      </c>
      <c r="BR8" s="35">
        <v>1.0</v>
      </c>
      <c r="BS8" s="35">
        <v>2.0</v>
      </c>
      <c r="BT8" s="35">
        <v>3.0</v>
      </c>
      <c r="BU8" s="44">
        <f t="shared" si="4"/>
        <v>1</v>
      </c>
      <c r="BV8" s="44">
        <f t="shared" si="5"/>
        <v>3</v>
      </c>
      <c r="BW8" s="44">
        <f t="shared" si="6"/>
        <v>18</v>
      </c>
      <c r="BX8" s="44" t="str">
        <f t="shared" si="7"/>
        <v>NO HAY FATIGA</v>
      </c>
      <c r="BY8" s="35">
        <v>4.0</v>
      </c>
      <c r="BZ8" s="35">
        <v>4.0</v>
      </c>
      <c r="CA8" s="35">
        <v>0.0</v>
      </c>
      <c r="CB8" s="35">
        <v>4.0</v>
      </c>
      <c r="CC8" s="35">
        <v>1.0</v>
      </c>
      <c r="CD8" s="35">
        <v>20.0</v>
      </c>
      <c r="CE8" s="35">
        <v>0.0</v>
      </c>
      <c r="CF8" s="50">
        <v>0.0</v>
      </c>
      <c r="CG8" s="50">
        <v>0.0</v>
      </c>
      <c r="CH8" s="35">
        <v>8.0</v>
      </c>
      <c r="CI8" s="35">
        <v>0.0</v>
      </c>
      <c r="CJ8" s="44">
        <f t="shared" ref="CJ8:CJ117" si="27">(8*BY8*(BZ8*60+CA8)+4*CB8*(CC8*60+CD8)+3.3*CE8*(CF8*60+CG8))</f>
        <v>8960</v>
      </c>
      <c r="CK8" s="44">
        <f t="shared" ref="CK8:CK139" si="28">(BY8+CB8+CE8)</f>
        <v>8</v>
      </c>
      <c r="CL8" s="44" t="str">
        <f t="shared" ref="CL8:CL139" si="29">IF(CJ8&gt;3000,IF(CK8&gt;6,"Nivel de actividad física alto"),IF(CJ8&gt;1500,IF(BY8&gt;2,"Nivel de actividad física alto")))</f>
        <v>Nivel de actividad física alto</v>
      </c>
      <c r="CM8" s="44" t="str">
        <f t="shared" ref="CM8:CM139" si="30">IF(BY8&gt;2,(IF(BZ8*60+CA8&gt;25,"Nivel de actividad física moderado")),IF(CB8+CE8&gt;5,IF(CC8*60+CD8+CF8*60+CG8&gt;30,"Nivel de actividad física moderado"),IF(CJ8&gt;600,(IF(CK8&gt;5,"Nivel de actividad física moderado")))))</f>
        <v>Nivel de actividad física moderado</v>
      </c>
      <c r="CN8" s="45" t="str">
        <f t="shared" ref="CN8:CN139" si="31">IF(CL8="Nivel de actividad física alto","Nivel de actividad física alto",IF(CM8="Nivel de actividad física moderado","Nivel de actividad física moderado","Nivel de actividad física bajo"))</f>
        <v>Nivel de actividad física alto</v>
      </c>
      <c r="CO8" s="35">
        <v>23.0</v>
      </c>
      <c r="CP8" s="35">
        <v>2.0</v>
      </c>
      <c r="CQ8" s="44">
        <f t="shared" ref="CQ8:CQ158" si="32">IF(CP8&gt;60,3,IF(CP8&gt;30,2,IF(CP8&gt;15,1,0)))</f>
        <v>0</v>
      </c>
      <c r="CR8" s="35">
        <v>8.0</v>
      </c>
      <c r="CS8" s="35">
        <v>0.0</v>
      </c>
      <c r="CT8" s="35">
        <v>9.0</v>
      </c>
      <c r="CU8" s="35">
        <v>8.0</v>
      </c>
      <c r="CV8" s="35">
        <v>0.0</v>
      </c>
      <c r="CW8" s="35">
        <v>3.0</v>
      </c>
      <c r="CX8" s="35">
        <v>3.0</v>
      </c>
      <c r="CY8" s="35">
        <v>0.0</v>
      </c>
      <c r="CZ8" s="35">
        <v>0.0</v>
      </c>
      <c r="DA8" s="35">
        <v>0.0</v>
      </c>
      <c r="DB8" s="35">
        <v>0.0</v>
      </c>
      <c r="DC8" s="35">
        <v>0.0</v>
      </c>
      <c r="DD8" s="35">
        <v>0.0</v>
      </c>
      <c r="DE8" s="35">
        <v>0.0</v>
      </c>
      <c r="DF8" s="36" t="s">
        <v>133</v>
      </c>
      <c r="DG8" s="44">
        <f t="shared" ref="DG8:DG15" si="33">SUM(CW8:DE8)</f>
        <v>6</v>
      </c>
      <c r="DH8" s="35">
        <v>0.0</v>
      </c>
      <c r="DI8" s="35">
        <v>0.0</v>
      </c>
      <c r="DJ8" s="35">
        <v>0.0</v>
      </c>
      <c r="DK8" s="35">
        <v>0.0</v>
      </c>
      <c r="DL8" s="46">
        <f t="shared" ref="DL8:DL158" si="34">((CU8/CT8)*100)</f>
        <v>88.88888889</v>
      </c>
      <c r="DM8" s="44">
        <f t="shared" ref="DM8:DM158" si="35">IF(CU8&gt;=7,0,IF(CU8&gt;=6,1,IF(CU8&gt;=5,2,IF(CU8&lt;5,3))))</f>
        <v>0</v>
      </c>
      <c r="DN8" s="44">
        <f t="shared" ref="DN8:DN158" si="36">IF(DG8&gt;18,3,IF(DG8&gt;9,2,IF(DG8&gt;=1,1,0)))</f>
        <v>1</v>
      </c>
      <c r="DO8" s="44">
        <f t="shared" ref="DO8:DO158" si="37">IF(CV8+CQ8&gt;=5,3,IF(CQ8+CV8&gt;=3,2,IF(CQ8+CV8&gt;=1,1,0)))</f>
        <v>0</v>
      </c>
      <c r="DP8" s="44">
        <f t="shared" ref="DP8:DP158" si="38">IF(DJ8+DK8&gt;=5,3,IF(DJ8+DK8&gt;=3,2,IF(DJ8+DK8&gt;=1,1,0)))</f>
        <v>0</v>
      </c>
      <c r="DQ8" s="44">
        <f t="shared" ref="DQ8:DQ158" si="39">IF(DL8&gt;85,0,IF(DL8&gt;75,1,IF(DL8&gt;65,2,3)))</f>
        <v>0</v>
      </c>
      <c r="DR8" s="44">
        <f t="shared" ref="DR8:DS8" si="26">(DH8)</f>
        <v>0</v>
      </c>
      <c r="DS8" s="44">
        <f t="shared" si="26"/>
        <v>0</v>
      </c>
      <c r="DT8" s="44">
        <f t="shared" ref="DT8:DT217" si="41">SUM(DM8:DS8)</f>
        <v>1</v>
      </c>
      <c r="DU8" s="44" t="str">
        <f t="shared" ref="DU8:DU158" si="42">IF(DT8&gt;5,"poor sleep quality","good sleep quality")</f>
        <v>good sleep quality</v>
      </c>
      <c r="DV8" s="35">
        <v>4.0</v>
      </c>
      <c r="DW8" s="35" t="s">
        <v>155</v>
      </c>
      <c r="DX8" s="35" t="s">
        <v>146</v>
      </c>
      <c r="DY8" s="35" t="s">
        <v>156</v>
      </c>
      <c r="DZ8" s="35" t="s">
        <v>131</v>
      </c>
      <c r="EA8" s="35" t="s">
        <v>157</v>
      </c>
      <c r="EB8" s="35" t="s">
        <v>139</v>
      </c>
      <c r="EC8" s="35" t="s">
        <v>132</v>
      </c>
      <c r="ED8" s="35" t="s">
        <v>132</v>
      </c>
      <c r="EE8" s="35" t="s">
        <v>158</v>
      </c>
      <c r="EF8" s="36" t="s">
        <v>133</v>
      </c>
      <c r="EG8" s="36" t="s">
        <v>133</v>
      </c>
      <c r="EH8" s="47">
        <f t="shared" si="24"/>
        <v>24.21875</v>
      </c>
    </row>
    <row r="9" ht="15.75" customHeight="1">
      <c r="A9" s="35" t="s">
        <v>159</v>
      </c>
      <c r="B9" s="36" t="s">
        <v>129</v>
      </c>
      <c r="C9" s="37">
        <v>44876.0</v>
      </c>
      <c r="D9" s="48">
        <v>39.0</v>
      </c>
      <c r="E9" s="35" t="s">
        <v>153</v>
      </c>
      <c r="F9" s="35">
        <v>170.0</v>
      </c>
      <c r="G9" s="39">
        <v>82.0</v>
      </c>
      <c r="H9" s="40" t="s">
        <v>131</v>
      </c>
      <c r="I9" s="35">
        <v>3.0</v>
      </c>
      <c r="J9" s="41">
        <v>44652.0</v>
      </c>
      <c r="K9" s="35" t="s">
        <v>131</v>
      </c>
      <c r="L9" s="35">
        <v>1.0</v>
      </c>
      <c r="M9" s="41">
        <v>44713.0</v>
      </c>
      <c r="N9" s="36" t="s">
        <v>133</v>
      </c>
      <c r="O9" s="41">
        <v>44713.0</v>
      </c>
      <c r="P9" s="35" t="s">
        <v>132</v>
      </c>
      <c r="Q9" s="36" t="s">
        <v>133</v>
      </c>
      <c r="R9" s="36" t="s">
        <v>133</v>
      </c>
      <c r="S9" s="36" t="s">
        <v>133</v>
      </c>
      <c r="T9" s="36" t="s">
        <v>133</v>
      </c>
      <c r="U9" s="36" t="s">
        <v>133</v>
      </c>
      <c r="V9" s="36" t="str">
        <f t="shared" si="2"/>
        <v>Paciente ambulatorio</v>
      </c>
      <c r="W9" s="35" t="s">
        <v>143</v>
      </c>
      <c r="X9" s="35" t="s">
        <v>132</v>
      </c>
      <c r="Y9" s="35">
        <v>3.0</v>
      </c>
      <c r="Z9" s="35">
        <v>3.0</v>
      </c>
      <c r="AA9" s="35">
        <v>3.0</v>
      </c>
      <c r="AB9" s="35">
        <v>3.0</v>
      </c>
      <c r="AC9" s="35">
        <v>3.0</v>
      </c>
      <c r="AD9" s="35">
        <v>3.0</v>
      </c>
      <c r="AE9" s="35">
        <v>3.0</v>
      </c>
      <c r="AF9" s="35">
        <v>3.0</v>
      </c>
      <c r="AG9" s="35">
        <v>3.0</v>
      </c>
      <c r="AH9" s="35">
        <v>3.0</v>
      </c>
      <c r="AI9" s="35">
        <v>3.0</v>
      </c>
      <c r="AJ9" s="35">
        <v>3.0</v>
      </c>
      <c r="AK9" s="36" t="s">
        <v>133</v>
      </c>
      <c r="AL9" s="40" t="s">
        <v>132</v>
      </c>
      <c r="AM9" s="35" t="s">
        <v>132</v>
      </c>
      <c r="AN9" s="35" t="s">
        <v>132</v>
      </c>
      <c r="AO9" s="35" t="s">
        <v>131</v>
      </c>
      <c r="AP9" s="35" t="s">
        <v>132</v>
      </c>
      <c r="AQ9" s="35" t="s">
        <v>132</v>
      </c>
      <c r="AR9" s="35" t="s">
        <v>132</v>
      </c>
      <c r="AS9" s="35" t="s">
        <v>132</v>
      </c>
      <c r="AT9" s="35" t="s">
        <v>132</v>
      </c>
      <c r="AU9" s="35" t="s">
        <v>132</v>
      </c>
      <c r="AV9" s="35" t="s">
        <v>131</v>
      </c>
      <c r="AW9" s="35" t="s">
        <v>160</v>
      </c>
      <c r="AX9" s="35" t="s">
        <v>131</v>
      </c>
      <c r="AY9" s="35">
        <v>20.0</v>
      </c>
      <c r="AZ9" s="35">
        <v>20.0</v>
      </c>
      <c r="BA9" s="36" t="s">
        <v>133</v>
      </c>
      <c r="BB9" s="35" t="s">
        <v>135</v>
      </c>
      <c r="BC9" s="39">
        <v>8.0</v>
      </c>
      <c r="BD9" s="40">
        <v>1.0</v>
      </c>
      <c r="BE9" s="35">
        <v>1.0</v>
      </c>
      <c r="BF9" s="35">
        <v>1.0</v>
      </c>
      <c r="BG9" s="35">
        <v>1.0</v>
      </c>
      <c r="BH9" s="35">
        <v>2.0</v>
      </c>
      <c r="BI9" s="44" t="str">
        <f t="shared" si="3"/>
        <v>11112</v>
      </c>
      <c r="BJ9" s="35">
        <v>90.0</v>
      </c>
      <c r="BK9" s="35">
        <v>1.0</v>
      </c>
      <c r="BL9" s="35">
        <v>1.0</v>
      </c>
      <c r="BM9" s="35">
        <v>1.0</v>
      </c>
      <c r="BN9" s="35">
        <v>5.0</v>
      </c>
      <c r="BO9" s="35">
        <v>1.0</v>
      </c>
      <c r="BP9" s="35">
        <v>1.0</v>
      </c>
      <c r="BQ9" s="35">
        <v>1.0</v>
      </c>
      <c r="BR9" s="35">
        <v>2.0</v>
      </c>
      <c r="BS9" s="35">
        <v>2.0</v>
      </c>
      <c r="BT9" s="35">
        <v>5.0</v>
      </c>
      <c r="BU9" s="44">
        <f t="shared" si="4"/>
        <v>1</v>
      </c>
      <c r="BV9" s="44">
        <f t="shared" si="5"/>
        <v>1</v>
      </c>
      <c r="BW9" s="44">
        <f t="shared" si="6"/>
        <v>16</v>
      </c>
      <c r="BX9" s="44" t="str">
        <f t="shared" si="7"/>
        <v>NO HAY FATIGA</v>
      </c>
      <c r="BY9" s="35">
        <v>2.0</v>
      </c>
      <c r="BZ9" s="35">
        <v>2.0</v>
      </c>
      <c r="CA9" s="35">
        <v>0.0</v>
      </c>
      <c r="CB9" s="35">
        <v>1.0</v>
      </c>
      <c r="CC9" s="35">
        <v>1.0</v>
      </c>
      <c r="CD9" s="35">
        <v>0.0</v>
      </c>
      <c r="CE9" s="35">
        <v>7.0</v>
      </c>
      <c r="CF9" s="35">
        <v>2.0</v>
      </c>
      <c r="CG9" s="35">
        <v>0.0</v>
      </c>
      <c r="CH9" s="35">
        <v>5.0</v>
      </c>
      <c r="CI9" s="35">
        <v>0.0</v>
      </c>
      <c r="CJ9" s="44">
        <f t="shared" si="27"/>
        <v>4932</v>
      </c>
      <c r="CK9" s="44">
        <f t="shared" si="28"/>
        <v>10</v>
      </c>
      <c r="CL9" s="44" t="str">
        <f t="shared" si="29"/>
        <v>Nivel de actividad física alto</v>
      </c>
      <c r="CM9" s="44" t="str">
        <f t="shared" si="30"/>
        <v>Nivel de actividad física moderado</v>
      </c>
      <c r="CN9" s="45" t="str">
        <f t="shared" si="31"/>
        <v>Nivel de actividad física alto</v>
      </c>
      <c r="CO9" s="35">
        <v>0.0</v>
      </c>
      <c r="CP9" s="35">
        <v>15.0</v>
      </c>
      <c r="CQ9" s="44">
        <f t="shared" si="32"/>
        <v>0</v>
      </c>
      <c r="CR9" s="35">
        <v>6.0</v>
      </c>
      <c r="CS9" s="35">
        <v>30.0</v>
      </c>
      <c r="CT9" s="35">
        <v>6.5</v>
      </c>
      <c r="CU9" s="35">
        <v>5.0</v>
      </c>
      <c r="CV9" s="35">
        <v>0.0</v>
      </c>
      <c r="CW9" s="35">
        <v>3.0</v>
      </c>
      <c r="CX9" s="35">
        <v>0.0</v>
      </c>
      <c r="CY9" s="35">
        <v>0.0</v>
      </c>
      <c r="CZ9" s="35">
        <v>0.0</v>
      </c>
      <c r="DA9" s="35">
        <v>2.0</v>
      </c>
      <c r="DB9" s="35">
        <v>2.0</v>
      </c>
      <c r="DC9" s="35">
        <v>0.0</v>
      </c>
      <c r="DD9" s="35">
        <v>0.0</v>
      </c>
      <c r="DE9" s="35">
        <v>1.0</v>
      </c>
      <c r="DF9" s="36" t="s">
        <v>133</v>
      </c>
      <c r="DG9" s="44">
        <f t="shared" si="33"/>
        <v>8</v>
      </c>
      <c r="DH9" s="35">
        <v>1.0</v>
      </c>
      <c r="DI9" s="35">
        <v>0.0</v>
      </c>
      <c r="DJ9" s="35">
        <v>0.0</v>
      </c>
      <c r="DK9" s="35">
        <v>0.0</v>
      </c>
      <c r="DL9" s="46">
        <f t="shared" si="34"/>
        <v>76.92307692</v>
      </c>
      <c r="DM9" s="44">
        <f t="shared" si="35"/>
        <v>2</v>
      </c>
      <c r="DN9" s="44">
        <f t="shared" si="36"/>
        <v>1</v>
      </c>
      <c r="DO9" s="44">
        <f t="shared" si="37"/>
        <v>0</v>
      </c>
      <c r="DP9" s="44">
        <f t="shared" si="38"/>
        <v>0</v>
      </c>
      <c r="DQ9" s="44">
        <f t="shared" si="39"/>
        <v>1</v>
      </c>
      <c r="DR9" s="44">
        <f t="shared" ref="DR9:DS9" si="40">(DH9)</f>
        <v>1</v>
      </c>
      <c r="DS9" s="44">
        <f t="shared" si="40"/>
        <v>0</v>
      </c>
      <c r="DT9" s="44">
        <f t="shared" si="41"/>
        <v>5</v>
      </c>
      <c r="DU9" s="44" t="str">
        <f t="shared" si="42"/>
        <v>good sleep quality</v>
      </c>
      <c r="DV9" s="35">
        <v>5.0</v>
      </c>
      <c r="DW9" s="35" t="s">
        <v>161</v>
      </c>
      <c r="DX9" s="35" t="s">
        <v>146</v>
      </c>
      <c r="DY9" s="35">
        <v>2.0</v>
      </c>
      <c r="DZ9" s="35" t="s">
        <v>131</v>
      </c>
      <c r="EA9" s="35" t="s">
        <v>162</v>
      </c>
      <c r="EB9" s="35" t="s">
        <v>139</v>
      </c>
      <c r="EC9" s="35" t="s">
        <v>140</v>
      </c>
      <c r="ED9" s="35" t="s">
        <v>131</v>
      </c>
      <c r="EE9" s="35" t="s">
        <v>141</v>
      </c>
      <c r="EF9" s="35">
        <f t="shared" ref="EF9:EF10" si="44">C9-M9</f>
        <v>163</v>
      </c>
      <c r="EG9" s="35">
        <f t="shared" ref="EG9:EG10" si="45">C9-O9</f>
        <v>163</v>
      </c>
      <c r="EH9" s="47">
        <f t="shared" si="24"/>
        <v>28.37370242</v>
      </c>
    </row>
    <row r="10" ht="15.75" customHeight="1">
      <c r="A10" s="35" t="s">
        <v>163</v>
      </c>
      <c r="B10" s="36" t="s">
        <v>129</v>
      </c>
      <c r="C10" s="37">
        <v>44890.0</v>
      </c>
      <c r="D10" s="48">
        <v>47.0</v>
      </c>
      <c r="E10" s="35" t="s">
        <v>130</v>
      </c>
      <c r="F10" s="35">
        <v>159.0</v>
      </c>
      <c r="G10" s="39">
        <v>55.0</v>
      </c>
      <c r="H10" s="40" t="s">
        <v>131</v>
      </c>
      <c r="I10" s="35">
        <v>3.0</v>
      </c>
      <c r="J10" s="41">
        <v>44562.0</v>
      </c>
      <c r="K10" s="35" t="s">
        <v>131</v>
      </c>
      <c r="L10" s="35">
        <v>1.0</v>
      </c>
      <c r="M10" s="41">
        <v>44586.0</v>
      </c>
      <c r="N10" s="36" t="s">
        <v>133</v>
      </c>
      <c r="O10" s="41">
        <v>44713.0</v>
      </c>
      <c r="P10" s="35" t="s">
        <v>132</v>
      </c>
      <c r="Q10" s="36" t="s">
        <v>133</v>
      </c>
      <c r="R10" s="36" t="s">
        <v>133</v>
      </c>
      <c r="S10" s="36" t="s">
        <v>133</v>
      </c>
      <c r="T10" s="36" t="s">
        <v>133</v>
      </c>
      <c r="U10" s="36" t="s">
        <v>133</v>
      </c>
      <c r="V10" s="36" t="str">
        <f t="shared" si="2"/>
        <v>Paciente ambulatorio</v>
      </c>
      <c r="W10" s="35" t="s">
        <v>143</v>
      </c>
      <c r="X10" s="35" t="s">
        <v>132</v>
      </c>
      <c r="Y10" s="35">
        <v>2.0</v>
      </c>
      <c r="Z10" s="35">
        <v>2.0</v>
      </c>
      <c r="AA10" s="35">
        <v>2.0</v>
      </c>
      <c r="AB10" s="35">
        <v>2.0</v>
      </c>
      <c r="AC10" s="35">
        <v>2.0</v>
      </c>
      <c r="AD10" s="35">
        <v>2.0</v>
      </c>
      <c r="AE10" s="35">
        <v>3.0</v>
      </c>
      <c r="AF10" s="35">
        <v>3.0</v>
      </c>
      <c r="AG10" s="35">
        <v>3.0</v>
      </c>
      <c r="AH10" s="35">
        <v>3.0</v>
      </c>
      <c r="AI10" s="35">
        <v>3.0</v>
      </c>
      <c r="AJ10" s="35">
        <v>3.0</v>
      </c>
      <c r="AK10" s="36" t="s">
        <v>133</v>
      </c>
      <c r="AL10" s="40" t="s">
        <v>132</v>
      </c>
      <c r="AM10" s="35" t="s">
        <v>132</v>
      </c>
      <c r="AN10" s="35" t="s">
        <v>132</v>
      </c>
      <c r="AO10" s="35" t="s">
        <v>132</v>
      </c>
      <c r="AP10" s="35" t="s">
        <v>132</v>
      </c>
      <c r="AQ10" s="35" t="s">
        <v>132</v>
      </c>
      <c r="AR10" s="35" t="s">
        <v>132</v>
      </c>
      <c r="AS10" s="35" t="s">
        <v>132</v>
      </c>
      <c r="AT10" s="35" t="s">
        <v>132</v>
      </c>
      <c r="AU10" s="35" t="s">
        <v>132</v>
      </c>
      <c r="AV10" s="35" t="s">
        <v>132</v>
      </c>
      <c r="AW10" s="36" t="s">
        <v>133</v>
      </c>
      <c r="AX10" s="35" t="s">
        <v>132</v>
      </c>
      <c r="AY10" s="36" t="s">
        <v>133</v>
      </c>
      <c r="AZ10" s="36" t="s">
        <v>133</v>
      </c>
      <c r="BA10" s="36" t="s">
        <v>133</v>
      </c>
      <c r="BB10" s="35" t="s">
        <v>145</v>
      </c>
      <c r="BC10" s="36" t="s">
        <v>133</v>
      </c>
      <c r="BD10" s="40">
        <v>1.0</v>
      </c>
      <c r="BE10" s="35">
        <v>1.0</v>
      </c>
      <c r="BF10" s="35">
        <v>1.0</v>
      </c>
      <c r="BG10" s="35">
        <v>1.0</v>
      </c>
      <c r="BH10" s="35">
        <v>1.0</v>
      </c>
      <c r="BI10" s="44" t="str">
        <f t="shared" si="3"/>
        <v>11111</v>
      </c>
      <c r="BJ10" s="35">
        <v>100.0</v>
      </c>
      <c r="BK10" s="35">
        <v>1.0</v>
      </c>
      <c r="BL10" s="35">
        <v>2.0</v>
      </c>
      <c r="BM10" s="35">
        <v>2.0</v>
      </c>
      <c r="BN10" s="35">
        <v>5.0</v>
      </c>
      <c r="BO10" s="35">
        <v>2.0</v>
      </c>
      <c r="BP10" s="35">
        <v>1.0</v>
      </c>
      <c r="BQ10" s="35">
        <v>2.0</v>
      </c>
      <c r="BR10" s="35">
        <v>2.0</v>
      </c>
      <c r="BS10" s="35">
        <v>2.0</v>
      </c>
      <c r="BT10" s="35">
        <v>4.0</v>
      </c>
      <c r="BU10" s="44">
        <f t="shared" si="4"/>
        <v>1</v>
      </c>
      <c r="BV10" s="44">
        <f t="shared" si="5"/>
        <v>2</v>
      </c>
      <c r="BW10" s="44">
        <f t="shared" si="6"/>
        <v>20</v>
      </c>
      <c r="BX10" s="44" t="str">
        <f t="shared" si="7"/>
        <v>NO HAY FATIGA</v>
      </c>
      <c r="BY10" s="35">
        <v>5.0</v>
      </c>
      <c r="BZ10" s="35">
        <v>4.0</v>
      </c>
      <c r="CA10" s="35">
        <v>0.0</v>
      </c>
      <c r="CB10" s="35">
        <v>3.0</v>
      </c>
      <c r="CC10" s="35">
        <v>1.0</v>
      </c>
      <c r="CD10" s="35">
        <v>0.0</v>
      </c>
      <c r="CE10" s="35">
        <v>7.0</v>
      </c>
      <c r="CF10" s="35">
        <v>3.0</v>
      </c>
      <c r="CG10" s="35">
        <v>0.0</v>
      </c>
      <c r="CH10" s="35">
        <v>3.0</v>
      </c>
      <c r="CI10" s="35">
        <v>0.0</v>
      </c>
      <c r="CJ10" s="44">
        <f t="shared" si="27"/>
        <v>14478</v>
      </c>
      <c r="CK10" s="44">
        <f t="shared" si="28"/>
        <v>15</v>
      </c>
      <c r="CL10" s="44" t="str">
        <f t="shared" si="29"/>
        <v>Nivel de actividad física alto</v>
      </c>
      <c r="CM10" s="44" t="str">
        <f t="shared" si="30"/>
        <v>Nivel de actividad física moderado</v>
      </c>
      <c r="CN10" s="45" t="str">
        <f t="shared" si="31"/>
        <v>Nivel de actividad física alto</v>
      </c>
      <c r="CO10" s="51">
        <v>0.9375</v>
      </c>
      <c r="CP10" s="35">
        <v>30.0</v>
      </c>
      <c r="CQ10" s="44">
        <f t="shared" si="32"/>
        <v>1</v>
      </c>
      <c r="CR10" s="35">
        <v>4.0</v>
      </c>
      <c r="CS10" s="35">
        <v>40.0</v>
      </c>
      <c r="CT10" s="35">
        <f>(22200/3600)</f>
        <v>6.166666667</v>
      </c>
      <c r="CU10" s="35">
        <v>6.0</v>
      </c>
      <c r="CV10" s="35">
        <v>2.0</v>
      </c>
      <c r="CW10" s="35">
        <v>0.0</v>
      </c>
      <c r="CX10" s="35">
        <v>0.0</v>
      </c>
      <c r="CY10" s="35">
        <v>0.0</v>
      </c>
      <c r="CZ10" s="35">
        <v>0.0</v>
      </c>
      <c r="DA10" s="35">
        <v>0.0</v>
      </c>
      <c r="DB10" s="35">
        <v>0.0</v>
      </c>
      <c r="DC10" s="35">
        <v>1.0</v>
      </c>
      <c r="DD10" s="35">
        <v>1.0</v>
      </c>
      <c r="DE10" s="35">
        <v>0.0</v>
      </c>
      <c r="DF10" s="36" t="s">
        <v>133</v>
      </c>
      <c r="DG10" s="44">
        <f t="shared" si="33"/>
        <v>2</v>
      </c>
      <c r="DH10" s="35">
        <v>1.0</v>
      </c>
      <c r="DI10" s="35">
        <v>0.0</v>
      </c>
      <c r="DJ10" s="35">
        <v>1.0</v>
      </c>
      <c r="DK10" s="35">
        <v>1.0</v>
      </c>
      <c r="DL10" s="46">
        <f t="shared" si="34"/>
        <v>97.2972973</v>
      </c>
      <c r="DM10" s="44">
        <f t="shared" si="35"/>
        <v>1</v>
      </c>
      <c r="DN10" s="44">
        <f t="shared" si="36"/>
        <v>1</v>
      </c>
      <c r="DO10" s="44">
        <f t="shared" si="37"/>
        <v>2</v>
      </c>
      <c r="DP10" s="44">
        <f t="shared" si="38"/>
        <v>1</v>
      </c>
      <c r="DQ10" s="44">
        <f t="shared" si="39"/>
        <v>0</v>
      </c>
      <c r="DR10" s="44">
        <f t="shared" ref="DR10:DS10" si="43">(DH10)</f>
        <v>1</v>
      </c>
      <c r="DS10" s="44">
        <f t="shared" si="43"/>
        <v>0</v>
      </c>
      <c r="DT10" s="44">
        <f t="shared" si="41"/>
        <v>6</v>
      </c>
      <c r="DU10" s="44" t="str">
        <f t="shared" si="42"/>
        <v>poor sleep quality</v>
      </c>
      <c r="DV10" s="35">
        <v>1.0</v>
      </c>
      <c r="DW10" s="35" t="s">
        <v>155</v>
      </c>
      <c r="DX10" s="35" t="s">
        <v>146</v>
      </c>
      <c r="DY10" s="35">
        <v>1.0</v>
      </c>
      <c r="DZ10" s="35" t="s">
        <v>132</v>
      </c>
      <c r="EA10" s="35" t="s">
        <v>162</v>
      </c>
      <c r="EB10" s="35" t="s">
        <v>139</v>
      </c>
      <c r="EC10" s="35" t="s">
        <v>140</v>
      </c>
      <c r="ED10" s="35" t="s">
        <v>131</v>
      </c>
      <c r="EE10" s="35" t="s">
        <v>141</v>
      </c>
      <c r="EF10" s="35">
        <f t="shared" si="44"/>
        <v>304</v>
      </c>
      <c r="EG10" s="35">
        <f t="shared" si="45"/>
        <v>177</v>
      </c>
      <c r="EH10" s="47">
        <f t="shared" si="24"/>
        <v>21.75546853</v>
      </c>
    </row>
    <row r="11" ht="15.75" customHeight="1">
      <c r="A11" s="35" t="s">
        <v>164</v>
      </c>
      <c r="B11" s="36" t="s">
        <v>129</v>
      </c>
      <c r="C11" s="37">
        <v>44890.0</v>
      </c>
      <c r="D11" s="48">
        <v>40.0</v>
      </c>
      <c r="E11" s="35" t="s">
        <v>153</v>
      </c>
      <c r="F11" s="35">
        <v>163.0</v>
      </c>
      <c r="G11" s="39">
        <v>70.0</v>
      </c>
      <c r="H11" s="40" t="s">
        <v>131</v>
      </c>
      <c r="I11" s="35">
        <v>3.0</v>
      </c>
      <c r="J11" s="41">
        <v>44652.0</v>
      </c>
      <c r="K11" s="35" t="s">
        <v>132</v>
      </c>
      <c r="L11" s="36" t="s">
        <v>133</v>
      </c>
      <c r="M11" s="42" t="s">
        <v>133</v>
      </c>
      <c r="N11" s="36" t="s">
        <v>133</v>
      </c>
      <c r="O11" s="42" t="s">
        <v>133</v>
      </c>
      <c r="P11" s="36" t="s">
        <v>133</v>
      </c>
      <c r="Q11" s="36" t="s">
        <v>133</v>
      </c>
      <c r="R11" s="36" t="s">
        <v>133</v>
      </c>
      <c r="S11" s="36" t="s">
        <v>133</v>
      </c>
      <c r="T11" s="36" t="s">
        <v>133</v>
      </c>
      <c r="U11" s="36" t="s">
        <v>133</v>
      </c>
      <c r="V11" s="36" t="str">
        <f t="shared" si="2"/>
        <v>No infectado</v>
      </c>
      <c r="W11" s="36" t="s">
        <v>133</v>
      </c>
      <c r="X11" s="36" t="s">
        <v>133</v>
      </c>
      <c r="Y11" s="36" t="s">
        <v>133</v>
      </c>
      <c r="Z11" s="36" t="s">
        <v>133</v>
      </c>
      <c r="AA11" s="36" t="s">
        <v>133</v>
      </c>
      <c r="AB11" s="36" t="s">
        <v>133</v>
      </c>
      <c r="AC11" s="36" t="s">
        <v>133</v>
      </c>
      <c r="AD11" s="36" t="s">
        <v>133</v>
      </c>
      <c r="AE11" s="36" t="s">
        <v>133</v>
      </c>
      <c r="AF11" s="36" t="s">
        <v>133</v>
      </c>
      <c r="AG11" s="36" t="s">
        <v>133</v>
      </c>
      <c r="AH11" s="36" t="s">
        <v>133</v>
      </c>
      <c r="AI11" s="36" t="s">
        <v>133</v>
      </c>
      <c r="AJ11" s="36" t="s">
        <v>133</v>
      </c>
      <c r="AK11" s="36" t="s">
        <v>133</v>
      </c>
      <c r="AL11" s="40" t="s">
        <v>132</v>
      </c>
      <c r="AM11" s="35" t="s">
        <v>132</v>
      </c>
      <c r="AN11" s="35" t="s">
        <v>132</v>
      </c>
      <c r="AO11" s="35" t="s">
        <v>132</v>
      </c>
      <c r="AP11" s="35" t="s">
        <v>132</v>
      </c>
      <c r="AQ11" s="35" t="s">
        <v>132</v>
      </c>
      <c r="AR11" s="35" t="s">
        <v>132</v>
      </c>
      <c r="AS11" s="35" t="s">
        <v>132</v>
      </c>
      <c r="AT11" s="35" t="s">
        <v>132</v>
      </c>
      <c r="AU11" s="35" t="s">
        <v>132</v>
      </c>
      <c r="AV11" s="35" t="s">
        <v>132</v>
      </c>
      <c r="AW11" s="36" t="s">
        <v>133</v>
      </c>
      <c r="AX11" s="35" t="s">
        <v>165</v>
      </c>
      <c r="AY11" s="36" t="s">
        <v>133</v>
      </c>
      <c r="AZ11" s="36" t="s">
        <v>133</v>
      </c>
      <c r="BA11" s="35">
        <v>10.0</v>
      </c>
      <c r="BB11" s="35" t="s">
        <v>135</v>
      </c>
      <c r="BC11" s="39">
        <v>4.0</v>
      </c>
      <c r="BD11" s="40">
        <v>1.0</v>
      </c>
      <c r="BE11" s="35">
        <v>1.0</v>
      </c>
      <c r="BF11" s="35">
        <v>1.0</v>
      </c>
      <c r="BG11" s="35">
        <v>1.0</v>
      </c>
      <c r="BH11" s="35">
        <v>1.0</v>
      </c>
      <c r="BI11" s="44" t="str">
        <f t="shared" si="3"/>
        <v>11111</v>
      </c>
      <c r="BJ11" s="35">
        <v>100.0</v>
      </c>
      <c r="BK11" s="35">
        <v>2.0</v>
      </c>
      <c r="BL11" s="35">
        <v>2.0</v>
      </c>
      <c r="BM11" s="35">
        <v>2.0</v>
      </c>
      <c r="BN11" s="35">
        <v>5.0</v>
      </c>
      <c r="BO11" s="35">
        <v>2.0</v>
      </c>
      <c r="BP11" s="35">
        <v>2.0</v>
      </c>
      <c r="BQ11" s="35">
        <v>1.0</v>
      </c>
      <c r="BR11" s="35">
        <v>2.0</v>
      </c>
      <c r="BS11" s="35">
        <v>2.0</v>
      </c>
      <c r="BT11" s="35">
        <v>4.0</v>
      </c>
      <c r="BU11" s="44">
        <f t="shared" si="4"/>
        <v>1</v>
      </c>
      <c r="BV11" s="44">
        <f t="shared" si="5"/>
        <v>2</v>
      </c>
      <c r="BW11" s="44">
        <f t="shared" si="6"/>
        <v>21</v>
      </c>
      <c r="BX11" s="44" t="str">
        <f t="shared" si="7"/>
        <v>NO HAY FATIGA</v>
      </c>
      <c r="BY11" s="35">
        <v>4.0</v>
      </c>
      <c r="BZ11" s="35">
        <v>2.0</v>
      </c>
      <c r="CA11" s="35">
        <v>0.0</v>
      </c>
      <c r="CB11" s="35">
        <v>1.0</v>
      </c>
      <c r="CC11" s="35">
        <v>1.0</v>
      </c>
      <c r="CD11" s="35">
        <v>0.0</v>
      </c>
      <c r="CE11" s="35">
        <v>7.0</v>
      </c>
      <c r="CF11" s="35">
        <v>0.0</v>
      </c>
      <c r="CG11" s="35">
        <v>40.0</v>
      </c>
      <c r="CH11" s="35">
        <v>6.0</v>
      </c>
      <c r="CI11" s="35">
        <v>0.0</v>
      </c>
      <c r="CJ11" s="44">
        <f t="shared" si="27"/>
        <v>5004</v>
      </c>
      <c r="CK11" s="44">
        <f t="shared" si="28"/>
        <v>12</v>
      </c>
      <c r="CL11" s="44" t="str">
        <f t="shared" si="29"/>
        <v>Nivel de actividad física alto</v>
      </c>
      <c r="CM11" s="44" t="str">
        <f t="shared" si="30"/>
        <v>Nivel de actividad física moderado</v>
      </c>
      <c r="CN11" s="45" t="str">
        <f t="shared" si="31"/>
        <v>Nivel de actividad física alto</v>
      </c>
      <c r="CO11" s="51">
        <v>0.9791666666666666</v>
      </c>
      <c r="CP11" s="35">
        <v>30.0</v>
      </c>
      <c r="CQ11" s="44">
        <f t="shared" si="32"/>
        <v>1</v>
      </c>
      <c r="CR11" s="35">
        <v>6.0</v>
      </c>
      <c r="CS11" s="35">
        <v>30.0</v>
      </c>
      <c r="CT11" s="35">
        <v>7.0</v>
      </c>
      <c r="CU11" s="35">
        <v>5.0</v>
      </c>
      <c r="CV11" s="35">
        <v>2.0</v>
      </c>
      <c r="CW11" s="35">
        <v>3.0</v>
      </c>
      <c r="CX11" s="35">
        <v>1.0</v>
      </c>
      <c r="CY11" s="35">
        <v>0.0</v>
      </c>
      <c r="CZ11" s="35">
        <v>0.0</v>
      </c>
      <c r="DA11" s="35">
        <v>0.0</v>
      </c>
      <c r="DB11" s="35">
        <v>2.0</v>
      </c>
      <c r="DC11" s="35">
        <v>0.0</v>
      </c>
      <c r="DD11" s="35">
        <v>0.0</v>
      </c>
      <c r="DE11" s="35">
        <v>0.0</v>
      </c>
      <c r="DF11" s="36" t="s">
        <v>133</v>
      </c>
      <c r="DG11" s="44">
        <f t="shared" si="33"/>
        <v>6</v>
      </c>
      <c r="DH11" s="35">
        <v>1.0</v>
      </c>
      <c r="DI11" s="35">
        <v>0.0</v>
      </c>
      <c r="DJ11" s="35">
        <v>1.0</v>
      </c>
      <c r="DK11" s="35">
        <v>0.0</v>
      </c>
      <c r="DL11" s="46">
        <f t="shared" si="34"/>
        <v>71.42857143</v>
      </c>
      <c r="DM11" s="44">
        <f t="shared" si="35"/>
        <v>2</v>
      </c>
      <c r="DN11" s="44">
        <f t="shared" si="36"/>
        <v>1</v>
      </c>
      <c r="DO11" s="44">
        <f t="shared" si="37"/>
        <v>2</v>
      </c>
      <c r="DP11" s="44">
        <f t="shared" si="38"/>
        <v>1</v>
      </c>
      <c r="DQ11" s="44">
        <f t="shared" si="39"/>
        <v>2</v>
      </c>
      <c r="DR11" s="44">
        <f t="shared" ref="DR11:DS11" si="46">(DH11)</f>
        <v>1</v>
      </c>
      <c r="DS11" s="44">
        <f t="shared" si="46"/>
        <v>0</v>
      </c>
      <c r="DT11" s="44">
        <f t="shared" si="41"/>
        <v>9</v>
      </c>
      <c r="DU11" s="44" t="str">
        <f t="shared" si="42"/>
        <v>poor sleep quality</v>
      </c>
      <c r="DV11" s="35">
        <v>2.0</v>
      </c>
      <c r="DW11" s="35" t="s">
        <v>166</v>
      </c>
      <c r="DX11" s="35" t="s">
        <v>137</v>
      </c>
      <c r="DY11" s="35">
        <v>1.0</v>
      </c>
      <c r="DZ11" s="35" t="s">
        <v>131</v>
      </c>
      <c r="EA11" s="35" t="s">
        <v>167</v>
      </c>
      <c r="EB11" s="35" t="s">
        <v>139</v>
      </c>
      <c r="EC11" s="35" t="s">
        <v>140</v>
      </c>
      <c r="ED11" s="35" t="s">
        <v>131</v>
      </c>
      <c r="EE11" s="35" t="s">
        <v>141</v>
      </c>
      <c r="EF11" s="36" t="s">
        <v>133</v>
      </c>
      <c r="EG11" s="36" t="s">
        <v>133</v>
      </c>
      <c r="EH11" s="47">
        <f t="shared" si="24"/>
        <v>26.34649403</v>
      </c>
    </row>
    <row r="12" ht="15.75" customHeight="1">
      <c r="A12" s="35" t="s">
        <v>168</v>
      </c>
      <c r="B12" s="36" t="s">
        <v>129</v>
      </c>
      <c r="C12" s="37">
        <v>44897.0</v>
      </c>
      <c r="D12" s="48">
        <v>35.0</v>
      </c>
      <c r="E12" s="35" t="s">
        <v>130</v>
      </c>
      <c r="F12" s="35">
        <v>150.0</v>
      </c>
      <c r="G12" s="39">
        <v>47.5</v>
      </c>
      <c r="H12" s="40" t="s">
        <v>131</v>
      </c>
      <c r="I12" s="35">
        <v>3.0</v>
      </c>
      <c r="J12" s="41">
        <v>44593.0</v>
      </c>
      <c r="K12" s="35" t="s">
        <v>131</v>
      </c>
      <c r="L12" s="35">
        <v>3.0</v>
      </c>
      <c r="M12" s="41">
        <v>44565.0</v>
      </c>
      <c r="N12" s="36" t="s">
        <v>133</v>
      </c>
      <c r="O12" s="41">
        <v>44705.0</v>
      </c>
      <c r="P12" s="35" t="s">
        <v>132</v>
      </c>
      <c r="Q12" s="36" t="s">
        <v>133</v>
      </c>
      <c r="R12" s="36" t="s">
        <v>133</v>
      </c>
      <c r="S12" s="36" t="s">
        <v>133</v>
      </c>
      <c r="T12" s="36" t="s">
        <v>133</v>
      </c>
      <c r="U12" s="36" t="s">
        <v>133</v>
      </c>
      <c r="V12" s="36" t="str">
        <f t="shared" si="2"/>
        <v>Paciente ambulatorio</v>
      </c>
      <c r="W12" s="35" t="s">
        <v>143</v>
      </c>
      <c r="X12" s="35" t="s">
        <v>132</v>
      </c>
      <c r="Y12" s="35">
        <v>2.0</v>
      </c>
      <c r="Z12" s="35">
        <v>2.0</v>
      </c>
      <c r="AA12" s="35">
        <v>2.0</v>
      </c>
      <c r="AB12" s="35">
        <v>1.0</v>
      </c>
      <c r="AC12" s="35">
        <v>2.0</v>
      </c>
      <c r="AD12" s="35">
        <v>3.0</v>
      </c>
      <c r="AE12" s="35">
        <v>2.0</v>
      </c>
      <c r="AF12" s="35">
        <v>3.0</v>
      </c>
      <c r="AG12" s="35">
        <v>3.0</v>
      </c>
      <c r="AH12" s="35">
        <v>3.0</v>
      </c>
      <c r="AI12" s="35">
        <v>3.0</v>
      </c>
      <c r="AJ12" s="35">
        <v>3.0</v>
      </c>
      <c r="AK12" s="39" t="s">
        <v>169</v>
      </c>
      <c r="AL12" s="40" t="s">
        <v>132</v>
      </c>
      <c r="AM12" s="35" t="s">
        <v>132</v>
      </c>
      <c r="AN12" s="35" t="s">
        <v>132</v>
      </c>
      <c r="AO12" s="35" t="s">
        <v>132</v>
      </c>
      <c r="AP12" s="35" t="s">
        <v>132</v>
      </c>
      <c r="AQ12" s="35" t="s">
        <v>132</v>
      </c>
      <c r="AR12" s="35" t="s">
        <v>132</v>
      </c>
      <c r="AS12" s="35" t="s">
        <v>132</v>
      </c>
      <c r="AT12" s="35" t="s">
        <v>132</v>
      </c>
      <c r="AU12" s="35" t="s">
        <v>132</v>
      </c>
      <c r="AV12" s="35" t="s">
        <v>131</v>
      </c>
      <c r="AW12" s="35" t="s">
        <v>170</v>
      </c>
      <c r="AX12" s="35" t="s">
        <v>132</v>
      </c>
      <c r="AY12" s="36" t="s">
        <v>133</v>
      </c>
      <c r="AZ12" s="36" t="s">
        <v>133</v>
      </c>
      <c r="BA12" s="36" t="s">
        <v>133</v>
      </c>
      <c r="BB12" s="35" t="s">
        <v>135</v>
      </c>
      <c r="BC12" s="39">
        <v>3.0</v>
      </c>
      <c r="BD12" s="40">
        <v>2.0</v>
      </c>
      <c r="BE12" s="35">
        <v>1.0</v>
      </c>
      <c r="BF12" s="35">
        <v>1.0</v>
      </c>
      <c r="BG12" s="35">
        <v>3.0</v>
      </c>
      <c r="BH12" s="35">
        <v>3.0</v>
      </c>
      <c r="BI12" s="44" t="str">
        <f t="shared" si="3"/>
        <v>21133</v>
      </c>
      <c r="BJ12" s="35">
        <v>50.0</v>
      </c>
      <c r="BK12" s="35">
        <v>2.0</v>
      </c>
      <c r="BL12" s="35">
        <v>2.0</v>
      </c>
      <c r="BM12" s="35">
        <v>3.0</v>
      </c>
      <c r="BN12" s="35">
        <v>5.0</v>
      </c>
      <c r="BO12" s="35">
        <v>2.0</v>
      </c>
      <c r="BP12" s="35">
        <v>1.0</v>
      </c>
      <c r="BQ12" s="35">
        <v>2.0</v>
      </c>
      <c r="BR12" s="35">
        <v>2.0</v>
      </c>
      <c r="BS12" s="35">
        <v>2.0</v>
      </c>
      <c r="BT12" s="35">
        <v>3.0</v>
      </c>
      <c r="BU12" s="44">
        <f t="shared" si="4"/>
        <v>1</v>
      </c>
      <c r="BV12" s="44">
        <f t="shared" si="5"/>
        <v>3</v>
      </c>
      <c r="BW12" s="44">
        <f t="shared" si="6"/>
        <v>22</v>
      </c>
      <c r="BX12" s="44" t="str">
        <f t="shared" si="7"/>
        <v>FATIGA</v>
      </c>
      <c r="BY12" s="35">
        <v>3.0</v>
      </c>
      <c r="BZ12" s="35">
        <v>1.0</v>
      </c>
      <c r="CA12" s="35">
        <v>30.0</v>
      </c>
      <c r="CB12" s="35">
        <v>0.0</v>
      </c>
      <c r="CC12" s="35">
        <v>0.0</v>
      </c>
      <c r="CD12" s="35">
        <v>0.0</v>
      </c>
      <c r="CE12" s="35">
        <v>2.0</v>
      </c>
      <c r="CF12" s="35">
        <v>0.0</v>
      </c>
      <c r="CG12" s="35">
        <v>15.0</v>
      </c>
      <c r="CH12" s="35">
        <v>10.0</v>
      </c>
      <c r="CI12" s="35">
        <v>0.0</v>
      </c>
      <c r="CJ12" s="44">
        <f t="shared" si="27"/>
        <v>2259</v>
      </c>
      <c r="CK12" s="44">
        <f t="shared" si="28"/>
        <v>5</v>
      </c>
      <c r="CL12" s="44" t="str">
        <f t="shared" si="29"/>
        <v>Nivel de actividad física alto</v>
      </c>
      <c r="CM12" s="44" t="str">
        <f t="shared" si="30"/>
        <v>Nivel de actividad física moderado</v>
      </c>
      <c r="CN12" s="45" t="str">
        <f t="shared" si="31"/>
        <v>Nivel de actividad física alto</v>
      </c>
      <c r="CO12" s="35">
        <v>23.0</v>
      </c>
      <c r="CP12" s="35">
        <v>60.0</v>
      </c>
      <c r="CQ12" s="44">
        <f t="shared" si="32"/>
        <v>2</v>
      </c>
      <c r="CR12" s="35">
        <v>7.0</v>
      </c>
      <c r="CS12" s="35">
        <v>0.0</v>
      </c>
      <c r="CT12" s="35">
        <v>8.0</v>
      </c>
      <c r="CU12" s="35">
        <v>4.0</v>
      </c>
      <c r="CV12" s="35">
        <v>3.0</v>
      </c>
      <c r="CW12" s="35">
        <v>3.0</v>
      </c>
      <c r="CX12" s="35">
        <v>0.0</v>
      </c>
      <c r="CY12" s="35">
        <v>2.0</v>
      </c>
      <c r="CZ12" s="35">
        <v>0.0</v>
      </c>
      <c r="DA12" s="35">
        <v>0.0</v>
      </c>
      <c r="DB12" s="35">
        <v>1.0</v>
      </c>
      <c r="DC12" s="35">
        <v>2.0</v>
      </c>
      <c r="DD12" s="35">
        <v>3.0</v>
      </c>
      <c r="DE12" s="35">
        <v>1.0</v>
      </c>
      <c r="DF12" s="35" t="s">
        <v>171</v>
      </c>
      <c r="DG12" s="44">
        <f t="shared" si="33"/>
        <v>12</v>
      </c>
      <c r="DH12" s="35">
        <v>1.0</v>
      </c>
      <c r="DI12" s="35">
        <v>0.0</v>
      </c>
      <c r="DJ12" s="35">
        <v>2.0</v>
      </c>
      <c r="DK12" s="35">
        <v>2.0</v>
      </c>
      <c r="DL12" s="46">
        <f t="shared" si="34"/>
        <v>50</v>
      </c>
      <c r="DM12" s="44">
        <f t="shared" si="35"/>
        <v>3</v>
      </c>
      <c r="DN12" s="44">
        <f t="shared" si="36"/>
        <v>2</v>
      </c>
      <c r="DO12" s="44">
        <f t="shared" si="37"/>
        <v>3</v>
      </c>
      <c r="DP12" s="44">
        <f t="shared" si="38"/>
        <v>2</v>
      </c>
      <c r="DQ12" s="44">
        <f t="shared" si="39"/>
        <v>3</v>
      </c>
      <c r="DR12" s="44">
        <f t="shared" ref="DR12:DS12" si="47">(DH12)</f>
        <v>1</v>
      </c>
      <c r="DS12" s="44">
        <f t="shared" si="47"/>
        <v>0</v>
      </c>
      <c r="DT12" s="44">
        <f t="shared" si="41"/>
        <v>14</v>
      </c>
      <c r="DU12" s="44" t="str">
        <f t="shared" si="42"/>
        <v>poor sleep quality</v>
      </c>
      <c r="DV12" s="35">
        <v>0.0</v>
      </c>
      <c r="DW12" s="36" t="s">
        <v>133</v>
      </c>
      <c r="DX12" s="35" t="s">
        <v>146</v>
      </c>
      <c r="DY12" s="35">
        <v>1.0</v>
      </c>
      <c r="DZ12" s="35" t="s">
        <v>131</v>
      </c>
      <c r="EA12" s="35" t="s">
        <v>167</v>
      </c>
      <c r="EB12" s="35" t="s">
        <v>172</v>
      </c>
      <c r="EC12" s="35" t="s">
        <v>140</v>
      </c>
      <c r="ED12" s="36" t="s">
        <v>133</v>
      </c>
      <c r="EE12" s="35" t="s">
        <v>141</v>
      </c>
      <c r="EF12" s="35">
        <f>C12-M12</f>
        <v>332</v>
      </c>
      <c r="EG12" s="35">
        <f>C12-O12</f>
        <v>192</v>
      </c>
      <c r="EH12" s="47">
        <f t="shared" si="24"/>
        <v>21.11111111</v>
      </c>
    </row>
    <row r="13" ht="15.75" customHeight="1">
      <c r="A13" s="35" t="s">
        <v>173</v>
      </c>
      <c r="B13" s="36" t="s">
        <v>129</v>
      </c>
      <c r="C13" s="37">
        <v>44918.0</v>
      </c>
      <c r="D13" s="48">
        <v>38.0</v>
      </c>
      <c r="E13" s="35" t="s">
        <v>153</v>
      </c>
      <c r="F13" s="35">
        <v>183.0</v>
      </c>
      <c r="G13" s="39">
        <v>105.0</v>
      </c>
      <c r="H13" s="40" t="s">
        <v>131</v>
      </c>
      <c r="I13" s="35">
        <v>4.0</v>
      </c>
      <c r="J13" s="41">
        <v>44743.0</v>
      </c>
      <c r="K13" s="35" t="s">
        <v>132</v>
      </c>
      <c r="L13" s="36" t="s">
        <v>133</v>
      </c>
      <c r="M13" s="42" t="s">
        <v>133</v>
      </c>
      <c r="N13" s="36" t="s">
        <v>133</v>
      </c>
      <c r="O13" s="42" t="s">
        <v>133</v>
      </c>
      <c r="P13" s="36" t="s">
        <v>133</v>
      </c>
      <c r="Q13" s="36" t="s">
        <v>133</v>
      </c>
      <c r="R13" s="36" t="s">
        <v>133</v>
      </c>
      <c r="S13" s="36" t="s">
        <v>133</v>
      </c>
      <c r="T13" s="36" t="s">
        <v>133</v>
      </c>
      <c r="U13" s="36" t="s">
        <v>133</v>
      </c>
      <c r="V13" s="36" t="str">
        <f t="shared" si="2"/>
        <v>No infectado</v>
      </c>
      <c r="W13" s="36" t="s">
        <v>133</v>
      </c>
      <c r="X13" s="36" t="s">
        <v>133</v>
      </c>
      <c r="Y13" s="36" t="s">
        <v>133</v>
      </c>
      <c r="Z13" s="36" t="s">
        <v>133</v>
      </c>
      <c r="AA13" s="36" t="s">
        <v>133</v>
      </c>
      <c r="AB13" s="36" t="s">
        <v>133</v>
      </c>
      <c r="AC13" s="36" t="s">
        <v>133</v>
      </c>
      <c r="AD13" s="36" t="s">
        <v>133</v>
      </c>
      <c r="AE13" s="36" t="s">
        <v>133</v>
      </c>
      <c r="AF13" s="36" t="s">
        <v>133</v>
      </c>
      <c r="AG13" s="36" t="s">
        <v>133</v>
      </c>
      <c r="AH13" s="36" t="s">
        <v>133</v>
      </c>
      <c r="AI13" s="36" t="s">
        <v>133</v>
      </c>
      <c r="AJ13" s="36" t="s">
        <v>133</v>
      </c>
      <c r="AK13" s="36" t="s">
        <v>133</v>
      </c>
      <c r="AL13" s="40" t="s">
        <v>132</v>
      </c>
      <c r="AM13" s="35" t="s">
        <v>132</v>
      </c>
      <c r="AN13" s="35" t="s">
        <v>132</v>
      </c>
      <c r="AO13" s="35" t="s">
        <v>132</v>
      </c>
      <c r="AP13" s="35" t="s">
        <v>132</v>
      </c>
      <c r="AQ13" s="35" t="s">
        <v>132</v>
      </c>
      <c r="AR13" s="35" t="s">
        <v>132</v>
      </c>
      <c r="AS13" s="35" t="s">
        <v>132</v>
      </c>
      <c r="AT13" s="35" t="s">
        <v>132</v>
      </c>
      <c r="AU13" s="35" t="s">
        <v>132</v>
      </c>
      <c r="AV13" s="35" t="s">
        <v>132</v>
      </c>
      <c r="AW13" s="36" t="s">
        <v>133</v>
      </c>
      <c r="AX13" s="35" t="s">
        <v>132</v>
      </c>
      <c r="AY13" s="36" t="s">
        <v>133</v>
      </c>
      <c r="AZ13" s="36" t="s">
        <v>133</v>
      </c>
      <c r="BA13" s="36" t="s">
        <v>133</v>
      </c>
      <c r="BB13" s="35" t="s">
        <v>135</v>
      </c>
      <c r="BC13" s="39">
        <v>2.0</v>
      </c>
      <c r="BD13" s="40">
        <v>1.0</v>
      </c>
      <c r="BE13" s="35">
        <v>1.0</v>
      </c>
      <c r="BF13" s="35">
        <v>1.0</v>
      </c>
      <c r="BG13" s="35">
        <v>1.0</v>
      </c>
      <c r="BH13" s="35">
        <v>1.0</v>
      </c>
      <c r="BI13" s="44" t="str">
        <f t="shared" si="3"/>
        <v>11111</v>
      </c>
      <c r="BJ13" s="35">
        <v>99.0</v>
      </c>
      <c r="BK13" s="35">
        <v>1.0</v>
      </c>
      <c r="BL13" s="35">
        <v>2.0</v>
      </c>
      <c r="BM13" s="35">
        <v>3.0</v>
      </c>
      <c r="BN13" s="35">
        <v>5.0</v>
      </c>
      <c r="BO13" s="35">
        <v>1.0</v>
      </c>
      <c r="BP13" s="35">
        <v>1.0</v>
      </c>
      <c r="BQ13" s="35">
        <v>1.0</v>
      </c>
      <c r="BR13" s="35">
        <v>1.0</v>
      </c>
      <c r="BS13" s="35">
        <v>1.0</v>
      </c>
      <c r="BT13" s="35">
        <v>5.0</v>
      </c>
      <c r="BU13" s="44">
        <f t="shared" si="4"/>
        <v>1</v>
      </c>
      <c r="BV13" s="44">
        <f t="shared" si="5"/>
        <v>1</v>
      </c>
      <c r="BW13" s="44">
        <f t="shared" si="6"/>
        <v>17</v>
      </c>
      <c r="BX13" s="44" t="str">
        <f t="shared" si="7"/>
        <v>NO HAY FATIGA</v>
      </c>
      <c r="BY13" s="35">
        <v>0.0</v>
      </c>
      <c r="BZ13" s="35">
        <v>0.0</v>
      </c>
      <c r="CA13" s="35">
        <v>0.0</v>
      </c>
      <c r="CB13" s="35">
        <v>3.0</v>
      </c>
      <c r="CC13" s="35">
        <v>1.0</v>
      </c>
      <c r="CD13" s="35">
        <v>0.0</v>
      </c>
      <c r="CE13" s="35">
        <v>3.0</v>
      </c>
      <c r="CF13" s="35">
        <v>0.0</v>
      </c>
      <c r="CG13" s="35">
        <v>50.0</v>
      </c>
      <c r="CH13" s="35">
        <v>7.0</v>
      </c>
      <c r="CI13" s="35">
        <v>0.0</v>
      </c>
      <c r="CJ13" s="44">
        <f t="shared" si="27"/>
        <v>1215</v>
      </c>
      <c r="CK13" s="44">
        <f t="shared" si="28"/>
        <v>6</v>
      </c>
      <c r="CL13" s="44" t="b">
        <f t="shared" si="29"/>
        <v>0</v>
      </c>
      <c r="CM13" s="44" t="str">
        <f t="shared" si="30"/>
        <v>Nivel de actividad física moderado</v>
      </c>
      <c r="CN13" s="45" t="str">
        <f t="shared" si="31"/>
        <v>Nivel de actividad física moderado</v>
      </c>
      <c r="CO13" s="51">
        <v>0.020833333333333332</v>
      </c>
      <c r="CP13" s="35">
        <v>30.0</v>
      </c>
      <c r="CQ13" s="44">
        <f t="shared" si="32"/>
        <v>1</v>
      </c>
      <c r="CR13" s="35">
        <v>6.0</v>
      </c>
      <c r="CS13" s="35">
        <v>30.0</v>
      </c>
      <c r="CT13" s="35">
        <v>6.0</v>
      </c>
      <c r="CU13" s="35">
        <v>6.0</v>
      </c>
      <c r="CV13" s="35">
        <v>0.0</v>
      </c>
      <c r="CW13" s="35">
        <v>0.0</v>
      </c>
      <c r="CX13" s="35">
        <v>0.0</v>
      </c>
      <c r="CY13" s="35">
        <v>0.0</v>
      </c>
      <c r="CZ13" s="35">
        <v>0.0</v>
      </c>
      <c r="DA13" s="35">
        <v>0.0</v>
      </c>
      <c r="DB13" s="35">
        <v>1.0</v>
      </c>
      <c r="DC13" s="35">
        <v>0.0</v>
      </c>
      <c r="DD13" s="35">
        <v>0.0</v>
      </c>
      <c r="DE13" s="35">
        <v>0.0</v>
      </c>
      <c r="DF13" s="36" t="s">
        <v>133</v>
      </c>
      <c r="DG13" s="44">
        <f t="shared" si="33"/>
        <v>1</v>
      </c>
      <c r="DH13" s="35">
        <v>1.0</v>
      </c>
      <c r="DI13" s="35">
        <v>0.0</v>
      </c>
      <c r="DJ13" s="35">
        <v>1.0</v>
      </c>
      <c r="DK13" s="35">
        <v>0.0</v>
      </c>
      <c r="DL13" s="46">
        <f t="shared" si="34"/>
        <v>100</v>
      </c>
      <c r="DM13" s="44">
        <f t="shared" si="35"/>
        <v>1</v>
      </c>
      <c r="DN13" s="44">
        <f t="shared" si="36"/>
        <v>1</v>
      </c>
      <c r="DO13" s="44">
        <f t="shared" si="37"/>
        <v>1</v>
      </c>
      <c r="DP13" s="44">
        <f t="shared" si="38"/>
        <v>1</v>
      </c>
      <c r="DQ13" s="44">
        <f t="shared" si="39"/>
        <v>0</v>
      </c>
      <c r="DR13" s="44">
        <f t="shared" ref="DR13:DS13" si="48">(DH13)</f>
        <v>1</v>
      </c>
      <c r="DS13" s="44">
        <f t="shared" si="48"/>
        <v>0</v>
      </c>
      <c r="DT13" s="44">
        <f t="shared" si="41"/>
        <v>5</v>
      </c>
      <c r="DU13" s="44" t="str">
        <f t="shared" si="42"/>
        <v>good sleep quality</v>
      </c>
      <c r="DV13" s="35">
        <v>1.0</v>
      </c>
      <c r="DW13" s="35" t="s">
        <v>136</v>
      </c>
      <c r="DX13" s="35" t="s">
        <v>146</v>
      </c>
      <c r="DY13" s="35">
        <v>1.0</v>
      </c>
      <c r="DZ13" s="35" t="s">
        <v>131</v>
      </c>
      <c r="EA13" s="35" t="s">
        <v>157</v>
      </c>
      <c r="EB13" s="35" t="s">
        <v>139</v>
      </c>
      <c r="EC13" s="35" t="s">
        <v>140</v>
      </c>
      <c r="ED13" s="36" t="s">
        <v>133</v>
      </c>
      <c r="EE13" s="35" t="s">
        <v>141</v>
      </c>
      <c r="EF13" s="36" t="s">
        <v>133</v>
      </c>
      <c r="EG13" s="36" t="s">
        <v>133</v>
      </c>
      <c r="EH13" s="47">
        <f t="shared" si="24"/>
        <v>31.35357879</v>
      </c>
    </row>
    <row r="14" ht="15.75" customHeight="1">
      <c r="A14" s="35" t="s">
        <v>174</v>
      </c>
      <c r="B14" s="36" t="s">
        <v>175</v>
      </c>
      <c r="C14" s="37">
        <v>44988.0</v>
      </c>
      <c r="D14" s="48">
        <v>50.0</v>
      </c>
      <c r="E14" s="35" t="s">
        <v>130</v>
      </c>
      <c r="F14" s="35">
        <v>165.0</v>
      </c>
      <c r="G14" s="39">
        <v>90.0</v>
      </c>
      <c r="H14" s="40" t="s">
        <v>131</v>
      </c>
      <c r="I14" s="35">
        <v>3.0</v>
      </c>
      <c r="J14" s="41">
        <v>44621.0</v>
      </c>
      <c r="K14" s="35" t="s">
        <v>131</v>
      </c>
      <c r="L14" s="35">
        <v>1.0</v>
      </c>
      <c r="M14" s="41">
        <v>44001.0</v>
      </c>
      <c r="N14" s="35">
        <v>0.0</v>
      </c>
      <c r="O14" s="41">
        <v>44593.0</v>
      </c>
      <c r="P14" s="35" t="s">
        <v>132</v>
      </c>
      <c r="Q14" s="36" t="s">
        <v>133</v>
      </c>
      <c r="R14" s="36" t="s">
        <v>133</v>
      </c>
      <c r="S14" s="36" t="s">
        <v>133</v>
      </c>
      <c r="T14" s="36" t="s">
        <v>133</v>
      </c>
      <c r="U14" s="36" t="s">
        <v>133</v>
      </c>
      <c r="V14" s="36" t="str">
        <f t="shared" si="2"/>
        <v>Paciente ambulatorio</v>
      </c>
      <c r="W14" s="35" t="s">
        <v>176</v>
      </c>
      <c r="X14" s="35" t="s">
        <v>132</v>
      </c>
      <c r="Y14" s="35">
        <v>2.0</v>
      </c>
      <c r="Z14" s="35">
        <v>1.0</v>
      </c>
      <c r="AA14" s="35">
        <v>2.0</v>
      </c>
      <c r="AB14" s="35">
        <v>2.0</v>
      </c>
      <c r="AC14" s="35">
        <v>1.0</v>
      </c>
      <c r="AD14" s="35">
        <v>1.0</v>
      </c>
      <c r="AE14" s="35">
        <v>3.0</v>
      </c>
      <c r="AF14" s="35">
        <v>1.0</v>
      </c>
      <c r="AG14" s="35">
        <v>3.0</v>
      </c>
      <c r="AH14" s="35">
        <v>1.0</v>
      </c>
      <c r="AI14" s="35">
        <v>1.0</v>
      </c>
      <c r="AJ14" s="35">
        <v>1.0</v>
      </c>
      <c r="AK14" s="36" t="s">
        <v>133</v>
      </c>
      <c r="AL14" s="40" t="s">
        <v>132</v>
      </c>
      <c r="AM14" s="35" t="s">
        <v>132</v>
      </c>
      <c r="AN14" s="35" t="s">
        <v>131</v>
      </c>
      <c r="AO14" s="35" t="s">
        <v>132</v>
      </c>
      <c r="AP14" s="35" t="s">
        <v>132</v>
      </c>
      <c r="AQ14" s="35" t="s">
        <v>132</v>
      </c>
      <c r="AR14" s="35" t="s">
        <v>132</v>
      </c>
      <c r="AS14" s="35" t="s">
        <v>132</v>
      </c>
      <c r="AT14" s="35" t="s">
        <v>132</v>
      </c>
      <c r="AU14" s="35" t="s">
        <v>132</v>
      </c>
      <c r="AV14" s="35" t="s">
        <v>131</v>
      </c>
      <c r="AW14" s="35" t="s">
        <v>177</v>
      </c>
      <c r="AX14" s="35" t="s">
        <v>132</v>
      </c>
      <c r="AY14" s="36" t="s">
        <v>133</v>
      </c>
      <c r="AZ14" s="36" t="s">
        <v>133</v>
      </c>
      <c r="BA14" s="36" t="s">
        <v>133</v>
      </c>
      <c r="BB14" s="35" t="s">
        <v>145</v>
      </c>
      <c r="BC14" s="36" t="s">
        <v>133</v>
      </c>
      <c r="BD14" s="35">
        <v>3.0</v>
      </c>
      <c r="BE14" s="35">
        <v>1.0</v>
      </c>
      <c r="BF14" s="35">
        <v>3.0</v>
      </c>
      <c r="BG14" s="35">
        <v>3.0</v>
      </c>
      <c r="BH14" s="35">
        <v>2.0</v>
      </c>
      <c r="BI14" s="44" t="str">
        <f t="shared" si="3"/>
        <v>31332</v>
      </c>
      <c r="BJ14" s="35">
        <v>50.0</v>
      </c>
      <c r="BK14" s="35">
        <v>3.0</v>
      </c>
      <c r="BL14" s="35">
        <v>2.0</v>
      </c>
      <c r="BM14" s="35">
        <v>2.0</v>
      </c>
      <c r="BN14" s="35">
        <v>4.0</v>
      </c>
      <c r="BO14" s="35">
        <v>2.0</v>
      </c>
      <c r="BP14" s="35">
        <v>1.0</v>
      </c>
      <c r="BQ14" s="35">
        <v>4.0</v>
      </c>
      <c r="BR14" s="35">
        <v>2.0</v>
      </c>
      <c r="BS14" s="35">
        <v>2.0</v>
      </c>
      <c r="BT14" s="35">
        <v>3.0</v>
      </c>
      <c r="BU14" s="44">
        <f t="shared" si="4"/>
        <v>2</v>
      </c>
      <c r="BV14" s="44">
        <f t="shared" si="5"/>
        <v>3</v>
      </c>
      <c r="BW14" s="44">
        <f>SUM(BK15,BL14,BM14,BO14,BP14,BQ14,BR14,BS14,BT14,BV14)</f>
        <v>24</v>
      </c>
      <c r="BX14" s="44" t="str">
        <f t="shared" si="7"/>
        <v>FATIGA</v>
      </c>
      <c r="BY14" s="35">
        <v>0.0</v>
      </c>
      <c r="BZ14" s="35">
        <v>0.0</v>
      </c>
      <c r="CA14" s="35">
        <v>0.0</v>
      </c>
      <c r="CB14" s="35">
        <v>2.0</v>
      </c>
      <c r="CC14" s="35">
        <v>1.0</v>
      </c>
      <c r="CD14" s="35">
        <v>0.0</v>
      </c>
      <c r="CE14" s="35">
        <v>2.0</v>
      </c>
      <c r="CF14" s="35">
        <v>0.0</v>
      </c>
      <c r="CG14" s="35">
        <v>15.0</v>
      </c>
      <c r="CH14" s="35">
        <v>6.0</v>
      </c>
      <c r="CI14" s="35">
        <v>0.0</v>
      </c>
      <c r="CJ14" s="44">
        <f t="shared" si="27"/>
        <v>579</v>
      </c>
      <c r="CK14" s="44">
        <f t="shared" si="28"/>
        <v>4</v>
      </c>
      <c r="CL14" s="44" t="b">
        <f t="shared" si="29"/>
        <v>0</v>
      </c>
      <c r="CM14" s="44" t="b">
        <f t="shared" si="30"/>
        <v>0</v>
      </c>
      <c r="CN14" s="45" t="str">
        <f t="shared" si="31"/>
        <v>Nivel de actividad física bajo</v>
      </c>
      <c r="CO14" s="51">
        <v>0.9166666666666666</v>
      </c>
      <c r="CP14" s="35">
        <v>150.0</v>
      </c>
      <c r="CQ14" s="44">
        <f t="shared" si="32"/>
        <v>3</v>
      </c>
      <c r="CR14" s="35">
        <v>5.0</v>
      </c>
      <c r="CS14" s="35">
        <v>30.0</v>
      </c>
      <c r="CT14" s="35">
        <v>7.5</v>
      </c>
      <c r="CU14" s="35">
        <v>4.5</v>
      </c>
      <c r="CV14" s="35">
        <v>3.0</v>
      </c>
      <c r="CW14" s="35">
        <v>3.0</v>
      </c>
      <c r="CX14" s="35">
        <v>2.0</v>
      </c>
      <c r="CY14" s="35">
        <v>0.0</v>
      </c>
      <c r="CZ14" s="35">
        <v>3.0</v>
      </c>
      <c r="DA14" s="35">
        <v>1.0</v>
      </c>
      <c r="DB14" s="35">
        <v>0.0</v>
      </c>
      <c r="DC14" s="35">
        <v>0.0</v>
      </c>
      <c r="DD14" s="35">
        <v>0.0</v>
      </c>
      <c r="DE14" s="35">
        <v>0.0</v>
      </c>
      <c r="DF14" s="36" t="s">
        <v>133</v>
      </c>
      <c r="DG14" s="44">
        <f t="shared" si="33"/>
        <v>9</v>
      </c>
      <c r="DH14" s="35">
        <v>3.0</v>
      </c>
      <c r="DI14" s="35">
        <v>0.0</v>
      </c>
      <c r="DJ14" s="35">
        <v>0.0</v>
      </c>
      <c r="DK14" s="35">
        <v>2.0</v>
      </c>
      <c r="DL14" s="46">
        <f t="shared" si="34"/>
        <v>60</v>
      </c>
      <c r="DM14" s="44">
        <f t="shared" si="35"/>
        <v>3</v>
      </c>
      <c r="DN14" s="44">
        <f t="shared" si="36"/>
        <v>1</v>
      </c>
      <c r="DO14" s="44">
        <f t="shared" si="37"/>
        <v>3</v>
      </c>
      <c r="DP14" s="44">
        <f t="shared" si="38"/>
        <v>1</v>
      </c>
      <c r="DQ14" s="44">
        <f t="shared" si="39"/>
        <v>3</v>
      </c>
      <c r="DR14" s="44">
        <f t="shared" ref="DR14:DS14" si="49">(DH14)</f>
        <v>3</v>
      </c>
      <c r="DS14" s="44">
        <f t="shared" si="49"/>
        <v>0</v>
      </c>
      <c r="DT14" s="44">
        <f t="shared" si="41"/>
        <v>14</v>
      </c>
      <c r="DU14" s="44" t="str">
        <f t="shared" si="42"/>
        <v>poor sleep quality</v>
      </c>
      <c r="DV14" s="35">
        <v>2.0</v>
      </c>
      <c r="DW14" s="35" t="s">
        <v>155</v>
      </c>
      <c r="DX14" s="35" t="s">
        <v>146</v>
      </c>
      <c r="DY14" s="35">
        <v>2.0</v>
      </c>
      <c r="DZ14" s="35" t="s">
        <v>131</v>
      </c>
      <c r="EA14" s="35" t="s">
        <v>178</v>
      </c>
      <c r="EB14" s="35" t="s">
        <v>139</v>
      </c>
      <c r="EC14" s="36" t="s">
        <v>133</v>
      </c>
      <c r="ED14" s="36" t="s">
        <v>133</v>
      </c>
      <c r="EE14" s="35" t="s">
        <v>141</v>
      </c>
      <c r="EF14" s="35">
        <f t="shared" ref="EF14:EF69" si="51">C14-M14</f>
        <v>987</v>
      </c>
      <c r="EG14" s="35">
        <f t="shared" ref="EG14:EG69" si="52">C14-O14</f>
        <v>395</v>
      </c>
      <c r="EH14" s="47">
        <f t="shared" si="24"/>
        <v>33.05785124</v>
      </c>
    </row>
    <row r="15" ht="15.75" customHeight="1">
      <c r="A15" s="35" t="s">
        <v>179</v>
      </c>
      <c r="B15" s="36" t="s">
        <v>175</v>
      </c>
      <c r="C15" s="37">
        <v>44995.0</v>
      </c>
      <c r="D15" s="48">
        <v>28.0</v>
      </c>
      <c r="E15" s="35" t="s">
        <v>130</v>
      </c>
      <c r="F15" s="35">
        <v>168.0</v>
      </c>
      <c r="G15" s="39">
        <v>63.0</v>
      </c>
      <c r="H15" s="40" t="s">
        <v>131</v>
      </c>
      <c r="I15" s="35">
        <v>1.0</v>
      </c>
      <c r="J15" s="41">
        <v>44256.0</v>
      </c>
      <c r="K15" s="35" t="s">
        <v>131</v>
      </c>
      <c r="L15" s="35">
        <v>2.0</v>
      </c>
      <c r="M15" s="41">
        <v>44050.0</v>
      </c>
      <c r="N15" s="35">
        <v>0.0</v>
      </c>
      <c r="O15" s="41">
        <v>44317.0</v>
      </c>
      <c r="P15" s="35" t="s">
        <v>132</v>
      </c>
      <c r="Q15" s="36" t="s">
        <v>133</v>
      </c>
      <c r="R15" s="36" t="s">
        <v>133</v>
      </c>
      <c r="S15" s="36" t="s">
        <v>133</v>
      </c>
      <c r="T15" s="36" t="s">
        <v>133</v>
      </c>
      <c r="U15" s="36" t="s">
        <v>133</v>
      </c>
      <c r="V15" s="36" t="str">
        <f t="shared" si="2"/>
        <v>Paciente ambulatorio</v>
      </c>
      <c r="W15" s="35" t="s">
        <v>176</v>
      </c>
      <c r="X15" s="35" t="s">
        <v>131</v>
      </c>
      <c r="Y15" s="35">
        <v>2.0</v>
      </c>
      <c r="Z15" s="35">
        <v>1.0</v>
      </c>
      <c r="AA15" s="35">
        <v>2.0</v>
      </c>
      <c r="AB15" s="35">
        <v>2.0</v>
      </c>
      <c r="AC15" s="35">
        <v>1.0</v>
      </c>
      <c r="AD15" s="35">
        <v>1.0</v>
      </c>
      <c r="AE15" s="35">
        <v>1.0</v>
      </c>
      <c r="AF15" s="35">
        <v>1.0</v>
      </c>
      <c r="AG15" s="35">
        <v>3.0</v>
      </c>
      <c r="AH15" s="35">
        <v>1.0</v>
      </c>
      <c r="AI15" s="35">
        <v>1.0</v>
      </c>
      <c r="AJ15" s="35">
        <v>1.0</v>
      </c>
      <c r="AK15" s="36" t="s">
        <v>133</v>
      </c>
      <c r="AL15" s="35" t="s">
        <v>132</v>
      </c>
      <c r="AM15" s="35" t="s">
        <v>132</v>
      </c>
      <c r="AN15" s="35" t="s">
        <v>132</v>
      </c>
      <c r="AO15" s="35" t="s">
        <v>132</v>
      </c>
      <c r="AP15" s="35" t="s">
        <v>132</v>
      </c>
      <c r="AQ15" s="35" t="s">
        <v>132</v>
      </c>
      <c r="AR15" s="35" t="s">
        <v>132</v>
      </c>
      <c r="AS15" s="35" t="s">
        <v>132</v>
      </c>
      <c r="AT15" s="35" t="s">
        <v>132</v>
      </c>
      <c r="AU15" s="35" t="s">
        <v>132</v>
      </c>
      <c r="AV15" s="35" t="s">
        <v>131</v>
      </c>
      <c r="AW15" s="35" t="s">
        <v>180</v>
      </c>
      <c r="AX15" s="35" t="s">
        <v>132</v>
      </c>
      <c r="AY15" s="36" t="s">
        <v>133</v>
      </c>
      <c r="AZ15" s="36" t="s">
        <v>133</v>
      </c>
      <c r="BA15" s="36" t="s">
        <v>133</v>
      </c>
      <c r="BB15" s="35" t="s">
        <v>145</v>
      </c>
      <c r="BC15" s="36" t="s">
        <v>133</v>
      </c>
      <c r="BD15" s="40">
        <v>3.0</v>
      </c>
      <c r="BE15" s="35">
        <v>1.0</v>
      </c>
      <c r="BF15" s="35">
        <v>3.0</v>
      </c>
      <c r="BG15" s="35">
        <v>4.0</v>
      </c>
      <c r="BH15" s="35">
        <v>1.0</v>
      </c>
      <c r="BI15" s="44" t="str">
        <f t="shared" si="3"/>
        <v>31341</v>
      </c>
      <c r="BJ15" s="35">
        <v>40.0</v>
      </c>
      <c r="BK15" s="35">
        <v>3.0</v>
      </c>
      <c r="BL15" s="35">
        <v>4.0</v>
      </c>
      <c r="BM15" s="35">
        <v>1.0</v>
      </c>
      <c r="BN15" s="35">
        <v>2.0</v>
      </c>
      <c r="BO15" s="35">
        <v>5.0</v>
      </c>
      <c r="BP15" s="35">
        <v>4.0</v>
      </c>
      <c r="BQ15" s="35">
        <v>2.0</v>
      </c>
      <c r="BR15" s="35">
        <v>2.0</v>
      </c>
      <c r="BS15" s="35">
        <v>2.0</v>
      </c>
      <c r="BT15" s="35">
        <v>2.0</v>
      </c>
      <c r="BU15" s="44">
        <f t="shared" si="4"/>
        <v>4</v>
      </c>
      <c r="BV15" s="44">
        <f t="shared" si="5"/>
        <v>4</v>
      </c>
      <c r="BW15" s="44">
        <f t="shared" ref="BW15:BW88" si="53">SUM(BK15,BL15,BM15,BO15,BP15,BQ15,BR15,BS15,BT15,BV15)</f>
        <v>29</v>
      </c>
      <c r="BX15" s="44" t="str">
        <f t="shared" si="7"/>
        <v>FATIGA</v>
      </c>
      <c r="BY15" s="35">
        <v>4.0</v>
      </c>
      <c r="BZ15" s="35">
        <v>1.0</v>
      </c>
      <c r="CA15" s="35">
        <v>0.0</v>
      </c>
      <c r="CB15" s="35">
        <v>4.0</v>
      </c>
      <c r="CC15" s="35">
        <v>1.0</v>
      </c>
      <c r="CD15" s="35">
        <v>0.0</v>
      </c>
      <c r="CE15" s="35">
        <v>7.0</v>
      </c>
      <c r="CF15" s="35">
        <v>2.0</v>
      </c>
      <c r="CG15" s="35">
        <v>8.0</v>
      </c>
      <c r="CH15" s="35">
        <v>8.0</v>
      </c>
      <c r="CI15" s="35">
        <v>0.0</v>
      </c>
      <c r="CJ15" s="44">
        <f t="shared" si="27"/>
        <v>5836.8</v>
      </c>
      <c r="CK15" s="44">
        <f t="shared" si="28"/>
        <v>15</v>
      </c>
      <c r="CL15" s="44" t="str">
        <f t="shared" si="29"/>
        <v>Nivel de actividad física alto</v>
      </c>
      <c r="CM15" s="44" t="str">
        <f t="shared" si="30"/>
        <v>Nivel de actividad física moderado</v>
      </c>
      <c r="CN15" s="45" t="str">
        <f t="shared" si="31"/>
        <v>Nivel de actividad física alto</v>
      </c>
      <c r="CO15" s="51">
        <v>0.9583333333333334</v>
      </c>
      <c r="CP15" s="35">
        <v>10.0</v>
      </c>
      <c r="CQ15" s="44">
        <f t="shared" si="32"/>
        <v>0</v>
      </c>
      <c r="CR15" s="35">
        <v>6.0</v>
      </c>
      <c r="CS15" s="35">
        <v>0.0</v>
      </c>
      <c r="CT15" s="35">
        <v>7.0</v>
      </c>
      <c r="CU15" s="35">
        <v>6.0</v>
      </c>
      <c r="CV15" s="35">
        <v>0.0</v>
      </c>
      <c r="CW15" s="35">
        <v>3.0</v>
      </c>
      <c r="CX15" s="35">
        <v>3.0</v>
      </c>
      <c r="CY15" s="35">
        <v>0.0</v>
      </c>
      <c r="CZ15" s="35">
        <v>0.0</v>
      </c>
      <c r="DA15" s="35">
        <v>2.0</v>
      </c>
      <c r="DB15" s="35">
        <v>0.0</v>
      </c>
      <c r="DC15" s="35">
        <v>0.0</v>
      </c>
      <c r="DD15" s="35">
        <v>3.0</v>
      </c>
      <c r="DE15" s="35">
        <v>0.0</v>
      </c>
      <c r="DF15" s="36" t="s">
        <v>133</v>
      </c>
      <c r="DG15" s="44">
        <f t="shared" si="33"/>
        <v>11</v>
      </c>
      <c r="DH15" s="35">
        <v>1.0</v>
      </c>
      <c r="DI15" s="35">
        <v>3.0</v>
      </c>
      <c r="DJ15" s="35">
        <v>0.0</v>
      </c>
      <c r="DK15" s="35">
        <v>1.0</v>
      </c>
      <c r="DL15" s="46">
        <f t="shared" si="34"/>
        <v>85.71428571</v>
      </c>
      <c r="DM15" s="44">
        <f t="shared" si="35"/>
        <v>1</v>
      </c>
      <c r="DN15" s="44">
        <f t="shared" si="36"/>
        <v>2</v>
      </c>
      <c r="DO15" s="44">
        <f t="shared" si="37"/>
        <v>0</v>
      </c>
      <c r="DP15" s="44">
        <f t="shared" si="38"/>
        <v>1</v>
      </c>
      <c r="DQ15" s="44">
        <f t="shared" si="39"/>
        <v>0</v>
      </c>
      <c r="DR15" s="44">
        <f t="shared" ref="DR15:DS15" si="50">(DH15)</f>
        <v>1</v>
      </c>
      <c r="DS15" s="44">
        <f t="shared" si="50"/>
        <v>3</v>
      </c>
      <c r="DT15" s="44">
        <f t="shared" si="41"/>
        <v>8</v>
      </c>
      <c r="DU15" s="44" t="str">
        <f t="shared" si="42"/>
        <v>poor sleep quality</v>
      </c>
      <c r="DV15" s="35">
        <v>2.0</v>
      </c>
      <c r="DW15" s="35" t="s">
        <v>181</v>
      </c>
      <c r="DX15" s="35" t="s">
        <v>137</v>
      </c>
      <c r="DY15" s="35">
        <v>1.0</v>
      </c>
      <c r="DZ15" s="35" t="s">
        <v>131</v>
      </c>
      <c r="EA15" s="35" t="s">
        <v>157</v>
      </c>
      <c r="EB15" s="36" t="s">
        <v>133</v>
      </c>
      <c r="EC15" s="35" t="s">
        <v>131</v>
      </c>
      <c r="ED15" s="36" t="s">
        <v>133</v>
      </c>
      <c r="EE15" s="35" t="s">
        <v>140</v>
      </c>
      <c r="EF15" s="35">
        <f t="shared" si="51"/>
        <v>945</v>
      </c>
      <c r="EG15" s="35">
        <f t="shared" si="52"/>
        <v>678</v>
      </c>
      <c r="EH15" s="47">
        <f t="shared" si="24"/>
        <v>22.32142857</v>
      </c>
    </row>
    <row r="16" ht="15.75" customHeight="1">
      <c r="A16" s="35" t="s">
        <v>182</v>
      </c>
      <c r="B16" s="36" t="s">
        <v>175</v>
      </c>
      <c r="C16" s="37">
        <v>45002.0</v>
      </c>
      <c r="D16" s="48">
        <v>52.0</v>
      </c>
      <c r="E16" s="35" t="s">
        <v>130</v>
      </c>
      <c r="F16" s="35">
        <v>163.0</v>
      </c>
      <c r="G16" s="39">
        <v>90.0</v>
      </c>
      <c r="H16" s="40" t="s">
        <v>131</v>
      </c>
      <c r="I16" s="35">
        <v>4.0</v>
      </c>
      <c r="J16" s="41">
        <v>44075.0</v>
      </c>
      <c r="K16" s="35" t="s">
        <v>131</v>
      </c>
      <c r="L16" s="35">
        <v>2.0</v>
      </c>
      <c r="M16" s="41">
        <v>44075.0</v>
      </c>
      <c r="N16" s="35">
        <v>0.0</v>
      </c>
      <c r="O16" s="41">
        <v>44896.0</v>
      </c>
      <c r="P16" s="35" t="s">
        <v>131</v>
      </c>
      <c r="Q16" s="52">
        <v>44097.0</v>
      </c>
      <c r="R16" s="52">
        <v>44167.0</v>
      </c>
      <c r="S16" s="35" t="s">
        <v>132</v>
      </c>
      <c r="T16" s="36" t="s">
        <v>133</v>
      </c>
      <c r="U16" s="35" t="s">
        <v>131</v>
      </c>
      <c r="V16" s="36" t="str">
        <f t="shared" si="2"/>
        <v>Internación severa (UCI)</v>
      </c>
      <c r="W16" s="35" t="s">
        <v>183</v>
      </c>
      <c r="X16" s="35" t="s">
        <v>131</v>
      </c>
      <c r="Y16" s="35">
        <v>2.0</v>
      </c>
      <c r="Z16" s="35">
        <v>1.0</v>
      </c>
      <c r="AA16" s="35">
        <v>3.0</v>
      </c>
      <c r="AB16" s="35">
        <v>3.0</v>
      </c>
      <c r="AC16" s="35">
        <v>2.0</v>
      </c>
      <c r="AD16" s="35">
        <v>1.0</v>
      </c>
      <c r="AE16" s="35">
        <v>2.0</v>
      </c>
      <c r="AF16" s="35">
        <v>1.0</v>
      </c>
      <c r="AG16" s="35">
        <v>3.0</v>
      </c>
      <c r="AH16" s="35">
        <v>3.0</v>
      </c>
      <c r="AI16" s="35">
        <v>1.0</v>
      </c>
      <c r="AJ16" s="35">
        <v>3.0</v>
      </c>
      <c r="AK16" s="36" t="s">
        <v>133</v>
      </c>
      <c r="AL16" s="35" t="s">
        <v>132</v>
      </c>
      <c r="AM16" s="35" t="s">
        <v>132</v>
      </c>
      <c r="AN16" s="35" t="s">
        <v>132</v>
      </c>
      <c r="AO16" s="35" t="s">
        <v>132</v>
      </c>
      <c r="AP16" s="35" t="s">
        <v>132</v>
      </c>
      <c r="AQ16" s="35" t="s">
        <v>132</v>
      </c>
      <c r="AR16" s="35" t="s">
        <v>132</v>
      </c>
      <c r="AS16" s="35" t="s">
        <v>132</v>
      </c>
      <c r="AT16" s="35" t="s">
        <v>132</v>
      </c>
      <c r="AU16" s="35" t="s">
        <v>132</v>
      </c>
      <c r="AV16" s="35" t="s">
        <v>131</v>
      </c>
      <c r="AW16" s="35" t="s">
        <v>184</v>
      </c>
      <c r="AX16" s="35" t="s">
        <v>132</v>
      </c>
      <c r="AY16" s="36" t="s">
        <v>133</v>
      </c>
      <c r="AZ16" s="36" t="s">
        <v>133</v>
      </c>
      <c r="BA16" s="36" t="s">
        <v>133</v>
      </c>
      <c r="BB16" s="35" t="s">
        <v>145</v>
      </c>
      <c r="BC16" s="36" t="s">
        <v>133</v>
      </c>
      <c r="BD16" s="40">
        <v>1.0</v>
      </c>
      <c r="BE16" s="35">
        <v>1.0</v>
      </c>
      <c r="BF16" s="35">
        <v>1.0</v>
      </c>
      <c r="BG16" s="35">
        <v>1.0</v>
      </c>
      <c r="BH16" s="35">
        <v>2.0</v>
      </c>
      <c r="BI16" s="44" t="str">
        <f t="shared" si="3"/>
        <v>11112</v>
      </c>
      <c r="BJ16" s="35">
        <v>95.0</v>
      </c>
      <c r="BK16" s="35">
        <v>2.0</v>
      </c>
      <c r="BL16" s="35">
        <v>3.0</v>
      </c>
      <c r="BM16" s="35">
        <v>1.0</v>
      </c>
      <c r="BN16" s="35">
        <v>2.0</v>
      </c>
      <c r="BO16" s="35">
        <v>2.0</v>
      </c>
      <c r="BP16" s="35">
        <v>1.0</v>
      </c>
      <c r="BQ16" s="35">
        <v>2.0</v>
      </c>
      <c r="BR16" s="35">
        <v>1.0</v>
      </c>
      <c r="BS16" s="35">
        <v>2.0</v>
      </c>
      <c r="BT16" s="35">
        <v>2.0</v>
      </c>
      <c r="BU16" s="44">
        <f t="shared" si="4"/>
        <v>4</v>
      </c>
      <c r="BV16" s="44">
        <f t="shared" si="5"/>
        <v>4</v>
      </c>
      <c r="BW16" s="44">
        <f t="shared" si="53"/>
        <v>20</v>
      </c>
      <c r="BX16" s="44" t="str">
        <f t="shared" si="7"/>
        <v>NO HAY FATIGA</v>
      </c>
      <c r="BY16" s="35">
        <v>0.0</v>
      </c>
      <c r="BZ16" s="50">
        <v>0.0</v>
      </c>
      <c r="CA16" s="50">
        <v>0.0</v>
      </c>
      <c r="CB16" s="35">
        <v>3.0</v>
      </c>
      <c r="CC16" s="35">
        <v>1.0</v>
      </c>
      <c r="CD16" s="35">
        <v>30.0</v>
      </c>
      <c r="CE16" s="35">
        <v>7.0</v>
      </c>
      <c r="CF16" s="35">
        <v>20.0</v>
      </c>
      <c r="CG16" s="35">
        <v>25.0</v>
      </c>
      <c r="CH16" s="35">
        <v>9.0</v>
      </c>
      <c r="CI16" s="35">
        <v>0.0</v>
      </c>
      <c r="CJ16" s="44">
        <f t="shared" si="27"/>
        <v>29377.5</v>
      </c>
      <c r="CK16" s="44">
        <f t="shared" si="28"/>
        <v>10</v>
      </c>
      <c r="CL16" s="44" t="str">
        <f t="shared" si="29"/>
        <v>Nivel de actividad física alto</v>
      </c>
      <c r="CM16" s="44" t="str">
        <f t="shared" si="30"/>
        <v>Nivel de actividad física moderado</v>
      </c>
      <c r="CN16" s="45" t="str">
        <f t="shared" si="31"/>
        <v>Nivel de actividad física alto</v>
      </c>
      <c r="CO16" s="35">
        <v>0.0</v>
      </c>
      <c r="CP16" s="35">
        <v>0.0</v>
      </c>
      <c r="CQ16" s="44">
        <f t="shared" si="32"/>
        <v>0</v>
      </c>
      <c r="CR16" s="35">
        <v>4.0</v>
      </c>
      <c r="CS16" s="35">
        <v>30.0</v>
      </c>
      <c r="CT16" s="35">
        <v>4.5</v>
      </c>
      <c r="CU16" s="35">
        <v>4.0</v>
      </c>
      <c r="CV16" s="35">
        <v>0.0</v>
      </c>
      <c r="CW16" s="35">
        <v>1.0</v>
      </c>
      <c r="CX16" s="35">
        <v>3.0</v>
      </c>
      <c r="CY16" s="35">
        <v>0.0</v>
      </c>
      <c r="CZ16" s="35">
        <v>0.0</v>
      </c>
      <c r="DA16" s="35">
        <v>0.0</v>
      </c>
      <c r="DB16" s="35">
        <v>3.0</v>
      </c>
      <c r="DC16" s="35">
        <v>0.0</v>
      </c>
      <c r="DD16" s="35">
        <v>0.0</v>
      </c>
      <c r="DE16" s="35">
        <v>0.0</v>
      </c>
      <c r="DF16" s="36" t="s">
        <v>133</v>
      </c>
      <c r="DG16" s="53">
        <f t="shared" ref="DG16:DG217" si="55">SUM(CW16:DF16)</f>
        <v>7</v>
      </c>
      <c r="DH16" s="35">
        <v>1.0</v>
      </c>
      <c r="DI16" s="35">
        <v>0.0</v>
      </c>
      <c r="DJ16" s="35">
        <v>1.0</v>
      </c>
      <c r="DK16" s="35">
        <v>1.0</v>
      </c>
      <c r="DL16" s="46">
        <f t="shared" si="34"/>
        <v>88.88888889</v>
      </c>
      <c r="DM16" s="44">
        <f t="shared" si="35"/>
        <v>3</v>
      </c>
      <c r="DN16" s="44">
        <f t="shared" si="36"/>
        <v>1</v>
      </c>
      <c r="DO16" s="44">
        <f t="shared" si="37"/>
        <v>0</v>
      </c>
      <c r="DP16" s="44">
        <f t="shared" si="38"/>
        <v>1</v>
      </c>
      <c r="DQ16" s="44">
        <f t="shared" si="39"/>
        <v>0</v>
      </c>
      <c r="DR16" s="44">
        <f t="shared" ref="DR16:DS16" si="54">(DH16)</f>
        <v>1</v>
      </c>
      <c r="DS16" s="44">
        <f t="shared" si="54"/>
        <v>0</v>
      </c>
      <c r="DT16" s="44">
        <f t="shared" si="41"/>
        <v>6</v>
      </c>
      <c r="DU16" s="44" t="str">
        <f t="shared" si="42"/>
        <v>poor sleep quality</v>
      </c>
      <c r="DV16" s="35">
        <v>2.0</v>
      </c>
      <c r="DW16" s="35" t="s">
        <v>185</v>
      </c>
      <c r="DX16" s="35" t="s">
        <v>146</v>
      </c>
      <c r="DY16" s="35">
        <v>1.0</v>
      </c>
      <c r="DZ16" s="35" t="s">
        <v>131</v>
      </c>
      <c r="EA16" s="35" t="s">
        <v>157</v>
      </c>
      <c r="EB16" s="35" t="s">
        <v>139</v>
      </c>
      <c r="EC16" s="36" t="s">
        <v>133</v>
      </c>
      <c r="ED16" s="36" t="s">
        <v>133</v>
      </c>
      <c r="EE16" s="35" t="s">
        <v>141</v>
      </c>
      <c r="EF16" s="35">
        <f t="shared" si="51"/>
        <v>927</v>
      </c>
      <c r="EG16" s="35">
        <f t="shared" si="52"/>
        <v>106</v>
      </c>
      <c r="EH16" s="47">
        <f t="shared" si="24"/>
        <v>33.87406376</v>
      </c>
    </row>
    <row r="17" ht="15.75" customHeight="1">
      <c r="A17" s="35" t="s">
        <v>186</v>
      </c>
      <c r="B17" s="36" t="s">
        <v>175</v>
      </c>
      <c r="C17" s="37">
        <v>45030.0</v>
      </c>
      <c r="D17" s="48">
        <v>41.0</v>
      </c>
      <c r="E17" s="35" t="s">
        <v>130</v>
      </c>
      <c r="F17" s="35">
        <v>156.0</v>
      </c>
      <c r="G17" s="39">
        <v>63.5</v>
      </c>
      <c r="H17" s="40" t="s">
        <v>131</v>
      </c>
      <c r="I17" s="35">
        <v>3.0</v>
      </c>
      <c r="J17" s="41">
        <v>44553.0</v>
      </c>
      <c r="K17" s="35" t="s">
        <v>131</v>
      </c>
      <c r="L17" s="35">
        <v>1.0</v>
      </c>
      <c r="M17" s="41">
        <v>43998.0</v>
      </c>
      <c r="N17" s="35">
        <v>0.0</v>
      </c>
      <c r="O17" s="41">
        <v>43998.0</v>
      </c>
      <c r="P17" s="35" t="s">
        <v>132</v>
      </c>
      <c r="Q17" s="36" t="s">
        <v>133</v>
      </c>
      <c r="R17" s="36" t="s">
        <v>133</v>
      </c>
      <c r="S17" s="36" t="s">
        <v>133</v>
      </c>
      <c r="T17" s="36" t="s">
        <v>133</v>
      </c>
      <c r="U17" s="36" t="s">
        <v>133</v>
      </c>
      <c r="V17" s="36" t="str">
        <f t="shared" si="2"/>
        <v>Paciente ambulatorio</v>
      </c>
      <c r="W17" s="35" t="s">
        <v>183</v>
      </c>
      <c r="X17" s="35" t="s">
        <v>132</v>
      </c>
      <c r="Y17" s="35">
        <v>3.0</v>
      </c>
      <c r="Z17" s="35">
        <v>3.0</v>
      </c>
      <c r="AA17" s="35">
        <v>3.0</v>
      </c>
      <c r="AB17" s="35">
        <v>3.0</v>
      </c>
      <c r="AC17" s="35">
        <v>3.0</v>
      </c>
      <c r="AD17" s="35">
        <v>3.0</v>
      </c>
      <c r="AE17" s="35">
        <v>3.0</v>
      </c>
      <c r="AF17" s="35">
        <v>3.0</v>
      </c>
      <c r="AG17" s="35">
        <v>3.0</v>
      </c>
      <c r="AH17" s="35">
        <v>3.0</v>
      </c>
      <c r="AI17" s="35">
        <v>3.0</v>
      </c>
      <c r="AJ17" s="35">
        <v>3.0</v>
      </c>
      <c r="AK17" s="39" t="s">
        <v>187</v>
      </c>
      <c r="AL17" s="40" t="s">
        <v>131</v>
      </c>
      <c r="AM17" s="35" t="s">
        <v>132</v>
      </c>
      <c r="AN17" s="35" t="s">
        <v>131</v>
      </c>
      <c r="AO17" s="35" t="s">
        <v>132</v>
      </c>
      <c r="AP17" s="35" t="s">
        <v>132</v>
      </c>
      <c r="AQ17" s="35" t="s">
        <v>132</v>
      </c>
      <c r="AR17" s="35" t="s">
        <v>132</v>
      </c>
      <c r="AS17" s="35" t="s">
        <v>131</v>
      </c>
      <c r="AT17" s="35" t="s">
        <v>132</v>
      </c>
      <c r="AU17" s="35" t="s">
        <v>132</v>
      </c>
      <c r="AV17" s="35" t="s">
        <v>131</v>
      </c>
      <c r="AW17" s="35" t="s">
        <v>188</v>
      </c>
      <c r="AX17" s="35" t="s">
        <v>131</v>
      </c>
      <c r="AY17" s="35">
        <v>20.0</v>
      </c>
      <c r="AZ17" s="35">
        <v>22.0</v>
      </c>
      <c r="BA17" s="36" t="s">
        <v>133</v>
      </c>
      <c r="BB17" s="35" t="s">
        <v>145</v>
      </c>
      <c r="BC17" s="36" t="s">
        <v>133</v>
      </c>
      <c r="BD17" s="40">
        <v>1.0</v>
      </c>
      <c r="BE17" s="35">
        <v>1.0</v>
      </c>
      <c r="BF17" s="35">
        <v>1.0</v>
      </c>
      <c r="BG17" s="35">
        <v>3.0</v>
      </c>
      <c r="BH17" s="35">
        <v>2.0</v>
      </c>
      <c r="BI17" s="44" t="str">
        <f t="shared" si="3"/>
        <v>11132</v>
      </c>
      <c r="BJ17" s="35">
        <v>80.0</v>
      </c>
      <c r="BK17" s="35">
        <v>1.0</v>
      </c>
      <c r="BL17" s="35">
        <v>3.0</v>
      </c>
      <c r="BM17" s="35">
        <v>4.0</v>
      </c>
      <c r="BN17" s="35">
        <v>2.0</v>
      </c>
      <c r="BO17" s="35">
        <v>2.0</v>
      </c>
      <c r="BP17" s="35">
        <v>1.0</v>
      </c>
      <c r="BQ17" s="35">
        <v>2.0</v>
      </c>
      <c r="BR17" s="35">
        <v>2.0</v>
      </c>
      <c r="BS17" s="35">
        <v>3.0</v>
      </c>
      <c r="BT17" s="35">
        <v>1.0</v>
      </c>
      <c r="BU17" s="44">
        <f t="shared" si="4"/>
        <v>4</v>
      </c>
      <c r="BV17" s="44">
        <f t="shared" si="5"/>
        <v>5</v>
      </c>
      <c r="BW17" s="44">
        <f t="shared" si="53"/>
        <v>24</v>
      </c>
      <c r="BX17" s="44" t="str">
        <f t="shared" si="7"/>
        <v>FATIGA</v>
      </c>
      <c r="BY17" s="35">
        <v>0.0</v>
      </c>
      <c r="BZ17" s="35">
        <v>0.0</v>
      </c>
      <c r="CA17" s="35">
        <v>0.0</v>
      </c>
      <c r="CB17" s="35">
        <v>0.0</v>
      </c>
      <c r="CC17" s="50">
        <v>0.0</v>
      </c>
      <c r="CD17" s="50">
        <v>0.0</v>
      </c>
      <c r="CE17" s="35">
        <v>7.0</v>
      </c>
      <c r="CF17" s="35">
        <v>6.0</v>
      </c>
      <c r="CG17" s="35">
        <v>15.0</v>
      </c>
      <c r="CH17" s="35">
        <v>3.0</v>
      </c>
      <c r="CI17" s="35">
        <v>0.0</v>
      </c>
      <c r="CJ17" s="44">
        <f t="shared" si="27"/>
        <v>8662.5</v>
      </c>
      <c r="CK17" s="44">
        <f t="shared" si="28"/>
        <v>7</v>
      </c>
      <c r="CL17" s="44" t="str">
        <f t="shared" si="29"/>
        <v>Nivel de actividad física alto</v>
      </c>
      <c r="CM17" s="44" t="str">
        <f t="shared" si="30"/>
        <v>Nivel de actividad física moderado</v>
      </c>
      <c r="CN17" s="45" t="str">
        <f t="shared" si="31"/>
        <v>Nivel de actividad física alto</v>
      </c>
      <c r="CO17" s="51">
        <v>0.9375</v>
      </c>
      <c r="CP17" s="35">
        <v>15.0</v>
      </c>
      <c r="CQ17" s="44">
        <f t="shared" si="32"/>
        <v>0</v>
      </c>
      <c r="CR17" s="35">
        <v>6.0</v>
      </c>
      <c r="CS17" s="35">
        <v>30.0</v>
      </c>
      <c r="CT17" s="35">
        <v>8.0</v>
      </c>
      <c r="CU17" s="35">
        <v>7.0</v>
      </c>
      <c r="CV17" s="35">
        <v>0.0</v>
      </c>
      <c r="CW17" s="35">
        <v>3.0</v>
      </c>
      <c r="CX17" s="35">
        <v>0.0</v>
      </c>
      <c r="CY17" s="35">
        <v>0.0</v>
      </c>
      <c r="CZ17" s="35">
        <v>0.0</v>
      </c>
      <c r="DA17" s="35">
        <v>1.0</v>
      </c>
      <c r="DB17" s="35">
        <v>1.0</v>
      </c>
      <c r="DC17" s="35">
        <v>3.0</v>
      </c>
      <c r="DD17" s="35">
        <v>0.0</v>
      </c>
      <c r="DE17" s="35">
        <v>0.0</v>
      </c>
      <c r="DF17" s="36" t="s">
        <v>133</v>
      </c>
      <c r="DG17" s="53">
        <f t="shared" si="55"/>
        <v>8</v>
      </c>
      <c r="DH17" s="35">
        <v>1.0</v>
      </c>
      <c r="DI17" s="35">
        <v>0.0</v>
      </c>
      <c r="DJ17" s="35">
        <v>2.0</v>
      </c>
      <c r="DK17" s="35">
        <v>0.0</v>
      </c>
      <c r="DL17" s="46">
        <f t="shared" si="34"/>
        <v>87.5</v>
      </c>
      <c r="DM17" s="44">
        <f t="shared" si="35"/>
        <v>0</v>
      </c>
      <c r="DN17" s="44">
        <f t="shared" si="36"/>
        <v>1</v>
      </c>
      <c r="DO17" s="44">
        <f t="shared" si="37"/>
        <v>0</v>
      </c>
      <c r="DP17" s="44">
        <f t="shared" si="38"/>
        <v>1</v>
      </c>
      <c r="DQ17" s="44">
        <f t="shared" si="39"/>
        <v>0</v>
      </c>
      <c r="DR17" s="44">
        <f t="shared" ref="DR17:DS17" si="56">(DH17)</f>
        <v>1</v>
      </c>
      <c r="DS17" s="44">
        <f t="shared" si="56"/>
        <v>0</v>
      </c>
      <c r="DT17" s="44">
        <f t="shared" si="41"/>
        <v>3</v>
      </c>
      <c r="DU17" s="44" t="str">
        <f t="shared" si="42"/>
        <v>good sleep quality</v>
      </c>
      <c r="DV17" s="35">
        <v>2.0</v>
      </c>
      <c r="DW17" s="35" t="s">
        <v>185</v>
      </c>
      <c r="DX17" s="35" t="s">
        <v>137</v>
      </c>
      <c r="DY17" s="35">
        <v>1.0</v>
      </c>
      <c r="DZ17" s="35" t="s">
        <v>131</v>
      </c>
      <c r="EA17" s="35" t="s">
        <v>162</v>
      </c>
      <c r="EB17" s="35" t="s">
        <v>139</v>
      </c>
      <c r="EC17" s="35" t="s">
        <v>140</v>
      </c>
      <c r="ED17" s="36" t="s">
        <v>133</v>
      </c>
      <c r="EE17" s="35" t="s">
        <v>141</v>
      </c>
      <c r="EF17" s="35">
        <f t="shared" si="51"/>
        <v>1032</v>
      </c>
      <c r="EG17" s="35">
        <f t="shared" si="52"/>
        <v>1032</v>
      </c>
      <c r="EH17" s="47">
        <f t="shared" si="24"/>
        <v>26.0930309</v>
      </c>
    </row>
    <row r="18" ht="15.75" customHeight="1">
      <c r="A18" s="35" t="s">
        <v>189</v>
      </c>
      <c r="B18" s="36" t="s">
        <v>175</v>
      </c>
      <c r="C18" s="37">
        <v>45030.0</v>
      </c>
      <c r="D18" s="48">
        <v>49.0</v>
      </c>
      <c r="E18" s="35" t="s">
        <v>153</v>
      </c>
      <c r="F18" s="35">
        <v>187.0</v>
      </c>
      <c r="G18" s="39">
        <v>90.0</v>
      </c>
      <c r="H18" s="40" t="s">
        <v>131</v>
      </c>
      <c r="I18" s="35">
        <v>3.0</v>
      </c>
      <c r="J18" s="41">
        <v>44718.0</v>
      </c>
      <c r="K18" s="35" t="s">
        <v>131</v>
      </c>
      <c r="L18" s="36" t="s">
        <v>133</v>
      </c>
      <c r="M18" s="41">
        <v>44593.0</v>
      </c>
      <c r="N18" s="35">
        <v>2.0</v>
      </c>
      <c r="O18" s="41">
        <v>44896.0</v>
      </c>
      <c r="P18" s="35" t="s">
        <v>132</v>
      </c>
      <c r="Q18" s="36" t="s">
        <v>133</v>
      </c>
      <c r="R18" s="36" t="s">
        <v>133</v>
      </c>
      <c r="S18" s="36" t="s">
        <v>133</v>
      </c>
      <c r="T18" s="36" t="s">
        <v>133</v>
      </c>
      <c r="U18" s="36" t="s">
        <v>133</v>
      </c>
      <c r="V18" s="36" t="str">
        <f t="shared" si="2"/>
        <v>Paciente ambulatorio</v>
      </c>
      <c r="W18" s="35" t="s">
        <v>190</v>
      </c>
      <c r="X18" s="35" t="s">
        <v>132</v>
      </c>
      <c r="Y18" s="35">
        <v>1.0</v>
      </c>
      <c r="Z18" s="35">
        <v>1.0</v>
      </c>
      <c r="AA18" s="35">
        <v>3.0</v>
      </c>
      <c r="AB18" s="35">
        <v>3.0</v>
      </c>
      <c r="AC18" s="35">
        <v>1.0</v>
      </c>
      <c r="AD18" s="35">
        <v>1.0</v>
      </c>
      <c r="AE18" s="35">
        <v>1.0</v>
      </c>
      <c r="AF18" s="35">
        <v>3.0</v>
      </c>
      <c r="AG18" s="35">
        <v>3.0</v>
      </c>
      <c r="AH18" s="35">
        <v>1.0</v>
      </c>
      <c r="AI18" s="35">
        <v>3.0</v>
      </c>
      <c r="AJ18" s="35">
        <v>3.0</v>
      </c>
      <c r="AK18" s="36" t="s">
        <v>133</v>
      </c>
      <c r="AL18" s="40" t="s">
        <v>132</v>
      </c>
      <c r="AM18" s="35" t="s">
        <v>132</v>
      </c>
      <c r="AN18" s="35" t="s">
        <v>132</v>
      </c>
      <c r="AO18" s="35" t="s">
        <v>132</v>
      </c>
      <c r="AP18" s="35" t="s">
        <v>132</v>
      </c>
      <c r="AQ18" s="35" t="s">
        <v>132</v>
      </c>
      <c r="AR18" s="35" t="s">
        <v>132</v>
      </c>
      <c r="AS18" s="35" t="s">
        <v>132</v>
      </c>
      <c r="AT18" s="35" t="s">
        <v>132</v>
      </c>
      <c r="AU18" s="35" t="s">
        <v>132</v>
      </c>
      <c r="AV18" s="35" t="s">
        <v>131</v>
      </c>
      <c r="AW18" s="35" t="s">
        <v>191</v>
      </c>
      <c r="AX18" s="35" t="s">
        <v>131</v>
      </c>
      <c r="AY18" s="35">
        <v>40.0</v>
      </c>
      <c r="AZ18" s="35">
        <v>36.0</v>
      </c>
      <c r="BA18" s="36" t="s">
        <v>133</v>
      </c>
      <c r="BB18" s="35" t="s">
        <v>192</v>
      </c>
      <c r="BC18" s="39">
        <v>1.0</v>
      </c>
      <c r="BD18" s="40">
        <v>3.0</v>
      </c>
      <c r="BE18" s="35">
        <v>1.0</v>
      </c>
      <c r="BF18" s="35">
        <v>3.0</v>
      </c>
      <c r="BG18" s="35">
        <v>4.0</v>
      </c>
      <c r="BH18" s="35">
        <v>4.0</v>
      </c>
      <c r="BI18" s="44" t="str">
        <f t="shared" si="3"/>
        <v>31344</v>
      </c>
      <c r="BJ18" s="35">
        <v>50.0</v>
      </c>
      <c r="BK18" s="35">
        <v>4.0</v>
      </c>
      <c r="BL18" s="35">
        <v>3.0</v>
      </c>
      <c r="BM18" s="35">
        <v>1.0</v>
      </c>
      <c r="BN18" s="35">
        <v>5.0</v>
      </c>
      <c r="BO18" s="35">
        <v>3.0</v>
      </c>
      <c r="BP18" s="35">
        <v>5.0</v>
      </c>
      <c r="BQ18" s="35">
        <v>1.0</v>
      </c>
      <c r="BR18" s="35">
        <v>2.0</v>
      </c>
      <c r="BS18" s="35">
        <v>3.0</v>
      </c>
      <c r="BT18" s="35">
        <v>5.0</v>
      </c>
      <c r="BU18" s="44">
        <f t="shared" si="4"/>
        <v>1</v>
      </c>
      <c r="BV18" s="44">
        <f t="shared" si="5"/>
        <v>1</v>
      </c>
      <c r="BW18" s="44">
        <f t="shared" si="53"/>
        <v>28</v>
      </c>
      <c r="BX18" s="44" t="str">
        <f t="shared" si="7"/>
        <v>FATIGA</v>
      </c>
      <c r="BY18" s="35">
        <v>4.0</v>
      </c>
      <c r="BZ18" s="35">
        <v>1.0</v>
      </c>
      <c r="CA18" s="35">
        <v>0.0</v>
      </c>
      <c r="CB18" s="35">
        <v>7.0</v>
      </c>
      <c r="CC18" s="35">
        <v>0.0</v>
      </c>
      <c r="CD18" s="35">
        <v>15.0</v>
      </c>
      <c r="CE18" s="35">
        <v>7.0</v>
      </c>
      <c r="CF18" s="35">
        <v>0.0</v>
      </c>
      <c r="CG18" s="35">
        <v>30.0</v>
      </c>
      <c r="CH18" s="35">
        <v>10.0</v>
      </c>
      <c r="CI18" s="35">
        <v>0.0</v>
      </c>
      <c r="CJ18" s="44">
        <f t="shared" si="27"/>
        <v>3033</v>
      </c>
      <c r="CK18" s="44">
        <f t="shared" si="28"/>
        <v>18</v>
      </c>
      <c r="CL18" s="44" t="str">
        <f t="shared" si="29"/>
        <v>Nivel de actividad física alto</v>
      </c>
      <c r="CM18" s="44" t="str">
        <f t="shared" si="30"/>
        <v>Nivel de actividad física moderado</v>
      </c>
      <c r="CN18" s="45" t="str">
        <f t="shared" si="31"/>
        <v>Nivel de actividad física alto</v>
      </c>
      <c r="CO18" s="51">
        <v>0.020833333333333332</v>
      </c>
      <c r="CP18" s="35">
        <v>60.0</v>
      </c>
      <c r="CQ18" s="44">
        <f t="shared" si="32"/>
        <v>2</v>
      </c>
      <c r="CR18" s="35">
        <v>7.0</v>
      </c>
      <c r="CS18" s="35">
        <v>45.0</v>
      </c>
      <c r="CT18" s="35">
        <v>7.15</v>
      </c>
      <c r="CU18" s="35">
        <v>6.0</v>
      </c>
      <c r="CV18" s="35">
        <v>3.0</v>
      </c>
      <c r="CW18" s="35">
        <v>3.0</v>
      </c>
      <c r="CX18" s="35">
        <v>2.0</v>
      </c>
      <c r="CY18" s="35">
        <v>3.0</v>
      </c>
      <c r="CZ18" s="35">
        <v>0.0</v>
      </c>
      <c r="DA18" s="35">
        <v>0.0</v>
      </c>
      <c r="DB18" s="35">
        <v>3.0</v>
      </c>
      <c r="DC18" s="35">
        <v>0.0</v>
      </c>
      <c r="DD18" s="35">
        <v>3.0</v>
      </c>
      <c r="DE18" s="35">
        <v>1.0</v>
      </c>
      <c r="DF18" s="35" t="s">
        <v>193</v>
      </c>
      <c r="DG18" s="53">
        <f t="shared" si="55"/>
        <v>15</v>
      </c>
      <c r="DH18" s="35">
        <v>3.0</v>
      </c>
      <c r="DI18" s="35">
        <v>3.0</v>
      </c>
      <c r="DJ18" s="35">
        <v>3.0</v>
      </c>
      <c r="DK18" s="35">
        <v>3.0</v>
      </c>
      <c r="DL18" s="46">
        <f t="shared" si="34"/>
        <v>83.91608392</v>
      </c>
      <c r="DM18" s="44">
        <f t="shared" si="35"/>
        <v>1</v>
      </c>
      <c r="DN18" s="44">
        <f t="shared" si="36"/>
        <v>2</v>
      </c>
      <c r="DO18" s="44">
        <f t="shared" si="37"/>
        <v>3</v>
      </c>
      <c r="DP18" s="44">
        <f t="shared" si="38"/>
        <v>3</v>
      </c>
      <c r="DQ18" s="44">
        <f t="shared" si="39"/>
        <v>1</v>
      </c>
      <c r="DR18" s="44">
        <f t="shared" ref="DR18:DS18" si="57">(DH18)</f>
        <v>3</v>
      </c>
      <c r="DS18" s="44">
        <f t="shared" si="57"/>
        <v>3</v>
      </c>
      <c r="DT18" s="44">
        <f t="shared" si="41"/>
        <v>16</v>
      </c>
      <c r="DU18" s="44" t="str">
        <f t="shared" si="42"/>
        <v>poor sleep quality</v>
      </c>
      <c r="DV18" s="35">
        <v>3.0</v>
      </c>
      <c r="DW18" s="35" t="s">
        <v>185</v>
      </c>
      <c r="DX18" s="35" t="s">
        <v>146</v>
      </c>
      <c r="DY18" s="35">
        <v>2.0</v>
      </c>
      <c r="DZ18" s="35" t="s">
        <v>131</v>
      </c>
      <c r="EA18" s="35" t="s">
        <v>167</v>
      </c>
      <c r="EB18" s="35" t="s">
        <v>139</v>
      </c>
      <c r="EC18" s="36" t="s">
        <v>133</v>
      </c>
      <c r="ED18" s="35" t="s">
        <v>131</v>
      </c>
      <c r="EE18" s="35" t="s">
        <v>158</v>
      </c>
      <c r="EF18" s="35">
        <f t="shared" si="51"/>
        <v>437</v>
      </c>
      <c r="EG18" s="35">
        <f t="shared" si="52"/>
        <v>134</v>
      </c>
      <c r="EH18" s="47">
        <f t="shared" si="24"/>
        <v>25.73708141</v>
      </c>
    </row>
    <row r="19" ht="15.75" customHeight="1">
      <c r="A19" s="35" t="s">
        <v>194</v>
      </c>
      <c r="B19" s="54" t="s">
        <v>129</v>
      </c>
      <c r="C19" s="37">
        <v>45037.0</v>
      </c>
      <c r="D19" s="48">
        <v>44.0</v>
      </c>
      <c r="E19" s="35" t="s">
        <v>153</v>
      </c>
      <c r="F19" s="35">
        <v>177.0</v>
      </c>
      <c r="G19" s="39">
        <v>78.0</v>
      </c>
      <c r="H19" s="40" t="s">
        <v>131</v>
      </c>
      <c r="I19" s="35">
        <v>2.0</v>
      </c>
      <c r="J19" s="41">
        <v>44713.0</v>
      </c>
      <c r="K19" s="35" t="s">
        <v>131</v>
      </c>
      <c r="L19" s="35">
        <v>1.0</v>
      </c>
      <c r="M19" s="41">
        <v>44713.0</v>
      </c>
      <c r="N19" s="36" t="s">
        <v>133</v>
      </c>
      <c r="O19" s="41">
        <v>44713.0</v>
      </c>
      <c r="P19" s="35" t="s">
        <v>132</v>
      </c>
      <c r="Q19" s="36" t="s">
        <v>133</v>
      </c>
      <c r="R19" s="36" t="s">
        <v>133</v>
      </c>
      <c r="S19" s="36" t="s">
        <v>133</v>
      </c>
      <c r="T19" s="36" t="s">
        <v>133</v>
      </c>
      <c r="U19" s="36" t="s">
        <v>133</v>
      </c>
      <c r="V19" s="36" t="str">
        <f t="shared" si="2"/>
        <v>Paciente ambulatorio</v>
      </c>
      <c r="W19" s="35" t="s">
        <v>176</v>
      </c>
      <c r="X19" s="35" t="s">
        <v>132</v>
      </c>
      <c r="Y19" s="35">
        <v>2.0</v>
      </c>
      <c r="Z19" s="35">
        <v>1.0</v>
      </c>
      <c r="AA19" s="35">
        <v>3.0</v>
      </c>
      <c r="AB19" s="35">
        <v>3.0</v>
      </c>
      <c r="AC19" s="35">
        <v>3.0</v>
      </c>
      <c r="AD19" s="35">
        <v>1.0</v>
      </c>
      <c r="AE19" s="35">
        <v>2.0</v>
      </c>
      <c r="AF19" s="35">
        <v>3.0</v>
      </c>
      <c r="AG19" s="35">
        <v>3.0</v>
      </c>
      <c r="AH19" s="35">
        <v>1.0</v>
      </c>
      <c r="AI19" s="35">
        <v>3.0</v>
      </c>
      <c r="AJ19" s="35">
        <v>3.0</v>
      </c>
      <c r="AK19" s="39" t="s">
        <v>195</v>
      </c>
      <c r="AL19" s="40" t="s">
        <v>132</v>
      </c>
      <c r="AM19" s="35" t="s">
        <v>132</v>
      </c>
      <c r="AN19" s="35" t="s">
        <v>132</v>
      </c>
      <c r="AO19" s="35" t="s">
        <v>132</v>
      </c>
      <c r="AP19" s="35" t="s">
        <v>132</v>
      </c>
      <c r="AQ19" s="35" t="s">
        <v>132</v>
      </c>
      <c r="AR19" s="35" t="s">
        <v>132</v>
      </c>
      <c r="AS19" s="35" t="s">
        <v>132</v>
      </c>
      <c r="AT19" s="35" t="s">
        <v>132</v>
      </c>
      <c r="AU19" s="35" t="s">
        <v>132</v>
      </c>
      <c r="AV19" s="35" t="s">
        <v>132</v>
      </c>
      <c r="AW19" s="36" t="s">
        <v>133</v>
      </c>
      <c r="AX19" s="35" t="s">
        <v>131</v>
      </c>
      <c r="AY19" s="35">
        <v>7.0</v>
      </c>
      <c r="AZ19" s="35">
        <v>30.0</v>
      </c>
      <c r="BA19" s="36" t="s">
        <v>133</v>
      </c>
      <c r="BB19" s="35" t="s">
        <v>145</v>
      </c>
      <c r="BC19" s="39" t="s">
        <v>196</v>
      </c>
      <c r="BD19" s="40">
        <v>1.0</v>
      </c>
      <c r="BE19" s="35">
        <v>1.0</v>
      </c>
      <c r="BF19" s="35">
        <v>1.0</v>
      </c>
      <c r="BG19" s="35">
        <v>2.0</v>
      </c>
      <c r="BH19" s="35">
        <v>3.0</v>
      </c>
      <c r="BI19" s="44" t="str">
        <f t="shared" si="3"/>
        <v>11123</v>
      </c>
      <c r="BJ19" s="35">
        <v>70.0</v>
      </c>
      <c r="BK19" s="35">
        <v>2.0</v>
      </c>
      <c r="BL19" s="35">
        <v>2.0</v>
      </c>
      <c r="BM19" s="35">
        <v>4.0</v>
      </c>
      <c r="BN19" s="35">
        <v>2.0</v>
      </c>
      <c r="BO19" s="35">
        <v>2.0</v>
      </c>
      <c r="BP19" s="35">
        <v>4.0</v>
      </c>
      <c r="BQ19" s="35">
        <v>2.0</v>
      </c>
      <c r="BR19" s="35">
        <v>4.0</v>
      </c>
      <c r="BS19" s="35">
        <v>2.0</v>
      </c>
      <c r="BT19" s="35">
        <v>3.0</v>
      </c>
      <c r="BU19" s="44">
        <f t="shared" si="4"/>
        <v>4</v>
      </c>
      <c r="BV19" s="44">
        <f t="shared" si="5"/>
        <v>3</v>
      </c>
      <c r="BW19" s="44">
        <f t="shared" si="53"/>
        <v>28</v>
      </c>
      <c r="BX19" s="44" t="str">
        <f t="shared" si="7"/>
        <v>FATIGA</v>
      </c>
      <c r="BY19" s="35">
        <v>1.0</v>
      </c>
      <c r="BZ19" s="35">
        <v>1.0</v>
      </c>
      <c r="CA19" s="35">
        <v>30.0</v>
      </c>
      <c r="CB19" s="35">
        <v>3.0</v>
      </c>
      <c r="CC19" s="35">
        <v>3.0</v>
      </c>
      <c r="CD19" s="35">
        <v>0.0</v>
      </c>
      <c r="CE19" s="35">
        <v>0.0</v>
      </c>
      <c r="CF19" s="50">
        <v>0.0</v>
      </c>
      <c r="CG19" s="50">
        <v>0.0</v>
      </c>
      <c r="CH19" s="35">
        <v>8.0</v>
      </c>
      <c r="CI19" s="35">
        <v>0.0</v>
      </c>
      <c r="CJ19" s="44">
        <f t="shared" si="27"/>
        <v>2880</v>
      </c>
      <c r="CK19" s="44">
        <f t="shared" si="28"/>
        <v>4</v>
      </c>
      <c r="CL19" s="44" t="b">
        <f t="shared" si="29"/>
        <v>0</v>
      </c>
      <c r="CM19" s="44" t="b">
        <f t="shared" si="30"/>
        <v>0</v>
      </c>
      <c r="CN19" s="45" t="str">
        <f t="shared" si="31"/>
        <v>Nivel de actividad física bajo</v>
      </c>
      <c r="CO19" s="35">
        <v>1.0</v>
      </c>
      <c r="CP19" s="35">
        <v>20.0</v>
      </c>
      <c r="CQ19" s="44">
        <f t="shared" si="32"/>
        <v>1</v>
      </c>
      <c r="CR19" s="35">
        <v>9.0</v>
      </c>
      <c r="CS19" s="35">
        <v>30.0</v>
      </c>
      <c r="CT19" s="35">
        <v>8.5</v>
      </c>
      <c r="CU19" s="35">
        <v>6.0</v>
      </c>
      <c r="CV19" s="35">
        <v>2.0</v>
      </c>
      <c r="CW19" s="35">
        <v>0.0</v>
      </c>
      <c r="CX19" s="35">
        <v>1.0</v>
      </c>
      <c r="CY19" s="35">
        <v>0.0</v>
      </c>
      <c r="CZ19" s="35">
        <v>1.0</v>
      </c>
      <c r="DA19" s="35">
        <v>0.0</v>
      </c>
      <c r="DB19" s="35">
        <v>1.0</v>
      </c>
      <c r="DC19" s="35">
        <v>0.0</v>
      </c>
      <c r="DD19" s="35">
        <v>0.0</v>
      </c>
      <c r="DE19" s="35">
        <v>0.0</v>
      </c>
      <c r="DF19" s="36" t="s">
        <v>133</v>
      </c>
      <c r="DG19" s="53">
        <f t="shared" si="55"/>
        <v>3</v>
      </c>
      <c r="DH19" s="35">
        <v>2.0</v>
      </c>
      <c r="DI19" s="35">
        <v>0.0</v>
      </c>
      <c r="DJ19" s="35">
        <v>0.0</v>
      </c>
      <c r="DK19" s="35">
        <v>2.0</v>
      </c>
      <c r="DL19" s="46">
        <f t="shared" si="34"/>
        <v>70.58823529</v>
      </c>
      <c r="DM19" s="44">
        <f t="shared" si="35"/>
        <v>1</v>
      </c>
      <c r="DN19" s="44">
        <f t="shared" si="36"/>
        <v>1</v>
      </c>
      <c r="DO19" s="44">
        <f t="shared" si="37"/>
        <v>2</v>
      </c>
      <c r="DP19" s="44">
        <f t="shared" si="38"/>
        <v>1</v>
      </c>
      <c r="DQ19" s="44">
        <f t="shared" si="39"/>
        <v>2</v>
      </c>
      <c r="DR19" s="44">
        <f t="shared" ref="DR19:DS19" si="58">(DH19)</f>
        <v>2</v>
      </c>
      <c r="DS19" s="44">
        <f t="shared" si="58"/>
        <v>0</v>
      </c>
      <c r="DT19" s="44">
        <f t="shared" si="41"/>
        <v>9</v>
      </c>
      <c r="DU19" s="44" t="str">
        <f t="shared" si="42"/>
        <v>poor sleep quality</v>
      </c>
      <c r="DV19" s="35">
        <v>1.0</v>
      </c>
      <c r="DW19" s="35" t="s">
        <v>197</v>
      </c>
      <c r="DX19" s="35" t="s">
        <v>146</v>
      </c>
      <c r="DY19" s="35">
        <v>1.0</v>
      </c>
      <c r="DZ19" s="35" t="s">
        <v>131</v>
      </c>
      <c r="EA19" s="35" t="s">
        <v>167</v>
      </c>
      <c r="EB19" s="35" t="s">
        <v>198</v>
      </c>
      <c r="EC19" s="36" t="s">
        <v>133</v>
      </c>
      <c r="ED19" s="36" t="s">
        <v>133</v>
      </c>
      <c r="EE19" s="35" t="s">
        <v>140</v>
      </c>
      <c r="EF19" s="35">
        <f t="shared" si="51"/>
        <v>324</v>
      </c>
      <c r="EG19" s="35">
        <f t="shared" si="52"/>
        <v>324</v>
      </c>
      <c r="EH19" s="47">
        <f t="shared" si="24"/>
        <v>24.89706023</v>
      </c>
    </row>
    <row r="20" ht="15.75" customHeight="1">
      <c r="A20" s="35" t="s">
        <v>199</v>
      </c>
      <c r="B20" s="36" t="s">
        <v>175</v>
      </c>
      <c r="C20" s="37">
        <v>45040.0</v>
      </c>
      <c r="D20" s="48">
        <v>42.0</v>
      </c>
      <c r="E20" s="35" t="s">
        <v>130</v>
      </c>
      <c r="F20" s="35">
        <v>160.0</v>
      </c>
      <c r="G20" s="39">
        <v>53.0</v>
      </c>
      <c r="H20" s="40" t="s">
        <v>131</v>
      </c>
      <c r="I20" s="35">
        <v>2.0</v>
      </c>
      <c r="J20" s="41">
        <v>44562.0</v>
      </c>
      <c r="K20" s="35" t="s">
        <v>131</v>
      </c>
      <c r="L20" s="35">
        <v>1.0</v>
      </c>
      <c r="M20" s="41">
        <v>44562.0</v>
      </c>
      <c r="N20" s="36" t="s">
        <v>133</v>
      </c>
      <c r="O20" s="41">
        <v>44562.0</v>
      </c>
      <c r="P20" s="35" t="s">
        <v>132</v>
      </c>
      <c r="Q20" s="36" t="s">
        <v>133</v>
      </c>
      <c r="R20" s="36" t="s">
        <v>133</v>
      </c>
      <c r="S20" s="36" t="s">
        <v>133</v>
      </c>
      <c r="T20" s="36" t="s">
        <v>133</v>
      </c>
      <c r="U20" s="36" t="s">
        <v>133</v>
      </c>
      <c r="V20" s="36" t="str">
        <f t="shared" si="2"/>
        <v>Paciente ambulatorio</v>
      </c>
      <c r="W20" s="35" t="s">
        <v>183</v>
      </c>
      <c r="X20" s="35" t="s">
        <v>132</v>
      </c>
      <c r="Y20" s="35">
        <v>1.0</v>
      </c>
      <c r="Z20" s="35">
        <v>1.0</v>
      </c>
      <c r="AA20" s="35">
        <v>3.0</v>
      </c>
      <c r="AB20" s="35">
        <v>3.0</v>
      </c>
      <c r="AC20" s="35">
        <v>1.0</v>
      </c>
      <c r="AD20" s="35">
        <v>3.0</v>
      </c>
      <c r="AE20" s="35">
        <v>1.0</v>
      </c>
      <c r="AF20" s="35">
        <v>1.0</v>
      </c>
      <c r="AG20" s="35">
        <v>3.0</v>
      </c>
      <c r="AH20" s="35">
        <v>3.0</v>
      </c>
      <c r="AI20" s="35">
        <v>1.0</v>
      </c>
      <c r="AJ20" s="35">
        <v>1.0</v>
      </c>
      <c r="AK20" s="39" t="s">
        <v>200</v>
      </c>
      <c r="AL20" s="40" t="s">
        <v>132</v>
      </c>
      <c r="AM20" s="35" t="s">
        <v>132</v>
      </c>
      <c r="AN20" s="35" t="s">
        <v>132</v>
      </c>
      <c r="AO20" s="35" t="s">
        <v>132</v>
      </c>
      <c r="AP20" s="35" t="s">
        <v>132</v>
      </c>
      <c r="AQ20" s="35" t="s">
        <v>132</v>
      </c>
      <c r="AR20" s="35" t="s">
        <v>132</v>
      </c>
      <c r="AS20" s="35" t="s">
        <v>132</v>
      </c>
      <c r="AT20" s="35" t="s">
        <v>132</v>
      </c>
      <c r="AU20" s="35" t="s">
        <v>132</v>
      </c>
      <c r="AV20" s="35" t="s">
        <v>131</v>
      </c>
      <c r="AW20" s="35" t="s">
        <v>201</v>
      </c>
      <c r="AX20" s="35" t="s">
        <v>165</v>
      </c>
      <c r="AY20" s="36" t="s">
        <v>133</v>
      </c>
      <c r="AZ20" s="36" t="s">
        <v>133</v>
      </c>
      <c r="BA20" s="35">
        <v>14.0</v>
      </c>
      <c r="BB20" s="35" t="s">
        <v>145</v>
      </c>
      <c r="BC20" s="36" t="s">
        <v>133</v>
      </c>
      <c r="BD20" s="40">
        <v>1.0</v>
      </c>
      <c r="BE20" s="35">
        <v>1.0</v>
      </c>
      <c r="BF20" s="35">
        <v>1.0</v>
      </c>
      <c r="BG20" s="35">
        <v>3.0</v>
      </c>
      <c r="BH20" s="35">
        <v>1.0</v>
      </c>
      <c r="BI20" s="44" t="str">
        <f t="shared" si="3"/>
        <v>11131</v>
      </c>
      <c r="BJ20" s="35">
        <v>80.0</v>
      </c>
      <c r="BK20" s="35">
        <v>3.0</v>
      </c>
      <c r="BL20" s="35">
        <v>3.0</v>
      </c>
      <c r="BM20" s="35">
        <v>5.0</v>
      </c>
      <c r="BN20" s="35">
        <v>5.0</v>
      </c>
      <c r="BO20" s="35">
        <v>3.0</v>
      </c>
      <c r="BP20" s="35">
        <v>3.0</v>
      </c>
      <c r="BQ20" s="35">
        <v>4.0</v>
      </c>
      <c r="BR20" s="35">
        <v>3.0</v>
      </c>
      <c r="BS20" s="35">
        <v>3.0</v>
      </c>
      <c r="BT20" s="35">
        <v>3.0</v>
      </c>
      <c r="BU20" s="44">
        <f t="shared" si="4"/>
        <v>1</v>
      </c>
      <c r="BV20" s="44">
        <f t="shared" si="5"/>
        <v>3</v>
      </c>
      <c r="BW20" s="44">
        <f t="shared" si="53"/>
        <v>33</v>
      </c>
      <c r="BX20" s="44" t="str">
        <f t="shared" si="7"/>
        <v>FATIGA</v>
      </c>
      <c r="BY20" s="35">
        <v>0.0</v>
      </c>
      <c r="BZ20" s="50">
        <v>0.0</v>
      </c>
      <c r="CA20" s="50">
        <v>0.0</v>
      </c>
      <c r="CB20" s="35">
        <v>2.0</v>
      </c>
      <c r="CC20" s="35">
        <v>5.0</v>
      </c>
      <c r="CD20" s="35">
        <v>0.0</v>
      </c>
      <c r="CE20" s="35">
        <v>5.0</v>
      </c>
      <c r="CF20" s="35">
        <v>5.0</v>
      </c>
      <c r="CG20" s="35">
        <v>0.0</v>
      </c>
      <c r="CH20" s="35">
        <v>3.0</v>
      </c>
      <c r="CI20" s="35">
        <v>0.0</v>
      </c>
      <c r="CJ20" s="44">
        <f t="shared" si="27"/>
        <v>7350</v>
      </c>
      <c r="CK20" s="44">
        <f t="shared" si="28"/>
        <v>7</v>
      </c>
      <c r="CL20" s="44" t="str">
        <f t="shared" si="29"/>
        <v>Nivel de actividad física alto</v>
      </c>
      <c r="CM20" s="44" t="str">
        <f t="shared" si="30"/>
        <v>Nivel de actividad física moderado</v>
      </c>
      <c r="CN20" s="45" t="str">
        <f t="shared" si="31"/>
        <v>Nivel de actividad física alto</v>
      </c>
      <c r="CO20" s="35">
        <v>23.0</v>
      </c>
      <c r="CP20" s="35">
        <v>60.0</v>
      </c>
      <c r="CQ20" s="44">
        <f t="shared" si="32"/>
        <v>2</v>
      </c>
      <c r="CR20" s="35">
        <v>7.0</v>
      </c>
      <c r="CS20" s="35">
        <v>30.0</v>
      </c>
      <c r="CT20" s="35">
        <v>8.5</v>
      </c>
      <c r="CU20" s="35">
        <v>7.0</v>
      </c>
      <c r="CV20" s="35">
        <v>0.0</v>
      </c>
      <c r="CW20" s="35">
        <v>1.0</v>
      </c>
      <c r="CX20" s="35">
        <v>2.0</v>
      </c>
      <c r="CY20" s="35">
        <v>3.0</v>
      </c>
      <c r="CZ20" s="35">
        <v>1.0</v>
      </c>
      <c r="DA20" s="35">
        <v>1.0</v>
      </c>
      <c r="DB20" s="35">
        <v>2.0</v>
      </c>
      <c r="DC20" s="35">
        <v>0.0</v>
      </c>
      <c r="DD20" s="35">
        <v>0.0</v>
      </c>
      <c r="DE20" s="35">
        <v>0.0</v>
      </c>
      <c r="DF20" s="36" t="s">
        <v>133</v>
      </c>
      <c r="DG20" s="53">
        <f t="shared" si="55"/>
        <v>10</v>
      </c>
      <c r="DH20" s="35">
        <v>1.0</v>
      </c>
      <c r="DI20" s="35">
        <v>0.0</v>
      </c>
      <c r="DJ20" s="35">
        <v>1.0</v>
      </c>
      <c r="DK20" s="35">
        <v>2.0</v>
      </c>
      <c r="DL20" s="46">
        <f t="shared" si="34"/>
        <v>82.35294118</v>
      </c>
      <c r="DM20" s="44">
        <f t="shared" si="35"/>
        <v>0</v>
      </c>
      <c r="DN20" s="44">
        <f t="shared" si="36"/>
        <v>2</v>
      </c>
      <c r="DO20" s="44">
        <f t="shared" si="37"/>
        <v>1</v>
      </c>
      <c r="DP20" s="44">
        <f t="shared" si="38"/>
        <v>2</v>
      </c>
      <c r="DQ20" s="44">
        <f t="shared" si="39"/>
        <v>1</v>
      </c>
      <c r="DR20" s="44">
        <f t="shared" ref="DR20:DS20" si="59">(DH20)</f>
        <v>1</v>
      </c>
      <c r="DS20" s="44">
        <f t="shared" si="59"/>
        <v>0</v>
      </c>
      <c r="DT20" s="44">
        <f t="shared" si="41"/>
        <v>7</v>
      </c>
      <c r="DU20" s="44" t="str">
        <f t="shared" si="42"/>
        <v>poor sleep quality</v>
      </c>
      <c r="DV20" s="35">
        <v>3.0</v>
      </c>
      <c r="DW20" s="35" t="s">
        <v>185</v>
      </c>
      <c r="DX20" s="35" t="s">
        <v>146</v>
      </c>
      <c r="DY20" s="35">
        <v>1.0</v>
      </c>
      <c r="DZ20" s="35" t="s">
        <v>131</v>
      </c>
      <c r="EA20" s="35" t="s">
        <v>202</v>
      </c>
      <c r="EB20" s="35" t="s">
        <v>172</v>
      </c>
      <c r="EC20" s="35" t="s">
        <v>140</v>
      </c>
      <c r="ED20" s="35" t="s">
        <v>131</v>
      </c>
      <c r="EE20" s="35" t="s">
        <v>203</v>
      </c>
      <c r="EF20" s="35">
        <f t="shared" si="51"/>
        <v>478</v>
      </c>
      <c r="EG20" s="35">
        <f t="shared" si="52"/>
        <v>478</v>
      </c>
      <c r="EH20" s="47">
        <f t="shared" si="24"/>
        <v>20.703125</v>
      </c>
    </row>
    <row r="21" ht="17.25" customHeight="1">
      <c r="A21" s="35" t="s">
        <v>204</v>
      </c>
      <c r="B21" s="36" t="s">
        <v>175</v>
      </c>
      <c r="C21" s="37">
        <v>45114.0</v>
      </c>
      <c r="D21" s="48">
        <v>46.0</v>
      </c>
      <c r="E21" s="35" t="s">
        <v>130</v>
      </c>
      <c r="F21" s="35">
        <v>160.0</v>
      </c>
      <c r="G21" s="39">
        <v>65.0</v>
      </c>
      <c r="H21" s="40" t="s">
        <v>131</v>
      </c>
      <c r="I21" s="35">
        <v>3.0</v>
      </c>
      <c r="J21" s="55">
        <v>44545.0</v>
      </c>
      <c r="K21" s="35" t="s">
        <v>131</v>
      </c>
      <c r="L21" s="35">
        <v>2.0</v>
      </c>
      <c r="M21" s="41">
        <v>44075.0</v>
      </c>
      <c r="N21" s="35">
        <v>0.0</v>
      </c>
      <c r="O21" s="41">
        <v>44562.0</v>
      </c>
      <c r="P21" s="35" t="s">
        <v>132</v>
      </c>
      <c r="Q21" s="36" t="s">
        <v>133</v>
      </c>
      <c r="R21" s="36" t="s">
        <v>133</v>
      </c>
      <c r="S21" s="36" t="s">
        <v>133</v>
      </c>
      <c r="T21" s="36" t="s">
        <v>133</v>
      </c>
      <c r="U21" s="36" t="s">
        <v>133</v>
      </c>
      <c r="V21" s="36" t="str">
        <f t="shared" si="2"/>
        <v>Paciente ambulatorio</v>
      </c>
      <c r="W21" s="35" t="s">
        <v>176</v>
      </c>
      <c r="X21" s="35" t="s">
        <v>131</v>
      </c>
      <c r="Y21" s="35">
        <v>2.0</v>
      </c>
      <c r="Z21" s="35">
        <v>1.0</v>
      </c>
      <c r="AA21" s="35">
        <v>3.0</v>
      </c>
      <c r="AB21" s="35">
        <v>3.0</v>
      </c>
      <c r="AC21" s="35">
        <v>1.0</v>
      </c>
      <c r="AD21" s="35">
        <v>1.0</v>
      </c>
      <c r="AE21" s="35">
        <v>2.0</v>
      </c>
      <c r="AF21" s="35">
        <v>1.0</v>
      </c>
      <c r="AG21" s="35">
        <v>3.0</v>
      </c>
      <c r="AH21" s="35">
        <v>3.0</v>
      </c>
      <c r="AI21" s="35">
        <v>1.0</v>
      </c>
      <c r="AJ21" s="35">
        <v>1.0</v>
      </c>
      <c r="AK21" s="35" t="s">
        <v>205</v>
      </c>
      <c r="AL21" s="40" t="s">
        <v>132</v>
      </c>
      <c r="AM21" s="35" t="s">
        <v>132</v>
      </c>
      <c r="AN21" s="35" t="s">
        <v>132</v>
      </c>
      <c r="AO21" s="35" t="s">
        <v>132</v>
      </c>
      <c r="AP21" s="35" t="s">
        <v>132</v>
      </c>
      <c r="AQ21" s="35" t="s">
        <v>132</v>
      </c>
      <c r="AR21" s="35" t="s">
        <v>132</v>
      </c>
      <c r="AS21" s="35" t="s">
        <v>132</v>
      </c>
      <c r="AT21" s="35" t="s">
        <v>132</v>
      </c>
      <c r="AU21" s="35" t="s">
        <v>132</v>
      </c>
      <c r="AV21" s="35" t="s">
        <v>131</v>
      </c>
      <c r="AW21" s="35" t="s">
        <v>206</v>
      </c>
      <c r="AX21" s="35" t="s">
        <v>132</v>
      </c>
      <c r="AY21" s="36" t="s">
        <v>133</v>
      </c>
      <c r="AZ21" s="36" t="s">
        <v>133</v>
      </c>
      <c r="BA21" s="36" t="s">
        <v>133</v>
      </c>
      <c r="BB21" s="35" t="s">
        <v>145</v>
      </c>
      <c r="BC21" s="36" t="s">
        <v>133</v>
      </c>
      <c r="BD21" s="40">
        <v>1.0</v>
      </c>
      <c r="BE21" s="35">
        <v>2.0</v>
      </c>
      <c r="BF21" s="35">
        <v>4.0</v>
      </c>
      <c r="BG21" s="35">
        <v>4.0</v>
      </c>
      <c r="BH21" s="35">
        <v>2.0</v>
      </c>
      <c r="BI21" s="44" t="str">
        <f t="shared" si="3"/>
        <v>12442</v>
      </c>
      <c r="BJ21" s="35">
        <v>50.0</v>
      </c>
      <c r="BK21" s="35">
        <v>4.0</v>
      </c>
      <c r="BL21" s="35">
        <v>5.0</v>
      </c>
      <c r="BM21" s="35">
        <v>5.0</v>
      </c>
      <c r="BN21" s="35">
        <v>2.0</v>
      </c>
      <c r="BO21" s="35">
        <v>5.0</v>
      </c>
      <c r="BP21" s="35">
        <v>4.0</v>
      </c>
      <c r="BQ21" s="35">
        <v>2.0</v>
      </c>
      <c r="BR21" s="35">
        <v>4.0</v>
      </c>
      <c r="BS21" s="35">
        <v>5.0</v>
      </c>
      <c r="BT21" s="35">
        <v>3.0</v>
      </c>
      <c r="BU21" s="44">
        <f t="shared" si="4"/>
        <v>4</v>
      </c>
      <c r="BV21" s="44">
        <f t="shared" si="5"/>
        <v>3</v>
      </c>
      <c r="BW21" s="44">
        <f t="shared" si="53"/>
        <v>40</v>
      </c>
      <c r="BX21" s="44" t="str">
        <f t="shared" si="7"/>
        <v>FATIGA EXTREMA</v>
      </c>
      <c r="BY21" s="35">
        <v>0.0</v>
      </c>
      <c r="BZ21" s="35">
        <v>0.0</v>
      </c>
      <c r="CA21" s="35">
        <v>0.0</v>
      </c>
      <c r="CB21" s="35">
        <v>0.0</v>
      </c>
      <c r="CC21" s="35">
        <v>0.0</v>
      </c>
      <c r="CD21" s="35">
        <v>0.0</v>
      </c>
      <c r="CE21" s="35">
        <v>0.0</v>
      </c>
      <c r="CF21" s="35">
        <v>0.0</v>
      </c>
      <c r="CG21" s="35">
        <v>0.0</v>
      </c>
      <c r="CH21" s="35">
        <v>10.0</v>
      </c>
      <c r="CI21" s="35">
        <v>0.0</v>
      </c>
      <c r="CJ21" s="44">
        <f t="shared" si="27"/>
        <v>0</v>
      </c>
      <c r="CK21" s="44">
        <f t="shared" si="28"/>
        <v>0</v>
      </c>
      <c r="CL21" s="44" t="b">
        <f t="shared" si="29"/>
        <v>0</v>
      </c>
      <c r="CM21" s="44" t="b">
        <f t="shared" si="30"/>
        <v>0</v>
      </c>
      <c r="CN21" s="45" t="str">
        <f t="shared" si="31"/>
        <v>Nivel de actividad física bajo</v>
      </c>
      <c r="CO21" s="35">
        <v>0.0</v>
      </c>
      <c r="CP21" s="35">
        <v>3.0</v>
      </c>
      <c r="CQ21" s="44">
        <f t="shared" si="32"/>
        <v>0</v>
      </c>
      <c r="CR21" s="35">
        <v>7.0</v>
      </c>
      <c r="CS21" s="35">
        <v>0.0</v>
      </c>
      <c r="CT21" s="35">
        <v>7.0</v>
      </c>
      <c r="CU21" s="35">
        <v>7.0</v>
      </c>
      <c r="CV21" s="35">
        <v>0.0</v>
      </c>
      <c r="CW21" s="35">
        <v>0.0</v>
      </c>
      <c r="CX21" s="35">
        <v>0.0</v>
      </c>
      <c r="CY21" s="35">
        <v>0.0</v>
      </c>
      <c r="CZ21" s="35">
        <v>0.0</v>
      </c>
      <c r="DA21" s="35">
        <v>2.0</v>
      </c>
      <c r="DB21" s="35">
        <v>0.0</v>
      </c>
      <c r="DC21" s="35">
        <v>0.0</v>
      </c>
      <c r="DD21" s="35">
        <v>0.0</v>
      </c>
      <c r="DE21" s="35">
        <v>0.0</v>
      </c>
      <c r="DF21" s="36" t="s">
        <v>133</v>
      </c>
      <c r="DG21" s="53">
        <f t="shared" si="55"/>
        <v>2</v>
      </c>
      <c r="DH21" s="35">
        <v>2.0</v>
      </c>
      <c r="DI21" s="35">
        <v>0.0</v>
      </c>
      <c r="DJ21" s="35">
        <v>3.0</v>
      </c>
      <c r="DK21" s="35">
        <v>3.0</v>
      </c>
      <c r="DL21" s="46">
        <f t="shared" si="34"/>
        <v>100</v>
      </c>
      <c r="DM21" s="44">
        <f t="shared" si="35"/>
        <v>0</v>
      </c>
      <c r="DN21" s="44">
        <f t="shared" si="36"/>
        <v>1</v>
      </c>
      <c r="DO21" s="44">
        <f t="shared" si="37"/>
        <v>0</v>
      </c>
      <c r="DP21" s="44">
        <f t="shared" si="38"/>
        <v>3</v>
      </c>
      <c r="DQ21" s="44">
        <f t="shared" si="39"/>
        <v>0</v>
      </c>
      <c r="DR21" s="44">
        <f t="shared" ref="DR21:DS21" si="60">(DH21)</f>
        <v>2</v>
      </c>
      <c r="DS21" s="44">
        <f t="shared" si="60"/>
        <v>0</v>
      </c>
      <c r="DT21" s="44">
        <f t="shared" si="41"/>
        <v>6</v>
      </c>
      <c r="DU21" s="44" t="str">
        <f t="shared" si="42"/>
        <v>poor sleep quality</v>
      </c>
      <c r="DV21" s="35">
        <v>1.0</v>
      </c>
      <c r="DW21" s="35" t="s">
        <v>155</v>
      </c>
      <c r="DX21" s="35" t="s">
        <v>207</v>
      </c>
      <c r="DY21" s="35">
        <v>1.0</v>
      </c>
      <c r="DZ21" s="35" t="s">
        <v>132</v>
      </c>
      <c r="EA21" s="35" t="s">
        <v>178</v>
      </c>
      <c r="EB21" s="35" t="s">
        <v>172</v>
      </c>
      <c r="EC21" s="35" t="s">
        <v>140</v>
      </c>
      <c r="ED21" s="35" t="s">
        <v>131</v>
      </c>
      <c r="EE21" s="35" t="s">
        <v>141</v>
      </c>
      <c r="EF21" s="35">
        <f t="shared" si="51"/>
        <v>1039</v>
      </c>
      <c r="EG21" s="35">
        <f t="shared" si="52"/>
        <v>552</v>
      </c>
      <c r="EH21" s="47">
        <f t="shared" si="24"/>
        <v>25.390625</v>
      </c>
    </row>
    <row r="22" ht="15.75" customHeight="1">
      <c r="A22" s="35" t="s">
        <v>208</v>
      </c>
      <c r="B22" s="36" t="s">
        <v>175</v>
      </c>
      <c r="C22" s="37">
        <v>45051.0</v>
      </c>
      <c r="D22" s="48">
        <v>42.0</v>
      </c>
      <c r="E22" s="35" t="s">
        <v>153</v>
      </c>
      <c r="F22" s="35">
        <v>175.0</v>
      </c>
      <c r="G22" s="39">
        <v>78.0</v>
      </c>
      <c r="H22" s="40" t="s">
        <v>131</v>
      </c>
      <c r="I22" s="35">
        <v>4.0</v>
      </c>
      <c r="J22" s="41">
        <v>44652.0</v>
      </c>
      <c r="K22" s="35" t="s">
        <v>131</v>
      </c>
      <c r="L22" s="35">
        <v>1.0</v>
      </c>
      <c r="M22" s="41">
        <v>44603.0</v>
      </c>
      <c r="N22" s="35">
        <v>3.0</v>
      </c>
      <c r="O22" s="41">
        <v>44603.0</v>
      </c>
      <c r="P22" s="36" t="s">
        <v>133</v>
      </c>
      <c r="Q22" s="36" t="s">
        <v>133</v>
      </c>
      <c r="R22" s="36" t="s">
        <v>133</v>
      </c>
      <c r="S22" s="36" t="s">
        <v>133</v>
      </c>
      <c r="T22" s="36" t="s">
        <v>133</v>
      </c>
      <c r="U22" s="36" t="s">
        <v>133</v>
      </c>
      <c r="V22" s="36" t="str">
        <f t="shared" si="2"/>
        <v>Paciente ambulatorio</v>
      </c>
      <c r="W22" s="35" t="s">
        <v>183</v>
      </c>
      <c r="X22" s="36" t="s">
        <v>133</v>
      </c>
      <c r="Y22" s="35">
        <v>2.0</v>
      </c>
      <c r="Z22" s="35">
        <v>2.0</v>
      </c>
      <c r="AA22" s="35">
        <v>3.0</v>
      </c>
      <c r="AB22" s="35">
        <v>3.0</v>
      </c>
      <c r="AC22" s="35">
        <v>2.0</v>
      </c>
      <c r="AD22" s="35">
        <v>2.0</v>
      </c>
      <c r="AE22" s="35">
        <v>2.0</v>
      </c>
      <c r="AF22" s="35">
        <v>1.0</v>
      </c>
      <c r="AG22" s="35">
        <v>3.0</v>
      </c>
      <c r="AH22" s="35">
        <v>3.0</v>
      </c>
      <c r="AI22" s="35">
        <v>1.0</v>
      </c>
      <c r="AJ22" s="35">
        <v>1.0</v>
      </c>
      <c r="AK22" s="36" t="s">
        <v>133</v>
      </c>
      <c r="AL22" s="40" t="s">
        <v>132</v>
      </c>
      <c r="AM22" s="35" t="s">
        <v>132</v>
      </c>
      <c r="AN22" s="35" t="s">
        <v>132</v>
      </c>
      <c r="AO22" s="35" t="s">
        <v>132</v>
      </c>
      <c r="AP22" s="35" t="s">
        <v>132</v>
      </c>
      <c r="AQ22" s="35" t="s">
        <v>132</v>
      </c>
      <c r="AR22" s="35" t="s">
        <v>132</v>
      </c>
      <c r="AS22" s="35" t="s">
        <v>132</v>
      </c>
      <c r="AT22" s="35" t="s">
        <v>132</v>
      </c>
      <c r="AU22" s="35" t="s">
        <v>132</v>
      </c>
      <c r="AV22" s="35" t="s">
        <v>131</v>
      </c>
      <c r="AW22" s="35" t="s">
        <v>209</v>
      </c>
      <c r="AX22" s="35" t="s">
        <v>132</v>
      </c>
      <c r="AY22" s="36" t="s">
        <v>133</v>
      </c>
      <c r="AZ22" s="36" t="s">
        <v>133</v>
      </c>
      <c r="BA22" s="36" t="s">
        <v>133</v>
      </c>
      <c r="BB22" s="35" t="s">
        <v>145</v>
      </c>
      <c r="BC22" s="36" t="s">
        <v>133</v>
      </c>
      <c r="BD22" s="40">
        <v>1.0</v>
      </c>
      <c r="BE22" s="35">
        <v>1.0</v>
      </c>
      <c r="BF22" s="35">
        <v>1.0</v>
      </c>
      <c r="BG22" s="35">
        <v>1.0</v>
      </c>
      <c r="BH22" s="35">
        <v>2.0</v>
      </c>
      <c r="BI22" s="44" t="str">
        <f t="shared" si="3"/>
        <v>11112</v>
      </c>
      <c r="BJ22" s="35">
        <v>98.0</v>
      </c>
      <c r="BK22" s="35">
        <v>1.0</v>
      </c>
      <c r="BL22" s="35">
        <v>1.0</v>
      </c>
      <c r="BM22" s="35">
        <v>1.0</v>
      </c>
      <c r="BN22" s="35">
        <v>5.0</v>
      </c>
      <c r="BO22" s="35">
        <v>2.0</v>
      </c>
      <c r="BP22" s="35">
        <v>1.0</v>
      </c>
      <c r="BQ22" s="35">
        <v>2.0</v>
      </c>
      <c r="BR22" s="35">
        <v>1.0</v>
      </c>
      <c r="BS22" s="35">
        <v>2.0</v>
      </c>
      <c r="BT22" s="35">
        <v>3.0</v>
      </c>
      <c r="BU22" s="44">
        <f t="shared" si="4"/>
        <v>1</v>
      </c>
      <c r="BV22" s="44">
        <f t="shared" si="5"/>
        <v>3</v>
      </c>
      <c r="BW22" s="44">
        <f t="shared" si="53"/>
        <v>17</v>
      </c>
      <c r="BX22" s="44" t="str">
        <f t="shared" si="7"/>
        <v>NO HAY FATIGA</v>
      </c>
      <c r="BY22" s="35">
        <v>4.0</v>
      </c>
      <c r="BZ22" s="35">
        <v>1.0</v>
      </c>
      <c r="CA22" s="35">
        <v>15.0</v>
      </c>
      <c r="CB22" s="35">
        <v>2.0</v>
      </c>
      <c r="CC22" s="35">
        <v>1.0</v>
      </c>
      <c r="CD22" s="35">
        <v>0.0</v>
      </c>
      <c r="CE22" s="35">
        <v>5.0</v>
      </c>
      <c r="CF22" s="35">
        <v>2.0</v>
      </c>
      <c r="CG22" s="35">
        <v>0.0</v>
      </c>
      <c r="CH22" s="35">
        <v>10.0</v>
      </c>
      <c r="CI22" s="35">
        <v>0.0</v>
      </c>
      <c r="CJ22" s="44">
        <f t="shared" si="27"/>
        <v>4860</v>
      </c>
      <c r="CK22" s="44">
        <f t="shared" si="28"/>
        <v>11</v>
      </c>
      <c r="CL22" s="44" t="str">
        <f t="shared" si="29"/>
        <v>Nivel de actividad física alto</v>
      </c>
      <c r="CM22" s="44" t="str">
        <f t="shared" si="30"/>
        <v>Nivel de actividad física moderado</v>
      </c>
      <c r="CN22" s="45" t="str">
        <f t="shared" si="31"/>
        <v>Nivel de actividad física alto</v>
      </c>
      <c r="CO22" s="35">
        <v>1.0</v>
      </c>
      <c r="CP22" s="35">
        <v>0.0</v>
      </c>
      <c r="CQ22" s="44">
        <f t="shared" si="32"/>
        <v>0</v>
      </c>
      <c r="CR22" s="35">
        <v>6.0</v>
      </c>
      <c r="CS22" s="35">
        <v>0.0</v>
      </c>
      <c r="CT22" s="35">
        <v>5.0</v>
      </c>
      <c r="CU22" s="35">
        <v>5.0</v>
      </c>
      <c r="CV22" s="35">
        <v>0.0</v>
      </c>
      <c r="CW22" s="35">
        <v>3.0</v>
      </c>
      <c r="CX22" s="35">
        <v>3.0</v>
      </c>
      <c r="CY22" s="35">
        <v>0.0</v>
      </c>
      <c r="CZ22" s="35">
        <v>0.0</v>
      </c>
      <c r="DA22" s="35">
        <v>0.0</v>
      </c>
      <c r="DB22" s="35">
        <v>0.0</v>
      </c>
      <c r="DC22" s="35">
        <v>1.0</v>
      </c>
      <c r="DD22" s="35">
        <v>0.0</v>
      </c>
      <c r="DE22" s="35">
        <v>0.0</v>
      </c>
      <c r="DF22" s="36" t="s">
        <v>133</v>
      </c>
      <c r="DG22" s="53">
        <f t="shared" si="55"/>
        <v>7</v>
      </c>
      <c r="DH22" s="35">
        <v>0.0</v>
      </c>
      <c r="DI22" s="35">
        <v>0.0</v>
      </c>
      <c r="DJ22" s="35">
        <v>3.0</v>
      </c>
      <c r="DK22" s="35">
        <v>1.0</v>
      </c>
      <c r="DL22" s="46">
        <f t="shared" si="34"/>
        <v>100</v>
      </c>
      <c r="DM22" s="44">
        <f t="shared" si="35"/>
        <v>2</v>
      </c>
      <c r="DN22" s="44">
        <f t="shared" si="36"/>
        <v>1</v>
      </c>
      <c r="DO22" s="44">
        <f t="shared" si="37"/>
        <v>0</v>
      </c>
      <c r="DP22" s="44">
        <f t="shared" si="38"/>
        <v>2</v>
      </c>
      <c r="DQ22" s="44">
        <f t="shared" si="39"/>
        <v>0</v>
      </c>
      <c r="DR22" s="44">
        <f t="shared" ref="DR22:DS22" si="61">(DH22)</f>
        <v>0</v>
      </c>
      <c r="DS22" s="44">
        <f t="shared" si="61"/>
        <v>0</v>
      </c>
      <c r="DT22" s="44">
        <f t="shared" si="41"/>
        <v>5</v>
      </c>
      <c r="DU22" s="44" t="str">
        <f t="shared" si="42"/>
        <v>good sleep quality</v>
      </c>
      <c r="DV22" s="35">
        <v>1.0</v>
      </c>
      <c r="DW22" s="35" t="s">
        <v>197</v>
      </c>
      <c r="DX22" s="35" t="s">
        <v>137</v>
      </c>
      <c r="DY22" s="35">
        <v>1.0</v>
      </c>
      <c r="DZ22" s="35" t="s">
        <v>131</v>
      </c>
      <c r="EA22" s="35" t="s">
        <v>157</v>
      </c>
      <c r="EB22" s="35" t="s">
        <v>139</v>
      </c>
      <c r="EC22" s="36" t="s">
        <v>133</v>
      </c>
      <c r="ED22" s="35" t="s">
        <v>132</v>
      </c>
      <c r="EE22" s="35" t="s">
        <v>141</v>
      </c>
      <c r="EF22" s="35">
        <f t="shared" si="51"/>
        <v>448</v>
      </c>
      <c r="EG22" s="35">
        <f t="shared" si="52"/>
        <v>448</v>
      </c>
      <c r="EH22" s="47">
        <f t="shared" si="24"/>
        <v>25.46938776</v>
      </c>
    </row>
    <row r="23" ht="15.75" customHeight="1">
      <c r="A23" s="35" t="s">
        <v>210</v>
      </c>
      <c r="B23" s="36" t="s">
        <v>175</v>
      </c>
      <c r="C23" s="37">
        <v>45051.0</v>
      </c>
      <c r="D23" s="48">
        <v>46.0</v>
      </c>
      <c r="E23" s="35" t="s">
        <v>130</v>
      </c>
      <c r="F23" s="35">
        <v>157.0</v>
      </c>
      <c r="G23" s="39">
        <v>70.0</v>
      </c>
      <c r="H23" s="40" t="s">
        <v>131</v>
      </c>
      <c r="I23" s="35">
        <v>2.0</v>
      </c>
      <c r="J23" s="41">
        <v>44521.0</v>
      </c>
      <c r="K23" s="35" t="s">
        <v>131</v>
      </c>
      <c r="L23" s="35">
        <v>2.0</v>
      </c>
      <c r="M23" s="41">
        <v>44256.0</v>
      </c>
      <c r="N23" s="35">
        <v>0.0</v>
      </c>
      <c r="O23" s="41">
        <v>44751.0</v>
      </c>
      <c r="P23" s="35" t="s">
        <v>132</v>
      </c>
      <c r="Q23" s="36" t="s">
        <v>133</v>
      </c>
      <c r="R23" s="36" t="s">
        <v>133</v>
      </c>
      <c r="S23" s="36" t="s">
        <v>133</v>
      </c>
      <c r="T23" s="36" t="s">
        <v>133</v>
      </c>
      <c r="U23" s="36" t="s">
        <v>133</v>
      </c>
      <c r="V23" s="36" t="str">
        <f t="shared" si="2"/>
        <v>Paciente ambulatorio</v>
      </c>
      <c r="W23" s="35" t="s">
        <v>183</v>
      </c>
      <c r="X23" s="36" t="s">
        <v>133</v>
      </c>
      <c r="Y23" s="35">
        <v>2.0</v>
      </c>
      <c r="Z23" s="35">
        <v>1.0</v>
      </c>
      <c r="AA23" s="35">
        <v>3.0</v>
      </c>
      <c r="AB23" s="35">
        <v>3.0</v>
      </c>
      <c r="AC23" s="35">
        <v>3.0</v>
      </c>
      <c r="AD23" s="35">
        <v>1.0</v>
      </c>
      <c r="AE23" s="35">
        <v>3.0</v>
      </c>
      <c r="AF23" s="35">
        <v>1.0</v>
      </c>
      <c r="AG23" s="35">
        <v>1.0</v>
      </c>
      <c r="AH23" s="35">
        <v>1.0</v>
      </c>
      <c r="AI23" s="35">
        <v>1.0</v>
      </c>
      <c r="AJ23" s="35">
        <v>1.0</v>
      </c>
      <c r="AK23" s="39" t="s">
        <v>211</v>
      </c>
      <c r="AL23" s="40" t="s">
        <v>132</v>
      </c>
      <c r="AM23" s="35" t="s">
        <v>132</v>
      </c>
      <c r="AN23" s="35" t="s">
        <v>132</v>
      </c>
      <c r="AO23" s="35" t="s">
        <v>132</v>
      </c>
      <c r="AP23" s="35" t="s">
        <v>132</v>
      </c>
      <c r="AQ23" s="35" t="s">
        <v>132</v>
      </c>
      <c r="AR23" s="35" t="s">
        <v>132</v>
      </c>
      <c r="AS23" s="35" t="s">
        <v>132</v>
      </c>
      <c r="AT23" s="35" t="s">
        <v>132</v>
      </c>
      <c r="AU23" s="35" t="s">
        <v>132</v>
      </c>
      <c r="AV23" s="35" t="s">
        <v>131</v>
      </c>
      <c r="AW23" s="35" t="s">
        <v>212</v>
      </c>
      <c r="AX23" s="35" t="s">
        <v>132</v>
      </c>
      <c r="AY23" s="36" t="s">
        <v>133</v>
      </c>
      <c r="AZ23" s="36" t="s">
        <v>133</v>
      </c>
      <c r="BA23" s="36" t="s">
        <v>133</v>
      </c>
      <c r="BB23" s="35" t="s">
        <v>145</v>
      </c>
      <c r="BC23" s="36" t="s">
        <v>133</v>
      </c>
      <c r="BD23" s="40">
        <v>1.0</v>
      </c>
      <c r="BE23" s="35">
        <v>1.0</v>
      </c>
      <c r="BF23" s="35">
        <v>1.0</v>
      </c>
      <c r="BG23" s="35">
        <v>1.0</v>
      </c>
      <c r="BH23" s="35">
        <v>3.0</v>
      </c>
      <c r="BI23" s="44" t="str">
        <f t="shared" si="3"/>
        <v>11113</v>
      </c>
      <c r="BJ23" s="35">
        <v>65.0</v>
      </c>
      <c r="BK23" s="35">
        <v>2.0</v>
      </c>
      <c r="BL23" s="35">
        <v>2.0</v>
      </c>
      <c r="BM23" s="35">
        <v>1.0</v>
      </c>
      <c r="BN23" s="35">
        <v>4.0</v>
      </c>
      <c r="BO23" s="35">
        <v>2.0</v>
      </c>
      <c r="BP23" s="35">
        <v>2.0</v>
      </c>
      <c r="BQ23" s="35">
        <v>4.0</v>
      </c>
      <c r="BR23" s="35">
        <v>2.0</v>
      </c>
      <c r="BS23" s="35">
        <v>4.0</v>
      </c>
      <c r="BT23" s="35">
        <v>2.0</v>
      </c>
      <c r="BU23" s="44">
        <f t="shared" si="4"/>
        <v>2</v>
      </c>
      <c r="BV23" s="44">
        <f t="shared" si="5"/>
        <v>4</v>
      </c>
      <c r="BW23" s="44">
        <f t="shared" si="53"/>
        <v>25</v>
      </c>
      <c r="BX23" s="44" t="str">
        <f t="shared" si="7"/>
        <v>FATIGA</v>
      </c>
      <c r="BY23" s="35">
        <v>0.0</v>
      </c>
      <c r="BZ23" s="50">
        <v>0.0</v>
      </c>
      <c r="CA23" s="50">
        <v>0.0</v>
      </c>
      <c r="CB23" s="35">
        <v>0.0</v>
      </c>
      <c r="CC23" s="35">
        <v>0.0</v>
      </c>
      <c r="CD23" s="35">
        <v>0.0</v>
      </c>
      <c r="CE23" s="35">
        <v>7.0</v>
      </c>
      <c r="CF23" s="35">
        <v>4.0</v>
      </c>
      <c r="CG23" s="35">
        <v>0.0</v>
      </c>
      <c r="CH23" s="35">
        <v>3.0</v>
      </c>
      <c r="CI23" s="50">
        <v>0.0</v>
      </c>
      <c r="CJ23" s="44">
        <f t="shared" si="27"/>
        <v>5544</v>
      </c>
      <c r="CK23" s="44">
        <f t="shared" si="28"/>
        <v>7</v>
      </c>
      <c r="CL23" s="44" t="str">
        <f t="shared" si="29"/>
        <v>Nivel de actividad física alto</v>
      </c>
      <c r="CM23" s="44" t="str">
        <f t="shared" si="30"/>
        <v>Nivel de actividad física moderado</v>
      </c>
      <c r="CN23" s="45" t="str">
        <f t="shared" si="31"/>
        <v>Nivel de actividad física alto</v>
      </c>
      <c r="CO23" s="35">
        <v>0.0</v>
      </c>
      <c r="CP23" s="35">
        <v>60.0</v>
      </c>
      <c r="CQ23" s="44">
        <f t="shared" si="32"/>
        <v>2</v>
      </c>
      <c r="CR23" s="35">
        <v>6.0</v>
      </c>
      <c r="CS23" s="35">
        <v>0.0</v>
      </c>
      <c r="CT23" s="35">
        <v>6.0</v>
      </c>
      <c r="CU23" s="35">
        <v>5.0</v>
      </c>
      <c r="CV23" s="35">
        <v>3.0</v>
      </c>
      <c r="CW23" s="35">
        <v>3.0</v>
      </c>
      <c r="CX23" s="35">
        <v>3.0</v>
      </c>
      <c r="CY23" s="35">
        <v>2.0</v>
      </c>
      <c r="CZ23" s="35">
        <v>1.0</v>
      </c>
      <c r="DA23" s="35">
        <v>0.0</v>
      </c>
      <c r="DB23" s="35">
        <v>3.0</v>
      </c>
      <c r="DC23" s="35">
        <v>1.0</v>
      </c>
      <c r="DD23" s="35">
        <v>0.0</v>
      </c>
      <c r="DE23" s="35">
        <v>0.0</v>
      </c>
      <c r="DF23" s="36" t="s">
        <v>133</v>
      </c>
      <c r="DG23" s="53">
        <f t="shared" si="55"/>
        <v>13</v>
      </c>
      <c r="DH23" s="35">
        <v>2.0</v>
      </c>
      <c r="DI23" s="35">
        <v>0.0</v>
      </c>
      <c r="DJ23" s="35">
        <v>2.0</v>
      </c>
      <c r="DK23" s="35">
        <v>2.0</v>
      </c>
      <c r="DL23" s="46">
        <f t="shared" si="34"/>
        <v>83.33333333</v>
      </c>
      <c r="DM23" s="44">
        <f t="shared" si="35"/>
        <v>2</v>
      </c>
      <c r="DN23" s="44">
        <f t="shared" si="36"/>
        <v>2</v>
      </c>
      <c r="DO23" s="44">
        <f t="shared" si="37"/>
        <v>3</v>
      </c>
      <c r="DP23" s="44">
        <f t="shared" si="38"/>
        <v>2</v>
      </c>
      <c r="DQ23" s="44">
        <f t="shared" si="39"/>
        <v>1</v>
      </c>
      <c r="DR23" s="44">
        <f t="shared" ref="DR23:DS23" si="62">(DH23)</f>
        <v>2</v>
      </c>
      <c r="DS23" s="44">
        <f t="shared" si="62"/>
        <v>0</v>
      </c>
      <c r="DT23" s="44">
        <f t="shared" si="41"/>
        <v>12</v>
      </c>
      <c r="DU23" s="44" t="str">
        <f t="shared" si="42"/>
        <v>poor sleep quality</v>
      </c>
      <c r="DV23" s="35">
        <v>0.0</v>
      </c>
      <c r="DW23" s="36" t="s">
        <v>133</v>
      </c>
      <c r="DX23" s="35" t="s">
        <v>213</v>
      </c>
      <c r="DY23" s="35">
        <v>1.0</v>
      </c>
      <c r="DZ23" s="35" t="s">
        <v>131</v>
      </c>
      <c r="EA23" s="35" t="s">
        <v>178</v>
      </c>
      <c r="EB23" s="35" t="s">
        <v>139</v>
      </c>
      <c r="EC23" s="36" t="s">
        <v>133</v>
      </c>
      <c r="ED23" s="35" t="s">
        <v>131</v>
      </c>
      <c r="EE23" s="35" t="s">
        <v>141</v>
      </c>
      <c r="EF23" s="35">
        <f t="shared" si="51"/>
        <v>795</v>
      </c>
      <c r="EG23" s="35">
        <f t="shared" si="52"/>
        <v>300</v>
      </c>
      <c r="EH23" s="47">
        <f t="shared" si="24"/>
        <v>28.398718</v>
      </c>
    </row>
    <row r="24" ht="15.75" customHeight="1">
      <c r="A24" s="35" t="s">
        <v>214</v>
      </c>
      <c r="B24" s="36" t="s">
        <v>175</v>
      </c>
      <c r="C24" s="37">
        <v>45051.0</v>
      </c>
      <c r="D24" s="48">
        <v>56.0</v>
      </c>
      <c r="E24" s="35" t="s">
        <v>130</v>
      </c>
      <c r="F24" s="35">
        <v>144.0</v>
      </c>
      <c r="G24" s="39">
        <v>47.0</v>
      </c>
      <c r="H24" s="40" t="s">
        <v>131</v>
      </c>
      <c r="I24" s="35">
        <v>2.0</v>
      </c>
      <c r="J24" s="41">
        <v>44409.0</v>
      </c>
      <c r="K24" s="35" t="s">
        <v>131</v>
      </c>
      <c r="L24" s="35">
        <v>1.0</v>
      </c>
      <c r="M24" s="41">
        <v>44562.0</v>
      </c>
      <c r="N24" s="35">
        <v>2.0</v>
      </c>
      <c r="O24" s="41">
        <v>44562.0</v>
      </c>
      <c r="P24" s="35" t="s">
        <v>132</v>
      </c>
      <c r="Q24" s="36" t="s">
        <v>133</v>
      </c>
      <c r="R24" s="36" t="s">
        <v>133</v>
      </c>
      <c r="S24" s="36" t="s">
        <v>133</v>
      </c>
      <c r="T24" s="36" t="s">
        <v>133</v>
      </c>
      <c r="U24" s="36" t="s">
        <v>133</v>
      </c>
      <c r="V24" s="36" t="str">
        <f t="shared" si="2"/>
        <v>Paciente ambulatorio</v>
      </c>
      <c r="W24" s="35" t="s">
        <v>183</v>
      </c>
      <c r="X24" s="35" t="s">
        <v>132</v>
      </c>
      <c r="Y24" s="35">
        <v>1.0</v>
      </c>
      <c r="Z24" s="35">
        <v>1.0</v>
      </c>
      <c r="AA24" s="35">
        <v>3.0</v>
      </c>
      <c r="AB24" s="35">
        <v>3.0</v>
      </c>
      <c r="AC24" s="35">
        <v>3.0</v>
      </c>
      <c r="AD24" s="35">
        <v>1.0</v>
      </c>
      <c r="AE24" s="35">
        <v>1.0</v>
      </c>
      <c r="AF24" s="35">
        <v>3.0</v>
      </c>
      <c r="AG24" s="35">
        <v>3.0</v>
      </c>
      <c r="AH24" s="35">
        <v>1.0</v>
      </c>
      <c r="AI24" s="35">
        <v>1.0</v>
      </c>
      <c r="AJ24" s="35">
        <v>3.0</v>
      </c>
      <c r="AK24" s="39" t="s">
        <v>215</v>
      </c>
      <c r="AL24" s="40" t="s">
        <v>132</v>
      </c>
      <c r="AM24" s="35" t="s">
        <v>132</v>
      </c>
      <c r="AN24" s="35" t="s">
        <v>132</v>
      </c>
      <c r="AO24" s="35" t="s">
        <v>131</v>
      </c>
      <c r="AP24" s="35" t="s">
        <v>132</v>
      </c>
      <c r="AQ24" s="35" t="s">
        <v>132</v>
      </c>
      <c r="AR24" s="35" t="s">
        <v>132</v>
      </c>
      <c r="AS24" s="35" t="s">
        <v>132</v>
      </c>
      <c r="AT24" s="35" t="s">
        <v>132</v>
      </c>
      <c r="AU24" s="35" t="s">
        <v>132</v>
      </c>
      <c r="AV24" s="35" t="s">
        <v>131</v>
      </c>
      <c r="AW24" s="35" t="s">
        <v>216</v>
      </c>
      <c r="AX24" s="35" t="s">
        <v>131</v>
      </c>
      <c r="AY24" s="35">
        <v>5.0</v>
      </c>
      <c r="AZ24" s="35">
        <v>1.0</v>
      </c>
      <c r="BA24" s="36" t="s">
        <v>133</v>
      </c>
      <c r="BB24" s="35" t="s">
        <v>135</v>
      </c>
      <c r="BC24" s="39">
        <v>1.0</v>
      </c>
      <c r="BD24" s="40">
        <v>1.0</v>
      </c>
      <c r="BE24" s="35">
        <v>1.0</v>
      </c>
      <c r="BF24" s="35">
        <v>1.0</v>
      </c>
      <c r="BG24" s="35">
        <v>3.0</v>
      </c>
      <c r="BH24" s="35">
        <v>2.0</v>
      </c>
      <c r="BI24" s="44" t="str">
        <f t="shared" si="3"/>
        <v>11132</v>
      </c>
      <c r="BJ24" s="35">
        <v>70.0</v>
      </c>
      <c r="BK24" s="35">
        <v>2.0</v>
      </c>
      <c r="BL24" s="35">
        <v>3.0</v>
      </c>
      <c r="BM24" s="35">
        <v>1.0</v>
      </c>
      <c r="BN24" s="35">
        <v>3.0</v>
      </c>
      <c r="BO24" s="35">
        <v>3.0</v>
      </c>
      <c r="BP24" s="35">
        <v>1.0</v>
      </c>
      <c r="BQ24" s="35">
        <v>1.0</v>
      </c>
      <c r="BR24" s="35">
        <v>3.0</v>
      </c>
      <c r="BS24" s="35">
        <v>2.0</v>
      </c>
      <c r="BT24" s="35">
        <v>5.0</v>
      </c>
      <c r="BU24" s="44">
        <f t="shared" si="4"/>
        <v>3</v>
      </c>
      <c r="BV24" s="44">
        <f t="shared" si="5"/>
        <v>1</v>
      </c>
      <c r="BW24" s="44">
        <f t="shared" si="53"/>
        <v>22</v>
      </c>
      <c r="BX24" s="44" t="str">
        <f t="shared" si="7"/>
        <v>FATIGA</v>
      </c>
      <c r="BY24" s="35">
        <v>6.0</v>
      </c>
      <c r="BZ24" s="35">
        <v>1.0</v>
      </c>
      <c r="CA24" s="35">
        <v>30.0</v>
      </c>
      <c r="CB24" s="35">
        <v>0.0</v>
      </c>
      <c r="CC24" s="35">
        <v>0.0</v>
      </c>
      <c r="CD24" s="35">
        <v>0.0</v>
      </c>
      <c r="CE24" s="35">
        <v>7.0</v>
      </c>
      <c r="CF24" s="35">
        <v>0.0</v>
      </c>
      <c r="CG24" s="35">
        <v>30.0</v>
      </c>
      <c r="CH24" s="35">
        <v>0.0</v>
      </c>
      <c r="CI24" s="35">
        <v>30.0</v>
      </c>
      <c r="CJ24" s="44">
        <f t="shared" si="27"/>
        <v>5013</v>
      </c>
      <c r="CK24" s="44">
        <f t="shared" si="28"/>
        <v>13</v>
      </c>
      <c r="CL24" s="44" t="str">
        <f t="shared" si="29"/>
        <v>Nivel de actividad física alto</v>
      </c>
      <c r="CM24" s="44" t="str">
        <f t="shared" si="30"/>
        <v>Nivel de actividad física moderado</v>
      </c>
      <c r="CN24" s="45" t="str">
        <f t="shared" si="31"/>
        <v>Nivel de actividad física alto</v>
      </c>
      <c r="CO24" s="35">
        <v>1.0</v>
      </c>
      <c r="CP24" s="35">
        <v>40.0</v>
      </c>
      <c r="CQ24" s="44">
        <f t="shared" si="32"/>
        <v>2</v>
      </c>
      <c r="CR24" s="35">
        <v>6.0</v>
      </c>
      <c r="CS24" s="35">
        <v>0.0</v>
      </c>
      <c r="CT24" s="35">
        <v>5.0</v>
      </c>
      <c r="CU24" s="35">
        <v>3.0</v>
      </c>
      <c r="CV24" s="35">
        <v>3.0</v>
      </c>
      <c r="CW24" s="35">
        <v>3.0</v>
      </c>
      <c r="CX24" s="35">
        <v>0.0</v>
      </c>
      <c r="CY24" s="35">
        <v>0.0</v>
      </c>
      <c r="CZ24" s="35">
        <v>0.0</v>
      </c>
      <c r="DA24" s="35">
        <v>0.0</v>
      </c>
      <c r="DB24" s="35">
        <v>0.0</v>
      </c>
      <c r="DC24" s="35">
        <v>1.0</v>
      </c>
      <c r="DD24" s="35">
        <v>3.0</v>
      </c>
      <c r="DE24" s="35">
        <v>0.0</v>
      </c>
      <c r="DF24" s="36" t="s">
        <v>133</v>
      </c>
      <c r="DG24" s="53">
        <f t="shared" si="55"/>
        <v>7</v>
      </c>
      <c r="DH24" s="35">
        <v>2.0</v>
      </c>
      <c r="DI24" s="35">
        <v>0.0</v>
      </c>
      <c r="DJ24" s="35">
        <v>2.0</v>
      </c>
      <c r="DK24" s="35">
        <v>2.0</v>
      </c>
      <c r="DL24" s="46">
        <f t="shared" si="34"/>
        <v>60</v>
      </c>
      <c r="DM24" s="44">
        <f t="shared" si="35"/>
        <v>3</v>
      </c>
      <c r="DN24" s="44">
        <f t="shared" si="36"/>
        <v>1</v>
      </c>
      <c r="DO24" s="44">
        <f t="shared" si="37"/>
        <v>3</v>
      </c>
      <c r="DP24" s="44">
        <f t="shared" si="38"/>
        <v>2</v>
      </c>
      <c r="DQ24" s="44">
        <f t="shared" si="39"/>
        <v>3</v>
      </c>
      <c r="DR24" s="44">
        <f t="shared" ref="DR24:DS24" si="63">(DH24)</f>
        <v>2</v>
      </c>
      <c r="DS24" s="44">
        <f t="shared" si="63"/>
        <v>0</v>
      </c>
      <c r="DT24" s="44">
        <f t="shared" si="41"/>
        <v>14</v>
      </c>
      <c r="DU24" s="44" t="str">
        <f t="shared" si="42"/>
        <v>poor sleep quality</v>
      </c>
      <c r="DV24" s="35">
        <v>1.0</v>
      </c>
      <c r="DW24" s="35" t="s">
        <v>136</v>
      </c>
      <c r="DX24" s="35" t="s">
        <v>146</v>
      </c>
      <c r="DY24" s="35">
        <v>1.0</v>
      </c>
      <c r="DZ24" s="35" t="s">
        <v>131</v>
      </c>
      <c r="EA24" s="35" t="s">
        <v>178</v>
      </c>
      <c r="EB24" s="35" t="s">
        <v>198</v>
      </c>
      <c r="EC24" s="35" t="s">
        <v>131</v>
      </c>
      <c r="ED24" s="35" t="s">
        <v>132</v>
      </c>
      <c r="EE24" s="35" t="s">
        <v>140</v>
      </c>
      <c r="EF24" s="35">
        <f t="shared" si="51"/>
        <v>489</v>
      </c>
      <c r="EG24" s="35">
        <f t="shared" si="52"/>
        <v>489</v>
      </c>
      <c r="EH24" s="47">
        <f t="shared" si="24"/>
        <v>22.66589506</v>
      </c>
    </row>
    <row r="25" ht="15.75" customHeight="1">
      <c r="A25" s="35" t="s">
        <v>217</v>
      </c>
      <c r="B25" s="36" t="s">
        <v>175</v>
      </c>
      <c r="C25" s="37">
        <v>45054.0</v>
      </c>
      <c r="D25" s="48">
        <v>49.0</v>
      </c>
      <c r="E25" s="35" t="s">
        <v>130</v>
      </c>
      <c r="F25" s="35">
        <v>171.0</v>
      </c>
      <c r="G25" s="39">
        <v>81.0</v>
      </c>
      <c r="H25" s="40" t="s">
        <v>131</v>
      </c>
      <c r="I25" s="35">
        <v>3.0</v>
      </c>
      <c r="J25" s="41">
        <v>44706.0</v>
      </c>
      <c r="K25" s="35" t="s">
        <v>131</v>
      </c>
      <c r="L25" s="35">
        <v>0.0</v>
      </c>
      <c r="M25" s="41">
        <v>44317.0</v>
      </c>
      <c r="N25" s="36" t="s">
        <v>133</v>
      </c>
      <c r="O25" s="41">
        <v>44317.0</v>
      </c>
      <c r="P25" s="35" t="s">
        <v>132</v>
      </c>
      <c r="Q25" s="36" t="s">
        <v>133</v>
      </c>
      <c r="R25" s="36" t="s">
        <v>133</v>
      </c>
      <c r="S25" s="36" t="s">
        <v>133</v>
      </c>
      <c r="T25" s="36" t="s">
        <v>133</v>
      </c>
      <c r="U25" s="36" t="s">
        <v>133</v>
      </c>
      <c r="V25" s="36" t="str">
        <f t="shared" si="2"/>
        <v>Paciente ambulatorio</v>
      </c>
      <c r="W25" s="35" t="s">
        <v>176</v>
      </c>
      <c r="X25" s="35" t="s">
        <v>132</v>
      </c>
      <c r="Y25" s="35">
        <v>1.0</v>
      </c>
      <c r="Z25" s="35">
        <v>1.0</v>
      </c>
      <c r="AA25" s="35">
        <v>2.0</v>
      </c>
      <c r="AB25" s="35">
        <v>3.0</v>
      </c>
      <c r="AC25" s="35">
        <v>1.0</v>
      </c>
      <c r="AD25" s="35">
        <v>1.0</v>
      </c>
      <c r="AE25" s="35">
        <v>1.0</v>
      </c>
      <c r="AF25" s="35">
        <v>1.0</v>
      </c>
      <c r="AG25" s="35">
        <v>1.0</v>
      </c>
      <c r="AH25" s="35">
        <v>1.0</v>
      </c>
      <c r="AI25" s="35">
        <v>1.0</v>
      </c>
      <c r="AJ25" s="35">
        <v>1.0</v>
      </c>
      <c r="AK25" s="36" t="s">
        <v>133</v>
      </c>
      <c r="AL25" s="40" t="s">
        <v>131</v>
      </c>
      <c r="AM25" s="35" t="s">
        <v>132</v>
      </c>
      <c r="AN25" s="35" t="s">
        <v>132</v>
      </c>
      <c r="AO25" s="35" t="s">
        <v>132</v>
      </c>
      <c r="AP25" s="35" t="s">
        <v>132</v>
      </c>
      <c r="AQ25" s="35" t="s">
        <v>132</v>
      </c>
      <c r="AR25" s="35" t="s">
        <v>132</v>
      </c>
      <c r="AS25" s="35" t="s">
        <v>131</v>
      </c>
      <c r="AT25" s="35" t="s">
        <v>132</v>
      </c>
      <c r="AU25" s="35" t="s">
        <v>132</v>
      </c>
      <c r="AV25" s="35" t="s">
        <v>131</v>
      </c>
      <c r="AW25" s="35" t="s">
        <v>218</v>
      </c>
      <c r="AX25" s="35" t="s">
        <v>165</v>
      </c>
      <c r="AY25" s="36" t="s">
        <v>133</v>
      </c>
      <c r="AZ25" s="36" t="s">
        <v>133</v>
      </c>
      <c r="BA25" s="35">
        <v>20.0</v>
      </c>
      <c r="BB25" s="35" t="s">
        <v>145</v>
      </c>
      <c r="BC25" s="36" t="s">
        <v>133</v>
      </c>
      <c r="BD25" s="40">
        <v>1.0</v>
      </c>
      <c r="BE25" s="35">
        <v>1.0</v>
      </c>
      <c r="BF25" s="35">
        <v>2.0</v>
      </c>
      <c r="BG25" s="35">
        <v>2.0</v>
      </c>
      <c r="BH25" s="35">
        <v>4.0</v>
      </c>
      <c r="BI25" s="44" t="str">
        <f t="shared" si="3"/>
        <v>11224</v>
      </c>
      <c r="BJ25" s="35">
        <v>60.0</v>
      </c>
      <c r="BK25" s="35">
        <v>4.0</v>
      </c>
      <c r="BL25" s="35">
        <v>5.0</v>
      </c>
      <c r="BM25" s="35">
        <v>4.0</v>
      </c>
      <c r="BN25" s="35">
        <v>3.0</v>
      </c>
      <c r="BO25" s="35">
        <v>4.0</v>
      </c>
      <c r="BP25" s="35">
        <v>3.0</v>
      </c>
      <c r="BQ25" s="35">
        <v>1.0</v>
      </c>
      <c r="BR25" s="35">
        <v>4.0</v>
      </c>
      <c r="BS25" s="35">
        <v>5.0</v>
      </c>
      <c r="BT25" s="35">
        <v>2.0</v>
      </c>
      <c r="BU25" s="44">
        <f t="shared" si="4"/>
        <v>3</v>
      </c>
      <c r="BV25" s="44">
        <f t="shared" si="5"/>
        <v>4</v>
      </c>
      <c r="BW25" s="44">
        <f t="shared" si="53"/>
        <v>36</v>
      </c>
      <c r="BX25" s="44" t="str">
        <f t="shared" si="7"/>
        <v>FATIGA EXTREMA</v>
      </c>
      <c r="BY25" s="35">
        <v>0.0</v>
      </c>
      <c r="BZ25" s="35">
        <v>0.0</v>
      </c>
      <c r="CA25" s="35">
        <v>0.0</v>
      </c>
      <c r="CB25" s="35">
        <v>0.0</v>
      </c>
      <c r="CC25" s="35">
        <v>0.0</v>
      </c>
      <c r="CD25" s="35">
        <v>0.0</v>
      </c>
      <c r="CE25" s="35">
        <v>0.0</v>
      </c>
      <c r="CF25" s="35">
        <v>0.0</v>
      </c>
      <c r="CG25" s="35">
        <v>0.0</v>
      </c>
      <c r="CH25" s="35">
        <v>10.0</v>
      </c>
      <c r="CI25" s="35">
        <v>0.0</v>
      </c>
      <c r="CJ25" s="44">
        <f t="shared" si="27"/>
        <v>0</v>
      </c>
      <c r="CK25" s="44">
        <f t="shared" si="28"/>
        <v>0</v>
      </c>
      <c r="CL25" s="44" t="b">
        <f t="shared" si="29"/>
        <v>0</v>
      </c>
      <c r="CM25" s="44" t="b">
        <f t="shared" si="30"/>
        <v>0</v>
      </c>
      <c r="CN25" s="45" t="str">
        <f t="shared" si="31"/>
        <v>Nivel de actividad física bajo</v>
      </c>
      <c r="CO25" s="35">
        <v>22.0</v>
      </c>
      <c r="CP25" s="35">
        <v>60.0</v>
      </c>
      <c r="CQ25" s="44">
        <f t="shared" si="32"/>
        <v>2</v>
      </c>
      <c r="CR25" s="35">
        <v>9.0</v>
      </c>
      <c r="CS25" s="35">
        <v>0.0</v>
      </c>
      <c r="CT25" s="35">
        <v>11.0</v>
      </c>
      <c r="CU25" s="35">
        <v>5.0</v>
      </c>
      <c r="CV25" s="35">
        <v>2.0</v>
      </c>
      <c r="CW25" s="35">
        <v>3.0</v>
      </c>
      <c r="CX25" s="35">
        <v>1.0</v>
      </c>
      <c r="CY25" s="35">
        <v>2.0</v>
      </c>
      <c r="CZ25" s="35">
        <v>1.0</v>
      </c>
      <c r="DA25" s="35">
        <v>0.0</v>
      </c>
      <c r="DB25" s="35">
        <v>3.0</v>
      </c>
      <c r="DC25" s="35">
        <v>0.0</v>
      </c>
      <c r="DD25" s="35">
        <v>1.0</v>
      </c>
      <c r="DE25" s="35">
        <v>2.0</v>
      </c>
      <c r="DF25" s="36" t="s">
        <v>133</v>
      </c>
      <c r="DG25" s="53">
        <f t="shared" si="55"/>
        <v>13</v>
      </c>
      <c r="DH25" s="35">
        <v>2.0</v>
      </c>
      <c r="DI25" s="35">
        <v>0.0</v>
      </c>
      <c r="DJ25" s="35">
        <v>2.0</v>
      </c>
      <c r="DK25" s="35">
        <v>3.0</v>
      </c>
      <c r="DL25" s="46">
        <f t="shared" si="34"/>
        <v>45.45454545</v>
      </c>
      <c r="DM25" s="44">
        <f t="shared" si="35"/>
        <v>2</v>
      </c>
      <c r="DN25" s="44">
        <f t="shared" si="36"/>
        <v>2</v>
      </c>
      <c r="DO25" s="44">
        <f t="shared" si="37"/>
        <v>2</v>
      </c>
      <c r="DP25" s="44">
        <f t="shared" si="38"/>
        <v>3</v>
      </c>
      <c r="DQ25" s="44">
        <f t="shared" si="39"/>
        <v>3</v>
      </c>
      <c r="DR25" s="44">
        <f t="shared" ref="DR25:DS25" si="64">(DH25)</f>
        <v>2</v>
      </c>
      <c r="DS25" s="44">
        <f t="shared" si="64"/>
        <v>0</v>
      </c>
      <c r="DT25" s="44">
        <f t="shared" si="41"/>
        <v>14</v>
      </c>
      <c r="DU25" s="44" t="str">
        <f t="shared" si="42"/>
        <v>poor sleep quality</v>
      </c>
      <c r="DV25" s="35">
        <v>1.0</v>
      </c>
      <c r="DW25" s="35" t="s">
        <v>136</v>
      </c>
      <c r="DX25" s="35" t="s">
        <v>137</v>
      </c>
      <c r="DY25" s="35">
        <v>1.0</v>
      </c>
      <c r="DZ25" s="35" t="s">
        <v>131</v>
      </c>
      <c r="EA25" s="35" t="s">
        <v>147</v>
      </c>
      <c r="EB25" s="35" t="s">
        <v>219</v>
      </c>
      <c r="EC25" s="35" t="s">
        <v>131</v>
      </c>
      <c r="ED25" s="36" t="s">
        <v>133</v>
      </c>
      <c r="EE25" s="35" t="s">
        <v>141</v>
      </c>
      <c r="EF25" s="35">
        <f t="shared" si="51"/>
        <v>737</v>
      </c>
      <c r="EG25" s="35">
        <f t="shared" si="52"/>
        <v>737</v>
      </c>
      <c r="EH25" s="47">
        <f t="shared" si="24"/>
        <v>27.70083102</v>
      </c>
    </row>
    <row r="26" ht="15.75" customHeight="1">
      <c r="A26" s="35" t="s">
        <v>220</v>
      </c>
      <c r="B26" s="36" t="s">
        <v>175</v>
      </c>
      <c r="C26" s="37">
        <v>45054.0</v>
      </c>
      <c r="D26" s="48">
        <v>25.0</v>
      </c>
      <c r="E26" s="35" t="s">
        <v>153</v>
      </c>
      <c r="F26" s="35">
        <v>160.0</v>
      </c>
      <c r="G26" s="39">
        <v>55.0</v>
      </c>
      <c r="H26" s="40" t="s">
        <v>131</v>
      </c>
      <c r="I26" s="35">
        <v>5.0</v>
      </c>
      <c r="J26" s="41">
        <v>44927.0</v>
      </c>
      <c r="K26" s="35" t="s">
        <v>131</v>
      </c>
      <c r="L26" s="35">
        <v>1.0</v>
      </c>
      <c r="M26" s="41">
        <v>44256.0</v>
      </c>
      <c r="N26" s="35">
        <v>0.0</v>
      </c>
      <c r="O26" s="41">
        <v>44256.0</v>
      </c>
      <c r="P26" s="35" t="s">
        <v>132</v>
      </c>
      <c r="Q26" s="36" t="s">
        <v>133</v>
      </c>
      <c r="R26" s="36" t="s">
        <v>133</v>
      </c>
      <c r="S26" s="36" t="s">
        <v>133</v>
      </c>
      <c r="T26" s="36" t="s">
        <v>133</v>
      </c>
      <c r="U26" s="36" t="s">
        <v>133</v>
      </c>
      <c r="V26" s="36" t="str">
        <f t="shared" si="2"/>
        <v>Paciente ambulatorio</v>
      </c>
      <c r="W26" s="35" t="s">
        <v>183</v>
      </c>
      <c r="X26" s="35" t="s">
        <v>132</v>
      </c>
      <c r="Y26" s="35">
        <v>3.0</v>
      </c>
      <c r="Z26" s="35">
        <v>3.0</v>
      </c>
      <c r="AA26" s="35">
        <v>3.0</v>
      </c>
      <c r="AB26" s="35">
        <v>3.0</v>
      </c>
      <c r="AC26" s="35">
        <v>3.0</v>
      </c>
      <c r="AD26" s="35">
        <v>3.0</v>
      </c>
      <c r="AE26" s="35">
        <v>3.0</v>
      </c>
      <c r="AF26" s="35">
        <v>1.0</v>
      </c>
      <c r="AG26" s="35">
        <v>2.0</v>
      </c>
      <c r="AH26" s="35">
        <v>3.0</v>
      </c>
      <c r="AI26" s="35">
        <v>1.0</v>
      </c>
      <c r="AJ26" s="35">
        <v>1.0</v>
      </c>
      <c r="AK26" s="36" t="s">
        <v>133</v>
      </c>
      <c r="AL26" s="40" t="s">
        <v>132</v>
      </c>
      <c r="AM26" s="35" t="s">
        <v>132</v>
      </c>
      <c r="AN26" s="35" t="s">
        <v>132</v>
      </c>
      <c r="AO26" s="35" t="s">
        <v>132</v>
      </c>
      <c r="AP26" s="35" t="s">
        <v>132</v>
      </c>
      <c r="AQ26" s="35" t="s">
        <v>132</v>
      </c>
      <c r="AR26" s="35" t="s">
        <v>132</v>
      </c>
      <c r="AS26" s="35" t="s">
        <v>132</v>
      </c>
      <c r="AT26" s="35" t="s">
        <v>132</v>
      </c>
      <c r="AU26" s="35" t="s">
        <v>132</v>
      </c>
      <c r="AV26" s="35" t="s">
        <v>132</v>
      </c>
      <c r="AW26" s="35" t="s">
        <v>221</v>
      </c>
      <c r="AX26" s="35" t="s">
        <v>132</v>
      </c>
      <c r="AY26" s="36" t="s">
        <v>133</v>
      </c>
      <c r="AZ26" s="36" t="s">
        <v>133</v>
      </c>
      <c r="BA26" s="36" t="s">
        <v>133</v>
      </c>
      <c r="BB26" s="35" t="s">
        <v>145</v>
      </c>
      <c r="BC26" s="36" t="s">
        <v>133</v>
      </c>
      <c r="BD26" s="40">
        <v>1.0</v>
      </c>
      <c r="BE26" s="35">
        <v>1.0</v>
      </c>
      <c r="BF26" s="35">
        <v>2.0</v>
      </c>
      <c r="BG26" s="35">
        <v>1.0</v>
      </c>
      <c r="BH26" s="35">
        <v>1.0</v>
      </c>
      <c r="BI26" s="44" t="str">
        <f t="shared" si="3"/>
        <v>11211</v>
      </c>
      <c r="BJ26" s="35">
        <v>55.0</v>
      </c>
      <c r="BK26" s="35">
        <v>1.0</v>
      </c>
      <c r="BL26" s="35">
        <v>1.0</v>
      </c>
      <c r="BM26" s="35">
        <v>1.0</v>
      </c>
      <c r="BN26" s="35">
        <v>5.0</v>
      </c>
      <c r="BO26" s="35">
        <v>1.0</v>
      </c>
      <c r="BP26" s="35">
        <v>1.0</v>
      </c>
      <c r="BQ26" s="35">
        <v>4.0</v>
      </c>
      <c r="BR26" s="35">
        <v>1.0</v>
      </c>
      <c r="BS26" s="35">
        <v>3.0</v>
      </c>
      <c r="BT26" s="35">
        <v>1.0</v>
      </c>
      <c r="BU26" s="44">
        <f t="shared" si="4"/>
        <v>1</v>
      </c>
      <c r="BV26" s="44">
        <f t="shared" si="5"/>
        <v>5</v>
      </c>
      <c r="BW26" s="44">
        <f t="shared" si="53"/>
        <v>19</v>
      </c>
      <c r="BX26" s="44" t="str">
        <f t="shared" si="7"/>
        <v>NO HAY FATIGA</v>
      </c>
      <c r="BY26" s="35">
        <v>3.0</v>
      </c>
      <c r="BZ26" s="35">
        <v>1.0</v>
      </c>
      <c r="CA26" s="35">
        <v>15.0</v>
      </c>
      <c r="CB26" s="35">
        <v>1.0</v>
      </c>
      <c r="CC26" s="35">
        <v>0.0</v>
      </c>
      <c r="CD26" s="35">
        <v>30.0</v>
      </c>
      <c r="CE26" s="35">
        <v>7.0</v>
      </c>
      <c r="CF26" s="35">
        <v>0.0</v>
      </c>
      <c r="CG26" s="35">
        <v>15.0</v>
      </c>
      <c r="CH26" s="35">
        <v>10.0</v>
      </c>
      <c r="CI26" s="35">
        <v>0.0</v>
      </c>
      <c r="CJ26" s="44">
        <f t="shared" si="27"/>
        <v>2266.5</v>
      </c>
      <c r="CK26" s="44">
        <f t="shared" si="28"/>
        <v>11</v>
      </c>
      <c r="CL26" s="44" t="str">
        <f t="shared" si="29"/>
        <v>Nivel de actividad física alto</v>
      </c>
      <c r="CM26" s="44" t="str">
        <f t="shared" si="30"/>
        <v>Nivel de actividad física moderado</v>
      </c>
      <c r="CN26" s="45" t="str">
        <f t="shared" si="31"/>
        <v>Nivel de actividad física alto</v>
      </c>
      <c r="CO26" s="51">
        <v>0.9375</v>
      </c>
      <c r="CP26" s="35">
        <v>20.0</v>
      </c>
      <c r="CQ26" s="44">
        <f t="shared" si="32"/>
        <v>1</v>
      </c>
      <c r="CR26" s="35">
        <v>7.0</v>
      </c>
      <c r="CS26" s="35">
        <v>0.0</v>
      </c>
      <c r="CT26" s="35">
        <v>8.5</v>
      </c>
      <c r="CU26" s="35">
        <v>7.0</v>
      </c>
      <c r="CV26" s="35">
        <v>0.0</v>
      </c>
      <c r="CW26" s="35">
        <v>0.0</v>
      </c>
      <c r="CX26" s="35">
        <v>0.0</v>
      </c>
      <c r="CY26" s="35">
        <v>0.0</v>
      </c>
      <c r="CZ26" s="35">
        <v>0.0</v>
      </c>
      <c r="DA26" s="35">
        <v>0.0</v>
      </c>
      <c r="DB26" s="35">
        <v>0.0</v>
      </c>
      <c r="DC26" s="35">
        <v>0.0</v>
      </c>
      <c r="DD26" s="35">
        <v>0.0</v>
      </c>
      <c r="DE26" s="35">
        <v>0.0</v>
      </c>
      <c r="DF26" s="36" t="s">
        <v>133</v>
      </c>
      <c r="DG26" s="53">
        <f t="shared" si="55"/>
        <v>0</v>
      </c>
      <c r="DH26" s="35">
        <v>1.0</v>
      </c>
      <c r="DI26" s="35">
        <v>0.0</v>
      </c>
      <c r="DJ26" s="35">
        <v>0.0</v>
      </c>
      <c r="DK26" s="35">
        <v>0.0</v>
      </c>
      <c r="DL26" s="46">
        <f t="shared" si="34"/>
        <v>82.35294118</v>
      </c>
      <c r="DM26" s="44">
        <f t="shared" si="35"/>
        <v>0</v>
      </c>
      <c r="DN26" s="44">
        <f t="shared" si="36"/>
        <v>0</v>
      </c>
      <c r="DO26" s="44">
        <f t="shared" si="37"/>
        <v>1</v>
      </c>
      <c r="DP26" s="44">
        <f t="shared" si="38"/>
        <v>0</v>
      </c>
      <c r="DQ26" s="44">
        <f t="shared" si="39"/>
        <v>1</v>
      </c>
      <c r="DR26" s="44">
        <f t="shared" ref="DR26:DS26" si="65">(DH26)</f>
        <v>1</v>
      </c>
      <c r="DS26" s="44">
        <f t="shared" si="65"/>
        <v>0</v>
      </c>
      <c r="DT26" s="44">
        <f t="shared" si="41"/>
        <v>3</v>
      </c>
      <c r="DU26" s="44" t="str">
        <f t="shared" si="42"/>
        <v>good sleep quality</v>
      </c>
      <c r="DV26" s="35">
        <v>1.0</v>
      </c>
      <c r="DW26" s="35" t="s">
        <v>197</v>
      </c>
      <c r="DX26" s="35" t="s">
        <v>137</v>
      </c>
      <c r="DY26" s="35">
        <v>1.0</v>
      </c>
      <c r="DZ26" s="35" t="s">
        <v>131</v>
      </c>
      <c r="EA26" s="35" t="s">
        <v>167</v>
      </c>
      <c r="EB26" s="35" t="s">
        <v>222</v>
      </c>
      <c r="EC26" s="35" t="s">
        <v>131</v>
      </c>
      <c r="ED26" s="36" t="s">
        <v>133</v>
      </c>
      <c r="EE26" s="35" t="s">
        <v>141</v>
      </c>
      <c r="EF26" s="35">
        <f t="shared" si="51"/>
        <v>798</v>
      </c>
      <c r="EG26" s="35">
        <f t="shared" si="52"/>
        <v>798</v>
      </c>
      <c r="EH26" s="47">
        <f t="shared" si="24"/>
        <v>21.484375</v>
      </c>
    </row>
    <row r="27" ht="15.75" customHeight="1">
      <c r="A27" s="35" t="s">
        <v>223</v>
      </c>
      <c r="B27" s="36" t="s">
        <v>175</v>
      </c>
      <c r="C27" s="37">
        <v>45054.0</v>
      </c>
      <c r="D27" s="48">
        <v>47.0</v>
      </c>
      <c r="E27" s="35" t="s">
        <v>130</v>
      </c>
      <c r="F27" s="35">
        <v>170.0</v>
      </c>
      <c r="G27" s="39">
        <v>88.0</v>
      </c>
      <c r="H27" s="40" t="s">
        <v>131</v>
      </c>
      <c r="I27" s="35">
        <v>4.0</v>
      </c>
      <c r="J27" s="41">
        <v>44817.0</v>
      </c>
      <c r="K27" s="35" t="s">
        <v>131</v>
      </c>
      <c r="L27" s="35">
        <v>2.0</v>
      </c>
      <c r="M27" s="41">
        <v>44294.0</v>
      </c>
      <c r="N27" s="35">
        <v>0.0</v>
      </c>
      <c r="O27" s="41">
        <v>44682.0</v>
      </c>
      <c r="P27" s="35" t="s">
        <v>131</v>
      </c>
      <c r="Q27" s="56">
        <v>44294.0</v>
      </c>
      <c r="R27" s="56">
        <v>44341.0</v>
      </c>
      <c r="S27" s="35" t="s">
        <v>132</v>
      </c>
      <c r="T27" s="36" t="s">
        <v>133</v>
      </c>
      <c r="U27" s="35" t="s">
        <v>132</v>
      </c>
      <c r="V27" s="36" t="str">
        <f t="shared" si="2"/>
        <v>Internación moderada</v>
      </c>
      <c r="W27" s="35" t="s">
        <v>183</v>
      </c>
      <c r="X27" s="35" t="s">
        <v>132</v>
      </c>
      <c r="Y27" s="35">
        <v>3.0</v>
      </c>
      <c r="Z27" s="35">
        <v>1.0</v>
      </c>
      <c r="AA27" s="35">
        <v>3.0</v>
      </c>
      <c r="AB27" s="35">
        <v>3.0</v>
      </c>
      <c r="AC27" s="35">
        <v>1.0</v>
      </c>
      <c r="AD27" s="35">
        <v>1.0</v>
      </c>
      <c r="AE27" s="35">
        <v>1.0</v>
      </c>
      <c r="AF27" s="35">
        <v>1.0</v>
      </c>
      <c r="AG27" s="35">
        <v>1.0</v>
      </c>
      <c r="AH27" s="35">
        <v>1.0</v>
      </c>
      <c r="AI27" s="35">
        <v>1.0</v>
      </c>
      <c r="AJ27" s="35">
        <v>1.0</v>
      </c>
      <c r="AK27" s="39" t="s">
        <v>224</v>
      </c>
      <c r="AL27" s="40" t="s">
        <v>132</v>
      </c>
      <c r="AM27" s="35" t="s">
        <v>132</v>
      </c>
      <c r="AN27" s="35" t="s">
        <v>132</v>
      </c>
      <c r="AO27" s="50" t="s">
        <v>132</v>
      </c>
      <c r="AP27" s="35" t="s">
        <v>132</v>
      </c>
      <c r="AQ27" s="35" t="s">
        <v>132</v>
      </c>
      <c r="AR27" s="35" t="s">
        <v>132</v>
      </c>
      <c r="AS27" s="35" t="s">
        <v>132</v>
      </c>
      <c r="AT27" s="35" t="s">
        <v>132</v>
      </c>
      <c r="AU27" s="35" t="s">
        <v>132</v>
      </c>
      <c r="AV27" s="35" t="s">
        <v>131</v>
      </c>
      <c r="AW27" s="35" t="s">
        <v>225</v>
      </c>
      <c r="AX27" s="35" t="s">
        <v>132</v>
      </c>
      <c r="AY27" s="36" t="s">
        <v>133</v>
      </c>
      <c r="AZ27" s="36" t="s">
        <v>133</v>
      </c>
      <c r="BA27" s="36" t="s">
        <v>133</v>
      </c>
      <c r="BB27" s="35" t="s">
        <v>145</v>
      </c>
      <c r="BC27" s="36" t="s">
        <v>133</v>
      </c>
      <c r="BD27" s="40">
        <v>1.0</v>
      </c>
      <c r="BE27" s="35">
        <v>1.0</v>
      </c>
      <c r="BF27" s="35">
        <v>1.0</v>
      </c>
      <c r="BG27" s="35">
        <v>3.0</v>
      </c>
      <c r="BH27" s="35">
        <v>3.0</v>
      </c>
      <c r="BI27" s="44" t="str">
        <f t="shared" si="3"/>
        <v>11133</v>
      </c>
      <c r="BJ27" s="35">
        <v>70.0</v>
      </c>
      <c r="BK27" s="35">
        <v>2.0</v>
      </c>
      <c r="BL27" s="35">
        <v>1.0</v>
      </c>
      <c r="BM27" s="35">
        <v>1.0</v>
      </c>
      <c r="BN27" s="35">
        <v>5.0</v>
      </c>
      <c r="BO27" s="35">
        <v>2.0</v>
      </c>
      <c r="BP27" s="35">
        <v>4.0</v>
      </c>
      <c r="BQ27" s="35">
        <v>2.0</v>
      </c>
      <c r="BR27" s="35">
        <v>2.0</v>
      </c>
      <c r="BS27" s="35">
        <v>2.0</v>
      </c>
      <c r="BT27" s="35">
        <v>2.0</v>
      </c>
      <c r="BU27" s="44">
        <f t="shared" si="4"/>
        <v>1</v>
      </c>
      <c r="BV27" s="44">
        <f t="shared" si="5"/>
        <v>4</v>
      </c>
      <c r="BW27" s="44">
        <f t="shared" si="53"/>
        <v>22</v>
      </c>
      <c r="BX27" s="44" t="str">
        <f t="shared" si="7"/>
        <v>FATIGA</v>
      </c>
      <c r="BY27" s="35">
        <v>3.0</v>
      </c>
      <c r="BZ27" s="35">
        <v>1.0</v>
      </c>
      <c r="CA27" s="35">
        <v>0.0</v>
      </c>
      <c r="CB27" s="35">
        <v>6.0</v>
      </c>
      <c r="CC27" s="35">
        <v>4.0</v>
      </c>
      <c r="CD27" s="35">
        <v>0.0</v>
      </c>
      <c r="CE27" s="35">
        <v>6.0</v>
      </c>
      <c r="CF27" s="35">
        <v>0.0</v>
      </c>
      <c r="CG27" s="35">
        <v>40.0</v>
      </c>
      <c r="CH27" s="35">
        <v>2.0</v>
      </c>
      <c r="CI27" s="35">
        <v>0.0</v>
      </c>
      <c r="CJ27" s="44">
        <f t="shared" si="27"/>
        <v>7992</v>
      </c>
      <c r="CK27" s="44">
        <f t="shared" si="28"/>
        <v>15</v>
      </c>
      <c r="CL27" s="44" t="str">
        <f t="shared" si="29"/>
        <v>Nivel de actividad física alto</v>
      </c>
      <c r="CM27" s="44" t="str">
        <f t="shared" si="30"/>
        <v>Nivel de actividad física moderado</v>
      </c>
      <c r="CN27" s="45" t="str">
        <f t="shared" si="31"/>
        <v>Nivel de actividad física alto</v>
      </c>
      <c r="CO27" s="51">
        <v>0.9791666666666666</v>
      </c>
      <c r="CP27" s="35">
        <v>20.0</v>
      </c>
      <c r="CQ27" s="44">
        <f t="shared" si="32"/>
        <v>1</v>
      </c>
      <c r="CR27" s="35">
        <v>6.0</v>
      </c>
      <c r="CS27" s="35">
        <v>0.0</v>
      </c>
      <c r="CT27" s="35">
        <v>6.5</v>
      </c>
      <c r="CU27" s="35">
        <v>5.0</v>
      </c>
      <c r="CV27" s="35">
        <v>3.0</v>
      </c>
      <c r="CW27" s="35">
        <v>3.0</v>
      </c>
      <c r="CX27" s="35">
        <v>0.0</v>
      </c>
      <c r="CY27" s="35">
        <v>2.0</v>
      </c>
      <c r="CZ27" s="35">
        <v>0.0</v>
      </c>
      <c r="DA27" s="35">
        <v>0.0</v>
      </c>
      <c r="DB27" s="35">
        <v>2.0</v>
      </c>
      <c r="DC27" s="35">
        <v>1.0</v>
      </c>
      <c r="DD27" s="35">
        <v>3.0</v>
      </c>
      <c r="DE27" s="35">
        <v>0.0</v>
      </c>
      <c r="DF27" s="36" t="s">
        <v>133</v>
      </c>
      <c r="DG27" s="53">
        <f t="shared" si="55"/>
        <v>11</v>
      </c>
      <c r="DH27" s="35">
        <v>2.0</v>
      </c>
      <c r="DI27" s="35">
        <v>0.0</v>
      </c>
      <c r="DJ27" s="35">
        <v>3.0</v>
      </c>
      <c r="DK27" s="35">
        <v>2.0</v>
      </c>
      <c r="DL27" s="46">
        <f t="shared" si="34"/>
        <v>76.92307692</v>
      </c>
      <c r="DM27" s="44">
        <f t="shared" si="35"/>
        <v>2</v>
      </c>
      <c r="DN27" s="44">
        <f t="shared" si="36"/>
        <v>2</v>
      </c>
      <c r="DO27" s="44">
        <f t="shared" si="37"/>
        <v>2</v>
      </c>
      <c r="DP27" s="44">
        <f t="shared" si="38"/>
        <v>3</v>
      </c>
      <c r="DQ27" s="44">
        <f t="shared" si="39"/>
        <v>1</v>
      </c>
      <c r="DR27" s="44">
        <f t="shared" ref="DR27:DS27" si="66">(DH27)</f>
        <v>2</v>
      </c>
      <c r="DS27" s="44">
        <f t="shared" si="66"/>
        <v>0</v>
      </c>
      <c r="DT27" s="44">
        <f t="shared" si="41"/>
        <v>12</v>
      </c>
      <c r="DU27" s="44" t="str">
        <f t="shared" si="42"/>
        <v>poor sleep quality</v>
      </c>
      <c r="DV27" s="35">
        <v>1.0</v>
      </c>
      <c r="DW27" s="35" t="s">
        <v>155</v>
      </c>
      <c r="DX27" s="35" t="s">
        <v>146</v>
      </c>
      <c r="DY27" s="35">
        <v>1.0</v>
      </c>
      <c r="DZ27" s="35" t="s">
        <v>131</v>
      </c>
      <c r="EA27" s="35" t="s">
        <v>162</v>
      </c>
      <c r="EB27" s="35" t="s">
        <v>139</v>
      </c>
      <c r="EC27" s="35" t="s">
        <v>140</v>
      </c>
      <c r="ED27" s="35" t="s">
        <v>131</v>
      </c>
      <c r="EE27" s="35" t="s">
        <v>141</v>
      </c>
      <c r="EF27" s="35">
        <f t="shared" si="51"/>
        <v>760</v>
      </c>
      <c r="EG27" s="35">
        <f t="shared" si="52"/>
        <v>372</v>
      </c>
      <c r="EH27" s="47">
        <f t="shared" si="24"/>
        <v>30.44982699</v>
      </c>
    </row>
    <row r="28" ht="15.75" customHeight="1">
      <c r="A28" s="35" t="s">
        <v>226</v>
      </c>
      <c r="B28" s="36" t="s">
        <v>175</v>
      </c>
      <c r="C28" s="37">
        <v>45058.0</v>
      </c>
      <c r="D28" s="48">
        <v>45.0</v>
      </c>
      <c r="E28" s="35" t="s">
        <v>130</v>
      </c>
      <c r="F28" s="35">
        <v>159.0</v>
      </c>
      <c r="G28" s="39">
        <v>54.0</v>
      </c>
      <c r="H28" s="40" t="s">
        <v>131</v>
      </c>
      <c r="I28" s="35">
        <v>2.0</v>
      </c>
      <c r="J28" s="41">
        <v>44331.0</v>
      </c>
      <c r="K28" s="35" t="s">
        <v>131</v>
      </c>
      <c r="L28" s="35">
        <v>2.0</v>
      </c>
      <c r="M28" s="41">
        <v>43983.0</v>
      </c>
      <c r="N28" s="35">
        <v>0.0</v>
      </c>
      <c r="O28" s="41">
        <v>44348.0</v>
      </c>
      <c r="P28" s="35" t="s">
        <v>132</v>
      </c>
      <c r="Q28" s="36" t="s">
        <v>133</v>
      </c>
      <c r="R28" s="36" t="s">
        <v>133</v>
      </c>
      <c r="S28" s="36" t="s">
        <v>133</v>
      </c>
      <c r="T28" s="36" t="s">
        <v>133</v>
      </c>
      <c r="U28" s="36" t="s">
        <v>133</v>
      </c>
      <c r="V28" s="36" t="str">
        <f t="shared" si="2"/>
        <v>Paciente ambulatorio</v>
      </c>
      <c r="W28" s="35" t="s">
        <v>183</v>
      </c>
      <c r="X28" s="35" t="s">
        <v>132</v>
      </c>
      <c r="Y28" s="35">
        <v>2.0</v>
      </c>
      <c r="Z28" s="35">
        <v>1.0</v>
      </c>
      <c r="AA28" s="35">
        <v>1.0</v>
      </c>
      <c r="AB28" s="35">
        <v>1.0</v>
      </c>
      <c r="AC28" s="35">
        <v>1.0</v>
      </c>
      <c r="AD28" s="35">
        <v>1.0</v>
      </c>
      <c r="AE28" s="35">
        <v>2.0</v>
      </c>
      <c r="AF28" s="35">
        <v>1.0</v>
      </c>
      <c r="AG28" s="35">
        <v>1.0</v>
      </c>
      <c r="AH28" s="35">
        <v>3.0</v>
      </c>
      <c r="AI28" s="35">
        <v>1.0</v>
      </c>
      <c r="AJ28" s="35">
        <v>1.0</v>
      </c>
      <c r="AK28" s="36" t="s">
        <v>133</v>
      </c>
      <c r="AL28" s="40" t="s">
        <v>132</v>
      </c>
      <c r="AM28" s="35" t="s">
        <v>132</v>
      </c>
      <c r="AN28" s="35" t="s">
        <v>132</v>
      </c>
      <c r="AO28" s="35" t="s">
        <v>132</v>
      </c>
      <c r="AP28" s="35" t="s">
        <v>132</v>
      </c>
      <c r="AQ28" s="35" t="s">
        <v>132</v>
      </c>
      <c r="AR28" s="35" t="s">
        <v>132</v>
      </c>
      <c r="AS28" s="35" t="s">
        <v>132</v>
      </c>
      <c r="AT28" s="35" t="s">
        <v>132</v>
      </c>
      <c r="AU28" s="35" t="s">
        <v>132</v>
      </c>
      <c r="AV28" s="35" t="s">
        <v>132</v>
      </c>
      <c r="AW28" s="36" t="s">
        <v>133</v>
      </c>
      <c r="AX28" s="35" t="s">
        <v>132</v>
      </c>
      <c r="AY28" s="36" t="s">
        <v>133</v>
      </c>
      <c r="AZ28" s="36" t="s">
        <v>133</v>
      </c>
      <c r="BA28" s="36" t="s">
        <v>133</v>
      </c>
      <c r="BB28" s="35" t="s">
        <v>145</v>
      </c>
      <c r="BC28" s="36" t="s">
        <v>133</v>
      </c>
      <c r="BD28" s="40">
        <v>1.0</v>
      </c>
      <c r="BE28" s="35">
        <v>1.0</v>
      </c>
      <c r="BF28" s="35">
        <v>1.0</v>
      </c>
      <c r="BG28" s="35">
        <v>1.0</v>
      </c>
      <c r="BH28" s="35">
        <v>2.0</v>
      </c>
      <c r="BI28" s="44" t="str">
        <f t="shared" si="3"/>
        <v>11112</v>
      </c>
      <c r="BJ28" s="35">
        <v>75.0</v>
      </c>
      <c r="BK28" s="35">
        <v>2.0</v>
      </c>
      <c r="BL28" s="35">
        <v>4.0</v>
      </c>
      <c r="BM28" s="35">
        <v>2.0</v>
      </c>
      <c r="BN28" s="35">
        <v>2.0</v>
      </c>
      <c r="BO28" s="35">
        <v>4.0</v>
      </c>
      <c r="BP28" s="35">
        <v>5.0</v>
      </c>
      <c r="BQ28" s="35">
        <v>4.0</v>
      </c>
      <c r="BR28" s="35">
        <v>5.0</v>
      </c>
      <c r="BS28" s="35">
        <v>5.0</v>
      </c>
      <c r="BT28" s="35">
        <v>2.0</v>
      </c>
      <c r="BU28" s="44">
        <f t="shared" si="4"/>
        <v>4</v>
      </c>
      <c r="BV28" s="44">
        <f t="shared" si="5"/>
        <v>4</v>
      </c>
      <c r="BW28" s="44">
        <f t="shared" si="53"/>
        <v>37</v>
      </c>
      <c r="BX28" s="44" t="str">
        <f t="shared" si="7"/>
        <v>FATIGA EXTREMA</v>
      </c>
      <c r="BY28" s="35">
        <v>0.0</v>
      </c>
      <c r="BZ28" s="35">
        <v>0.0</v>
      </c>
      <c r="CA28" s="35">
        <v>0.0</v>
      </c>
      <c r="CB28" s="35">
        <v>0.0</v>
      </c>
      <c r="CC28" s="35">
        <v>0.0</v>
      </c>
      <c r="CD28" s="35">
        <v>0.0</v>
      </c>
      <c r="CE28" s="35">
        <v>1.0</v>
      </c>
      <c r="CF28" s="35">
        <v>1.0</v>
      </c>
      <c r="CG28" s="35">
        <v>0.0</v>
      </c>
      <c r="CH28" s="35">
        <v>10.0</v>
      </c>
      <c r="CI28" s="35">
        <v>0.0</v>
      </c>
      <c r="CJ28" s="44">
        <f t="shared" si="27"/>
        <v>198</v>
      </c>
      <c r="CK28" s="44">
        <f t="shared" si="28"/>
        <v>1</v>
      </c>
      <c r="CL28" s="44" t="b">
        <f t="shared" si="29"/>
        <v>0</v>
      </c>
      <c r="CM28" s="44" t="b">
        <f t="shared" si="30"/>
        <v>0</v>
      </c>
      <c r="CN28" s="45" t="str">
        <f t="shared" si="31"/>
        <v>Nivel de actividad física bajo</v>
      </c>
      <c r="CO28" s="51">
        <v>0.9166666666666666</v>
      </c>
      <c r="CP28" s="35">
        <v>20.0</v>
      </c>
      <c r="CQ28" s="44">
        <f t="shared" si="32"/>
        <v>1</v>
      </c>
      <c r="CR28" s="35">
        <v>6.0</v>
      </c>
      <c r="CS28" s="35">
        <v>30.0</v>
      </c>
      <c r="CT28" s="35">
        <v>8.5</v>
      </c>
      <c r="CU28" s="35">
        <v>6.0</v>
      </c>
      <c r="CV28" s="35">
        <v>0.0</v>
      </c>
      <c r="CW28" s="35">
        <v>3.0</v>
      </c>
      <c r="CX28" s="35">
        <v>0.0</v>
      </c>
      <c r="CY28" s="35">
        <v>0.0</v>
      </c>
      <c r="CZ28" s="35">
        <v>0.0</v>
      </c>
      <c r="DA28" s="35">
        <v>0.0</v>
      </c>
      <c r="DB28" s="35">
        <v>0.0</v>
      </c>
      <c r="DC28" s="35">
        <v>2.0</v>
      </c>
      <c r="DD28" s="35">
        <v>0.0</v>
      </c>
      <c r="DE28" s="35">
        <v>3.0</v>
      </c>
      <c r="DF28" s="36" t="s">
        <v>133</v>
      </c>
      <c r="DG28" s="53">
        <f t="shared" si="55"/>
        <v>8</v>
      </c>
      <c r="DH28" s="35">
        <v>1.0</v>
      </c>
      <c r="DI28" s="35">
        <v>3.0</v>
      </c>
      <c r="DJ28" s="35">
        <v>3.0</v>
      </c>
      <c r="DK28" s="35">
        <v>3.0</v>
      </c>
      <c r="DL28" s="46">
        <f t="shared" si="34"/>
        <v>70.58823529</v>
      </c>
      <c r="DM28" s="44">
        <f t="shared" si="35"/>
        <v>1</v>
      </c>
      <c r="DN28" s="44">
        <f t="shared" si="36"/>
        <v>1</v>
      </c>
      <c r="DO28" s="44">
        <f t="shared" si="37"/>
        <v>1</v>
      </c>
      <c r="DP28" s="44">
        <f t="shared" si="38"/>
        <v>3</v>
      </c>
      <c r="DQ28" s="44">
        <f t="shared" si="39"/>
        <v>2</v>
      </c>
      <c r="DR28" s="44">
        <f t="shared" ref="DR28:DS28" si="67">(DH28)</f>
        <v>1</v>
      </c>
      <c r="DS28" s="44">
        <f t="shared" si="67"/>
        <v>3</v>
      </c>
      <c r="DT28" s="44">
        <f t="shared" si="41"/>
        <v>12</v>
      </c>
      <c r="DU28" s="44" t="str">
        <f t="shared" si="42"/>
        <v>poor sleep quality</v>
      </c>
      <c r="DV28" s="35">
        <v>1.0</v>
      </c>
      <c r="DW28" s="35" t="s">
        <v>155</v>
      </c>
      <c r="DX28" s="35" t="s">
        <v>207</v>
      </c>
      <c r="DY28" s="35">
        <v>2.0</v>
      </c>
      <c r="DZ28" s="35" t="s">
        <v>131</v>
      </c>
      <c r="EA28" s="35" t="s">
        <v>147</v>
      </c>
      <c r="EB28" s="35" t="s">
        <v>139</v>
      </c>
      <c r="EC28" s="35" t="s">
        <v>140</v>
      </c>
      <c r="ED28" s="35" t="s">
        <v>132</v>
      </c>
      <c r="EE28" s="35" t="s">
        <v>141</v>
      </c>
      <c r="EF28" s="35">
        <f t="shared" si="51"/>
        <v>1075</v>
      </c>
      <c r="EG28" s="35">
        <f t="shared" si="52"/>
        <v>710</v>
      </c>
      <c r="EH28" s="47">
        <f t="shared" si="24"/>
        <v>21.35991456</v>
      </c>
    </row>
    <row r="29" ht="15.75" customHeight="1">
      <c r="A29" s="35" t="s">
        <v>227</v>
      </c>
      <c r="B29" s="36" t="s">
        <v>175</v>
      </c>
      <c r="C29" s="37">
        <v>45058.0</v>
      </c>
      <c r="D29" s="48">
        <v>59.0</v>
      </c>
      <c r="E29" s="35" t="s">
        <v>130</v>
      </c>
      <c r="F29" s="35">
        <v>167.0</v>
      </c>
      <c r="G29" s="39">
        <v>70.0</v>
      </c>
      <c r="H29" s="40" t="s">
        <v>131</v>
      </c>
      <c r="I29" s="35">
        <v>3.0</v>
      </c>
      <c r="J29" s="41">
        <v>44621.0</v>
      </c>
      <c r="K29" s="35" t="s">
        <v>131</v>
      </c>
      <c r="L29" s="35">
        <v>2.0</v>
      </c>
      <c r="M29" s="41">
        <v>44197.0</v>
      </c>
      <c r="N29" s="35">
        <v>0.0</v>
      </c>
      <c r="O29" s="41">
        <v>44287.0</v>
      </c>
      <c r="P29" s="35" t="s">
        <v>132</v>
      </c>
      <c r="Q29" s="36" t="s">
        <v>133</v>
      </c>
      <c r="R29" s="36" t="s">
        <v>133</v>
      </c>
      <c r="S29" s="36" t="s">
        <v>133</v>
      </c>
      <c r="T29" s="36" t="s">
        <v>133</v>
      </c>
      <c r="U29" s="36" t="s">
        <v>133</v>
      </c>
      <c r="V29" s="36" t="str">
        <f t="shared" si="2"/>
        <v>Paciente ambulatorio</v>
      </c>
      <c r="W29" s="35" t="s">
        <v>176</v>
      </c>
      <c r="X29" s="35" t="s">
        <v>132</v>
      </c>
      <c r="Y29" s="35">
        <v>1.0</v>
      </c>
      <c r="Z29" s="35">
        <v>1.0</v>
      </c>
      <c r="AA29" s="35">
        <v>3.0</v>
      </c>
      <c r="AB29" s="35">
        <v>3.0</v>
      </c>
      <c r="AC29" s="35">
        <v>1.0</v>
      </c>
      <c r="AD29" s="35">
        <v>1.0</v>
      </c>
      <c r="AE29" s="35">
        <v>1.0</v>
      </c>
      <c r="AF29" s="35">
        <v>1.0</v>
      </c>
      <c r="AG29" s="35">
        <v>3.0</v>
      </c>
      <c r="AH29" s="35">
        <v>3.0</v>
      </c>
      <c r="AI29" s="35">
        <v>3.0</v>
      </c>
      <c r="AJ29" s="35">
        <v>3.0</v>
      </c>
      <c r="AK29" s="39" t="s">
        <v>228</v>
      </c>
      <c r="AL29" s="40" t="s">
        <v>132</v>
      </c>
      <c r="AM29" s="35" t="s">
        <v>132</v>
      </c>
      <c r="AN29" s="35" t="s">
        <v>132</v>
      </c>
      <c r="AO29" s="35" t="s">
        <v>132</v>
      </c>
      <c r="AP29" s="35" t="s">
        <v>132</v>
      </c>
      <c r="AQ29" s="35" t="s">
        <v>132</v>
      </c>
      <c r="AR29" s="35" t="s">
        <v>132</v>
      </c>
      <c r="AS29" s="35" t="s">
        <v>132</v>
      </c>
      <c r="AT29" s="35" t="s">
        <v>132</v>
      </c>
      <c r="AU29" s="35" t="s">
        <v>132</v>
      </c>
      <c r="AV29" s="35" t="s">
        <v>131</v>
      </c>
      <c r="AW29" s="35" t="s">
        <v>229</v>
      </c>
      <c r="AX29" s="35" t="s">
        <v>165</v>
      </c>
      <c r="AY29" s="36" t="s">
        <v>133</v>
      </c>
      <c r="AZ29" s="36" t="s">
        <v>133</v>
      </c>
      <c r="BA29" s="35">
        <v>10.0</v>
      </c>
      <c r="BB29" s="35" t="s">
        <v>145</v>
      </c>
      <c r="BC29" s="36" t="s">
        <v>133</v>
      </c>
      <c r="BD29" s="40">
        <v>2.0</v>
      </c>
      <c r="BE29" s="35">
        <v>1.0</v>
      </c>
      <c r="BF29" s="35">
        <v>2.0</v>
      </c>
      <c r="BG29" s="35">
        <v>3.0</v>
      </c>
      <c r="BH29" s="35">
        <v>3.0</v>
      </c>
      <c r="BI29" s="44" t="str">
        <f t="shared" si="3"/>
        <v>21233</v>
      </c>
      <c r="BJ29" s="35">
        <v>60.0</v>
      </c>
      <c r="BK29" s="35">
        <v>3.0</v>
      </c>
      <c r="BL29" s="35">
        <v>2.0</v>
      </c>
      <c r="BM29" s="35">
        <v>2.0</v>
      </c>
      <c r="BN29" s="35">
        <v>3.0</v>
      </c>
      <c r="BO29" s="35">
        <v>3.0</v>
      </c>
      <c r="BP29" s="35">
        <v>3.0</v>
      </c>
      <c r="BQ29" s="35">
        <v>2.0</v>
      </c>
      <c r="BR29" s="35">
        <v>3.0</v>
      </c>
      <c r="BS29" s="35">
        <v>4.0</v>
      </c>
      <c r="BT29" s="35">
        <v>3.0</v>
      </c>
      <c r="BU29" s="44">
        <f t="shared" si="4"/>
        <v>3</v>
      </c>
      <c r="BV29" s="44">
        <f t="shared" si="5"/>
        <v>3</v>
      </c>
      <c r="BW29" s="44">
        <f t="shared" si="53"/>
        <v>28</v>
      </c>
      <c r="BX29" s="44" t="str">
        <f t="shared" si="7"/>
        <v>FATIGA</v>
      </c>
      <c r="BY29" s="35">
        <v>0.0</v>
      </c>
      <c r="BZ29" s="35">
        <v>0.0</v>
      </c>
      <c r="CA29" s="35">
        <v>0.0</v>
      </c>
      <c r="CB29" s="35">
        <v>0.0</v>
      </c>
      <c r="CC29" s="35">
        <v>0.0</v>
      </c>
      <c r="CD29" s="35">
        <v>0.0</v>
      </c>
      <c r="CE29" s="35">
        <v>3.0</v>
      </c>
      <c r="CF29" s="35">
        <v>0.0</v>
      </c>
      <c r="CG29" s="35">
        <v>50.0</v>
      </c>
      <c r="CH29" s="35">
        <v>8.0</v>
      </c>
      <c r="CI29" s="35">
        <v>0.0</v>
      </c>
      <c r="CJ29" s="44">
        <f t="shared" si="27"/>
        <v>495</v>
      </c>
      <c r="CK29" s="44">
        <f t="shared" si="28"/>
        <v>3</v>
      </c>
      <c r="CL29" s="44" t="b">
        <f t="shared" si="29"/>
        <v>0</v>
      </c>
      <c r="CM29" s="44" t="b">
        <f t="shared" si="30"/>
        <v>0</v>
      </c>
      <c r="CN29" s="45" t="str">
        <f t="shared" si="31"/>
        <v>Nivel de actividad física bajo</v>
      </c>
      <c r="CO29" s="51">
        <v>0.0</v>
      </c>
      <c r="CP29" s="35">
        <v>0.0</v>
      </c>
      <c r="CQ29" s="44">
        <f t="shared" si="32"/>
        <v>0</v>
      </c>
      <c r="CR29" s="35">
        <v>7.0</v>
      </c>
      <c r="CS29" s="35">
        <v>0.0</v>
      </c>
      <c r="CT29" s="35">
        <v>7.0</v>
      </c>
      <c r="CU29" s="35">
        <v>4.0</v>
      </c>
      <c r="CV29" s="35">
        <v>0.0</v>
      </c>
      <c r="CW29" s="35">
        <v>3.0</v>
      </c>
      <c r="CX29" s="35">
        <v>3.0</v>
      </c>
      <c r="CY29" s="35">
        <v>3.0</v>
      </c>
      <c r="CZ29" s="35">
        <v>0.0</v>
      </c>
      <c r="DA29" s="35">
        <v>0.0</v>
      </c>
      <c r="DB29" s="35">
        <v>0.0</v>
      </c>
      <c r="DC29" s="35">
        <v>0.0</v>
      </c>
      <c r="DD29" s="35">
        <v>3.0</v>
      </c>
      <c r="DE29" s="35">
        <v>2.0</v>
      </c>
      <c r="DF29" s="36" t="s">
        <v>133</v>
      </c>
      <c r="DG29" s="53">
        <f t="shared" si="55"/>
        <v>14</v>
      </c>
      <c r="DH29" s="35">
        <v>1.0</v>
      </c>
      <c r="DI29" s="35">
        <v>3.0</v>
      </c>
      <c r="DJ29" s="35">
        <v>2.0</v>
      </c>
      <c r="DK29" s="35">
        <v>3.0</v>
      </c>
      <c r="DL29" s="46">
        <f t="shared" si="34"/>
        <v>57.14285714</v>
      </c>
      <c r="DM29" s="44">
        <f t="shared" si="35"/>
        <v>3</v>
      </c>
      <c r="DN29" s="44">
        <f t="shared" si="36"/>
        <v>2</v>
      </c>
      <c r="DO29" s="44">
        <f t="shared" si="37"/>
        <v>0</v>
      </c>
      <c r="DP29" s="44">
        <f t="shared" si="38"/>
        <v>3</v>
      </c>
      <c r="DQ29" s="44">
        <f t="shared" si="39"/>
        <v>3</v>
      </c>
      <c r="DR29" s="44">
        <f t="shared" ref="DR29:DS29" si="68">(DH29)</f>
        <v>1</v>
      </c>
      <c r="DS29" s="44">
        <f t="shared" si="68"/>
        <v>3</v>
      </c>
      <c r="DT29" s="44">
        <f t="shared" si="41"/>
        <v>15</v>
      </c>
      <c r="DU29" s="44" t="str">
        <f t="shared" si="42"/>
        <v>poor sleep quality</v>
      </c>
      <c r="DV29" s="35">
        <v>1.0</v>
      </c>
      <c r="DW29" s="35" t="s">
        <v>155</v>
      </c>
      <c r="DX29" s="35" t="s">
        <v>207</v>
      </c>
      <c r="DY29" s="35">
        <v>1.0</v>
      </c>
      <c r="DZ29" s="35" t="s">
        <v>131</v>
      </c>
      <c r="EA29" s="35" t="s">
        <v>162</v>
      </c>
      <c r="EB29" s="57" t="s">
        <v>230</v>
      </c>
      <c r="EC29" s="36" t="s">
        <v>133</v>
      </c>
      <c r="ED29" s="35" t="s">
        <v>132</v>
      </c>
      <c r="EE29" s="35" t="s">
        <v>140</v>
      </c>
      <c r="EF29" s="35">
        <f t="shared" si="51"/>
        <v>861</v>
      </c>
      <c r="EG29" s="35">
        <f t="shared" si="52"/>
        <v>771</v>
      </c>
      <c r="EH29" s="47">
        <f t="shared" si="24"/>
        <v>25.0995016</v>
      </c>
    </row>
    <row r="30" ht="15.75" customHeight="1">
      <c r="A30" s="35" t="s">
        <v>231</v>
      </c>
      <c r="B30" s="36" t="s">
        <v>175</v>
      </c>
      <c r="C30" s="37">
        <v>45058.0</v>
      </c>
      <c r="D30" s="48">
        <v>59.0</v>
      </c>
      <c r="E30" s="35" t="s">
        <v>130</v>
      </c>
      <c r="F30" s="35">
        <v>160.0</v>
      </c>
      <c r="G30" s="39">
        <v>108.0</v>
      </c>
      <c r="H30" s="40" t="s">
        <v>131</v>
      </c>
      <c r="I30" s="35">
        <v>5.0</v>
      </c>
      <c r="J30" s="41">
        <v>44896.0</v>
      </c>
      <c r="K30" s="35" t="s">
        <v>131</v>
      </c>
      <c r="L30" s="35">
        <v>2.0</v>
      </c>
      <c r="M30" s="41">
        <v>44317.0</v>
      </c>
      <c r="N30" s="35">
        <v>1.0</v>
      </c>
      <c r="O30" s="41">
        <v>44713.0</v>
      </c>
      <c r="P30" s="35" t="s">
        <v>132</v>
      </c>
      <c r="Q30" s="36" t="s">
        <v>133</v>
      </c>
      <c r="R30" s="36" t="s">
        <v>133</v>
      </c>
      <c r="S30" s="36" t="s">
        <v>133</v>
      </c>
      <c r="T30" s="36" t="s">
        <v>133</v>
      </c>
      <c r="U30" s="36" t="s">
        <v>133</v>
      </c>
      <c r="V30" s="36" t="str">
        <f t="shared" si="2"/>
        <v>Paciente ambulatorio</v>
      </c>
      <c r="W30" s="35" t="s">
        <v>176</v>
      </c>
      <c r="X30" s="35" t="s">
        <v>132</v>
      </c>
      <c r="Y30" s="35">
        <v>1.0</v>
      </c>
      <c r="Z30" s="35">
        <v>1.0</v>
      </c>
      <c r="AA30" s="35">
        <v>3.0</v>
      </c>
      <c r="AB30" s="35">
        <v>3.0</v>
      </c>
      <c r="AC30" s="35">
        <v>3.0</v>
      </c>
      <c r="AD30" s="35">
        <v>1.0</v>
      </c>
      <c r="AE30" s="35">
        <v>1.0</v>
      </c>
      <c r="AF30" s="35">
        <v>1.0</v>
      </c>
      <c r="AG30" s="35">
        <v>3.0</v>
      </c>
      <c r="AH30" s="35">
        <v>3.0</v>
      </c>
      <c r="AI30" s="35">
        <v>1.0</v>
      </c>
      <c r="AJ30" s="35">
        <v>1.0</v>
      </c>
      <c r="AK30" s="36" t="s">
        <v>133</v>
      </c>
      <c r="AL30" s="40" t="s">
        <v>131</v>
      </c>
      <c r="AM30" s="35" t="s">
        <v>132</v>
      </c>
      <c r="AN30" s="35" t="s">
        <v>132</v>
      </c>
      <c r="AO30" s="35" t="s">
        <v>131</v>
      </c>
      <c r="AP30" s="35" t="s">
        <v>132</v>
      </c>
      <c r="AQ30" s="35" t="s">
        <v>132</v>
      </c>
      <c r="AR30" s="35" t="s">
        <v>132</v>
      </c>
      <c r="AS30" s="35" t="s">
        <v>131</v>
      </c>
      <c r="AT30" s="35" t="s">
        <v>132</v>
      </c>
      <c r="AU30" s="35" t="s">
        <v>132</v>
      </c>
      <c r="AV30" s="35" t="s">
        <v>131</v>
      </c>
      <c r="AW30" s="35" t="s">
        <v>232</v>
      </c>
      <c r="AX30" s="35" t="s">
        <v>132</v>
      </c>
      <c r="AY30" s="36" t="s">
        <v>133</v>
      </c>
      <c r="AZ30" s="36" t="s">
        <v>133</v>
      </c>
      <c r="BA30" s="36" t="s">
        <v>133</v>
      </c>
      <c r="BB30" s="35" t="s">
        <v>135</v>
      </c>
      <c r="BC30" s="39">
        <v>2.0</v>
      </c>
      <c r="BD30" s="40">
        <v>2.0</v>
      </c>
      <c r="BE30" s="35">
        <v>1.0</v>
      </c>
      <c r="BF30" s="35">
        <v>2.0</v>
      </c>
      <c r="BG30" s="35">
        <v>2.0</v>
      </c>
      <c r="BH30" s="35">
        <v>3.0</v>
      </c>
      <c r="BI30" s="44" t="str">
        <f t="shared" si="3"/>
        <v>21223</v>
      </c>
      <c r="BJ30" s="35">
        <v>60.0</v>
      </c>
      <c r="BK30" s="35">
        <v>4.0</v>
      </c>
      <c r="BL30" s="35">
        <v>4.0</v>
      </c>
      <c r="BM30" s="35">
        <v>5.0</v>
      </c>
      <c r="BN30" s="35">
        <v>3.0</v>
      </c>
      <c r="BO30" s="35">
        <v>3.0</v>
      </c>
      <c r="BP30" s="35">
        <v>3.0</v>
      </c>
      <c r="BQ30" s="35">
        <v>4.0</v>
      </c>
      <c r="BR30" s="35">
        <v>4.0</v>
      </c>
      <c r="BS30" s="35">
        <v>4.0</v>
      </c>
      <c r="BT30" s="35">
        <v>3.0</v>
      </c>
      <c r="BU30" s="44">
        <f t="shared" si="4"/>
        <v>3</v>
      </c>
      <c r="BV30" s="44">
        <f t="shared" si="5"/>
        <v>3</v>
      </c>
      <c r="BW30" s="44">
        <f t="shared" si="53"/>
        <v>37</v>
      </c>
      <c r="BX30" s="44" t="str">
        <f t="shared" si="7"/>
        <v>FATIGA EXTREMA</v>
      </c>
      <c r="BY30" s="35">
        <v>0.0</v>
      </c>
      <c r="BZ30" s="35">
        <v>0.0</v>
      </c>
      <c r="CA30" s="35">
        <v>0.0</v>
      </c>
      <c r="CB30" s="35">
        <v>1.0</v>
      </c>
      <c r="CC30" s="35">
        <v>1.0</v>
      </c>
      <c r="CD30" s="35">
        <v>0.0</v>
      </c>
      <c r="CE30" s="35">
        <v>5.0</v>
      </c>
      <c r="CF30" s="35">
        <v>0.0</v>
      </c>
      <c r="CG30" s="35">
        <v>30.0</v>
      </c>
      <c r="CH30" s="35">
        <v>12.0</v>
      </c>
      <c r="CI30" s="35">
        <v>0.0</v>
      </c>
      <c r="CJ30" s="44">
        <f t="shared" si="27"/>
        <v>735</v>
      </c>
      <c r="CK30" s="44">
        <f t="shared" si="28"/>
        <v>6</v>
      </c>
      <c r="CL30" s="44" t="b">
        <f t="shared" si="29"/>
        <v>0</v>
      </c>
      <c r="CM30" s="44" t="str">
        <f t="shared" si="30"/>
        <v>Nivel de actividad física moderado</v>
      </c>
      <c r="CN30" s="45" t="str">
        <f t="shared" si="31"/>
        <v>Nivel de actividad física moderado</v>
      </c>
      <c r="CO30" s="51">
        <v>0.9166666666666666</v>
      </c>
      <c r="CP30" s="35">
        <v>5.0</v>
      </c>
      <c r="CQ30" s="44">
        <f t="shared" si="32"/>
        <v>0</v>
      </c>
      <c r="CR30" s="35">
        <v>7.0</v>
      </c>
      <c r="CS30" s="35">
        <v>0.0</v>
      </c>
      <c r="CT30" s="35">
        <v>9.0</v>
      </c>
      <c r="CU30" s="35">
        <v>6.5</v>
      </c>
      <c r="CV30" s="35">
        <v>0.0</v>
      </c>
      <c r="CW30" s="35">
        <v>3.0</v>
      </c>
      <c r="CX30" s="35">
        <v>3.0</v>
      </c>
      <c r="CY30" s="35">
        <v>0.0</v>
      </c>
      <c r="CZ30" s="35">
        <v>0.0</v>
      </c>
      <c r="DA30" s="35">
        <v>1.0</v>
      </c>
      <c r="DB30" s="35">
        <v>1.0</v>
      </c>
      <c r="DC30" s="35">
        <v>0.0</v>
      </c>
      <c r="DD30" s="35">
        <v>0.0</v>
      </c>
      <c r="DE30" s="35">
        <v>0.0</v>
      </c>
      <c r="DF30" s="36" t="s">
        <v>133</v>
      </c>
      <c r="DG30" s="53">
        <f t="shared" si="55"/>
        <v>8</v>
      </c>
      <c r="DH30" s="35">
        <v>1.0</v>
      </c>
      <c r="DI30" s="35">
        <v>0.0</v>
      </c>
      <c r="DJ30" s="35">
        <v>3.0</v>
      </c>
      <c r="DK30" s="35">
        <v>2.0</v>
      </c>
      <c r="DL30" s="46">
        <f t="shared" si="34"/>
        <v>72.22222222</v>
      </c>
      <c r="DM30" s="44">
        <f t="shared" si="35"/>
        <v>1</v>
      </c>
      <c r="DN30" s="44">
        <f t="shared" si="36"/>
        <v>1</v>
      </c>
      <c r="DO30" s="44">
        <f t="shared" si="37"/>
        <v>0</v>
      </c>
      <c r="DP30" s="44">
        <f t="shared" si="38"/>
        <v>3</v>
      </c>
      <c r="DQ30" s="44">
        <f t="shared" si="39"/>
        <v>2</v>
      </c>
      <c r="DR30" s="44">
        <f t="shared" ref="DR30:DS30" si="69">(DH30)</f>
        <v>1</v>
      </c>
      <c r="DS30" s="44">
        <f t="shared" si="69"/>
        <v>0</v>
      </c>
      <c r="DT30" s="44">
        <f t="shared" si="41"/>
        <v>8</v>
      </c>
      <c r="DU30" s="44" t="str">
        <f t="shared" si="42"/>
        <v>poor sleep quality</v>
      </c>
      <c r="DV30" s="35">
        <v>1.0</v>
      </c>
      <c r="DW30" s="35" t="s">
        <v>136</v>
      </c>
      <c r="DX30" s="35" t="s">
        <v>146</v>
      </c>
      <c r="DY30" s="35">
        <v>1.0</v>
      </c>
      <c r="DZ30" s="35" t="s">
        <v>131</v>
      </c>
      <c r="EA30" s="35" t="s">
        <v>147</v>
      </c>
      <c r="EB30" s="35" t="s">
        <v>139</v>
      </c>
      <c r="EC30" s="36" t="s">
        <v>133</v>
      </c>
      <c r="ED30" s="35" t="s">
        <v>132</v>
      </c>
      <c r="EE30" s="35" t="s">
        <v>141</v>
      </c>
      <c r="EF30" s="35">
        <f t="shared" si="51"/>
        <v>741</v>
      </c>
      <c r="EG30" s="35">
        <f t="shared" si="52"/>
        <v>345</v>
      </c>
      <c r="EH30" s="47">
        <f t="shared" si="24"/>
        <v>42.1875</v>
      </c>
    </row>
    <row r="31" ht="15.75" customHeight="1">
      <c r="A31" s="35" t="s">
        <v>233</v>
      </c>
      <c r="B31" s="36" t="s">
        <v>175</v>
      </c>
      <c r="C31" s="37">
        <v>45061.0</v>
      </c>
      <c r="D31" s="48">
        <v>53.0</v>
      </c>
      <c r="E31" s="35" t="s">
        <v>130</v>
      </c>
      <c r="F31" s="35">
        <v>160.0</v>
      </c>
      <c r="G31" s="39">
        <v>73.0</v>
      </c>
      <c r="H31" s="40" t="s">
        <v>131</v>
      </c>
      <c r="I31" s="35">
        <v>4.0</v>
      </c>
      <c r="J31" s="41">
        <v>44743.0</v>
      </c>
      <c r="K31" s="35" t="s">
        <v>131</v>
      </c>
      <c r="L31" s="35">
        <v>1.0</v>
      </c>
      <c r="M31" s="41">
        <v>44287.0</v>
      </c>
      <c r="N31" s="36" t="s">
        <v>133</v>
      </c>
      <c r="O31" s="41">
        <v>44287.0</v>
      </c>
      <c r="P31" s="35" t="s">
        <v>132</v>
      </c>
      <c r="Q31" s="36" t="s">
        <v>133</v>
      </c>
      <c r="R31" s="36" t="s">
        <v>133</v>
      </c>
      <c r="S31" s="36" t="s">
        <v>133</v>
      </c>
      <c r="T31" s="36" t="s">
        <v>133</v>
      </c>
      <c r="U31" s="36" t="s">
        <v>133</v>
      </c>
      <c r="V31" s="36" t="str">
        <f t="shared" si="2"/>
        <v>Paciente ambulatorio</v>
      </c>
      <c r="W31" s="35" t="s">
        <v>176</v>
      </c>
      <c r="X31" s="35" t="s">
        <v>132</v>
      </c>
      <c r="Y31" s="35">
        <v>1.0</v>
      </c>
      <c r="Z31" s="35">
        <v>1.0</v>
      </c>
      <c r="AA31" s="35">
        <v>1.0</v>
      </c>
      <c r="AB31" s="35">
        <v>3.0</v>
      </c>
      <c r="AC31" s="35">
        <v>1.0</v>
      </c>
      <c r="AD31" s="35">
        <v>3.0</v>
      </c>
      <c r="AE31" s="35">
        <v>1.0</v>
      </c>
      <c r="AF31" s="35">
        <v>1.0</v>
      </c>
      <c r="AG31" s="35">
        <v>3.0</v>
      </c>
      <c r="AH31" s="35">
        <v>3.0</v>
      </c>
      <c r="AI31" s="35">
        <v>1.0</v>
      </c>
      <c r="AJ31" s="35">
        <v>1.0</v>
      </c>
      <c r="AK31" s="36" t="s">
        <v>133</v>
      </c>
      <c r="AL31" s="40" t="s">
        <v>131</v>
      </c>
      <c r="AM31" s="35" t="s">
        <v>132</v>
      </c>
      <c r="AN31" s="35" t="s">
        <v>132</v>
      </c>
      <c r="AO31" s="35" t="s">
        <v>132</v>
      </c>
      <c r="AP31" s="35" t="s">
        <v>132</v>
      </c>
      <c r="AQ31" s="35" t="s">
        <v>132</v>
      </c>
      <c r="AR31" s="35" t="s">
        <v>132</v>
      </c>
      <c r="AS31" s="35" t="s">
        <v>132</v>
      </c>
      <c r="AT31" s="35" t="s">
        <v>132</v>
      </c>
      <c r="AU31" s="35" t="s">
        <v>132</v>
      </c>
      <c r="AV31" s="35" t="s">
        <v>132</v>
      </c>
      <c r="AW31" s="36" t="s">
        <v>133</v>
      </c>
      <c r="AX31" s="35" t="s">
        <v>165</v>
      </c>
      <c r="AY31" s="36" t="s">
        <v>133</v>
      </c>
      <c r="AZ31" s="36" t="s">
        <v>133</v>
      </c>
      <c r="BA31" s="35">
        <v>2.0</v>
      </c>
      <c r="BB31" s="35" t="s">
        <v>135</v>
      </c>
      <c r="BC31" s="39">
        <v>2.0</v>
      </c>
      <c r="BD31" s="40">
        <v>2.0</v>
      </c>
      <c r="BE31" s="35">
        <v>1.0</v>
      </c>
      <c r="BF31" s="35">
        <v>2.0</v>
      </c>
      <c r="BG31" s="35">
        <v>2.0</v>
      </c>
      <c r="BH31" s="35">
        <v>3.0</v>
      </c>
      <c r="BI31" s="44" t="str">
        <f t="shared" si="3"/>
        <v>21223</v>
      </c>
      <c r="BJ31" s="35">
        <v>40.0</v>
      </c>
      <c r="BK31" s="35">
        <v>5.0</v>
      </c>
      <c r="BL31" s="35">
        <v>5.0</v>
      </c>
      <c r="BM31" s="35">
        <v>5.0</v>
      </c>
      <c r="BN31" s="35">
        <v>3.0</v>
      </c>
      <c r="BO31" s="35">
        <v>4.0</v>
      </c>
      <c r="BP31" s="35">
        <v>5.0</v>
      </c>
      <c r="BQ31" s="35">
        <v>1.0</v>
      </c>
      <c r="BR31" s="35">
        <v>2.0</v>
      </c>
      <c r="BS31" s="35">
        <v>4.0</v>
      </c>
      <c r="BT31" s="35">
        <v>2.0</v>
      </c>
      <c r="BU31" s="44">
        <f t="shared" si="4"/>
        <v>3</v>
      </c>
      <c r="BV31" s="44">
        <f t="shared" si="5"/>
        <v>4</v>
      </c>
      <c r="BW31" s="44">
        <f t="shared" si="53"/>
        <v>37</v>
      </c>
      <c r="BX31" s="44" t="str">
        <f t="shared" si="7"/>
        <v>FATIGA EXTREMA</v>
      </c>
      <c r="BY31" s="35">
        <v>0.0</v>
      </c>
      <c r="BZ31" s="35">
        <v>0.0</v>
      </c>
      <c r="CA31" s="35">
        <v>0.0</v>
      </c>
      <c r="CB31" s="35">
        <v>0.0</v>
      </c>
      <c r="CC31" s="35">
        <v>0.0</v>
      </c>
      <c r="CD31" s="35">
        <v>0.0</v>
      </c>
      <c r="CE31" s="35">
        <v>0.0</v>
      </c>
      <c r="CF31" s="35">
        <v>0.0</v>
      </c>
      <c r="CG31" s="35">
        <v>0.0</v>
      </c>
      <c r="CH31" s="35">
        <v>7.0</v>
      </c>
      <c r="CI31" s="35">
        <v>0.0</v>
      </c>
      <c r="CJ31" s="44">
        <f t="shared" si="27"/>
        <v>0</v>
      </c>
      <c r="CK31" s="44">
        <f t="shared" si="28"/>
        <v>0</v>
      </c>
      <c r="CL31" s="44" t="b">
        <f t="shared" si="29"/>
        <v>0</v>
      </c>
      <c r="CM31" s="44" t="b">
        <f t="shared" si="30"/>
        <v>0</v>
      </c>
      <c r="CN31" s="45" t="str">
        <f t="shared" si="31"/>
        <v>Nivel de actividad física bajo</v>
      </c>
      <c r="CO31" s="35">
        <v>6.0</v>
      </c>
      <c r="CP31" s="35">
        <v>30.0</v>
      </c>
      <c r="CQ31" s="44">
        <f t="shared" si="32"/>
        <v>1</v>
      </c>
      <c r="CR31" s="35">
        <v>12.0</v>
      </c>
      <c r="CS31" s="35">
        <v>0.0</v>
      </c>
      <c r="CT31" s="35">
        <v>5.5</v>
      </c>
      <c r="CU31" s="57">
        <v>3.5</v>
      </c>
      <c r="CV31" s="35">
        <v>3.0</v>
      </c>
      <c r="CW31" s="35">
        <v>1.0</v>
      </c>
      <c r="CX31" s="35">
        <v>2.0</v>
      </c>
      <c r="CY31" s="35">
        <v>3.0</v>
      </c>
      <c r="CZ31" s="35">
        <v>1.0</v>
      </c>
      <c r="DA31" s="35">
        <v>0.0</v>
      </c>
      <c r="DB31" s="35">
        <v>3.0</v>
      </c>
      <c r="DC31" s="35">
        <v>1.0</v>
      </c>
      <c r="DD31" s="35">
        <v>0.0</v>
      </c>
      <c r="DE31" s="35">
        <v>0.0</v>
      </c>
      <c r="DF31" s="36" t="s">
        <v>133</v>
      </c>
      <c r="DG31" s="53">
        <f t="shared" si="55"/>
        <v>11</v>
      </c>
      <c r="DH31" s="35">
        <v>2.0</v>
      </c>
      <c r="DI31" s="35">
        <v>0.0</v>
      </c>
      <c r="DJ31" s="35">
        <v>0.0</v>
      </c>
      <c r="DK31" s="35">
        <v>1.0</v>
      </c>
      <c r="DL31" s="46">
        <f t="shared" si="34"/>
        <v>63.63636364</v>
      </c>
      <c r="DM31" s="44">
        <f t="shared" si="35"/>
        <v>3</v>
      </c>
      <c r="DN31" s="44">
        <f t="shared" si="36"/>
        <v>2</v>
      </c>
      <c r="DO31" s="44">
        <f t="shared" si="37"/>
        <v>2</v>
      </c>
      <c r="DP31" s="44">
        <f t="shared" si="38"/>
        <v>1</v>
      </c>
      <c r="DQ31" s="44">
        <f t="shared" si="39"/>
        <v>3</v>
      </c>
      <c r="DR31" s="44">
        <f t="shared" ref="DR31:DS31" si="70">(DH31)</f>
        <v>2</v>
      </c>
      <c r="DS31" s="44">
        <f t="shared" si="70"/>
        <v>0</v>
      </c>
      <c r="DT31" s="44">
        <f t="shared" si="41"/>
        <v>13</v>
      </c>
      <c r="DU31" s="44" t="str">
        <f t="shared" si="42"/>
        <v>poor sleep quality</v>
      </c>
      <c r="DV31" s="35">
        <v>2.0</v>
      </c>
      <c r="DW31" s="35" t="s">
        <v>234</v>
      </c>
      <c r="DX31" s="35" t="s">
        <v>146</v>
      </c>
      <c r="DY31" s="35" t="s">
        <v>156</v>
      </c>
      <c r="DZ31" s="35" t="s">
        <v>131</v>
      </c>
      <c r="EA31" s="35" t="s">
        <v>167</v>
      </c>
      <c r="EB31" s="35" t="s">
        <v>172</v>
      </c>
      <c r="EC31" s="36" t="s">
        <v>133</v>
      </c>
      <c r="ED31" s="36" t="s">
        <v>133</v>
      </c>
      <c r="EE31" s="35" t="s">
        <v>235</v>
      </c>
      <c r="EF31" s="35">
        <f t="shared" si="51"/>
        <v>774</v>
      </c>
      <c r="EG31" s="35">
        <f t="shared" si="52"/>
        <v>774</v>
      </c>
      <c r="EH31" s="47">
        <f t="shared" si="24"/>
        <v>28.515625</v>
      </c>
    </row>
    <row r="32" ht="15.75" customHeight="1">
      <c r="A32" s="35" t="s">
        <v>236</v>
      </c>
      <c r="B32" s="36" t="s">
        <v>175</v>
      </c>
      <c r="C32" s="37">
        <v>45061.0</v>
      </c>
      <c r="D32" s="48">
        <v>55.0</v>
      </c>
      <c r="E32" s="35" t="s">
        <v>130</v>
      </c>
      <c r="F32" s="35">
        <v>161.0</v>
      </c>
      <c r="G32" s="39">
        <v>70.0</v>
      </c>
      <c r="H32" s="40" t="s">
        <v>131</v>
      </c>
      <c r="I32" s="35">
        <v>2.0</v>
      </c>
      <c r="J32" s="41">
        <v>44197.0</v>
      </c>
      <c r="K32" s="35" t="s">
        <v>131</v>
      </c>
      <c r="L32" s="35">
        <v>1.0</v>
      </c>
      <c r="M32" s="41">
        <v>44378.0</v>
      </c>
      <c r="N32" s="35">
        <v>0.0</v>
      </c>
      <c r="O32" s="41">
        <v>44378.0</v>
      </c>
      <c r="P32" s="35" t="s">
        <v>132</v>
      </c>
      <c r="Q32" s="36" t="s">
        <v>133</v>
      </c>
      <c r="R32" s="36" t="s">
        <v>133</v>
      </c>
      <c r="S32" s="36" t="s">
        <v>133</v>
      </c>
      <c r="T32" s="36" t="s">
        <v>133</v>
      </c>
      <c r="U32" s="36" t="s">
        <v>133</v>
      </c>
      <c r="V32" s="36" t="str">
        <f t="shared" si="2"/>
        <v>Paciente ambulatorio</v>
      </c>
      <c r="W32" s="35" t="s">
        <v>176</v>
      </c>
      <c r="X32" s="35" t="s">
        <v>131</v>
      </c>
      <c r="Y32" s="35">
        <v>3.0</v>
      </c>
      <c r="Z32" s="35">
        <v>1.0</v>
      </c>
      <c r="AA32" s="35">
        <v>2.0</v>
      </c>
      <c r="AB32" s="35">
        <v>2.0</v>
      </c>
      <c r="AC32" s="35">
        <v>1.0</v>
      </c>
      <c r="AD32" s="35">
        <v>1.0</v>
      </c>
      <c r="AE32" s="35">
        <v>1.0</v>
      </c>
      <c r="AF32" s="35">
        <v>1.0</v>
      </c>
      <c r="AG32" s="35">
        <v>1.0</v>
      </c>
      <c r="AH32" s="35">
        <v>2.0</v>
      </c>
      <c r="AI32" s="35">
        <v>1.0</v>
      </c>
      <c r="AJ32" s="35">
        <v>1.0</v>
      </c>
      <c r="AK32" s="36" t="s">
        <v>133</v>
      </c>
      <c r="AL32" s="40" t="s">
        <v>132</v>
      </c>
      <c r="AM32" s="35" t="s">
        <v>132</v>
      </c>
      <c r="AN32" s="35" t="s">
        <v>132</v>
      </c>
      <c r="AO32" s="35" t="s">
        <v>132</v>
      </c>
      <c r="AP32" s="35" t="s">
        <v>132</v>
      </c>
      <c r="AQ32" s="35" t="s">
        <v>132</v>
      </c>
      <c r="AR32" s="35" t="s">
        <v>132</v>
      </c>
      <c r="AS32" s="35" t="s">
        <v>132</v>
      </c>
      <c r="AT32" s="35" t="s">
        <v>132</v>
      </c>
      <c r="AU32" s="35" t="s">
        <v>132</v>
      </c>
      <c r="AV32" s="35" t="s">
        <v>131</v>
      </c>
      <c r="AW32" s="35" t="s">
        <v>218</v>
      </c>
      <c r="AX32" s="35" t="s">
        <v>132</v>
      </c>
      <c r="AY32" s="36" t="s">
        <v>133</v>
      </c>
      <c r="AZ32" s="36" t="s">
        <v>133</v>
      </c>
      <c r="BA32" s="36" t="s">
        <v>133</v>
      </c>
      <c r="BB32" s="35" t="s">
        <v>135</v>
      </c>
      <c r="BC32" s="39">
        <v>1.0</v>
      </c>
      <c r="BD32" s="40">
        <v>2.0</v>
      </c>
      <c r="BE32" s="35">
        <v>1.0</v>
      </c>
      <c r="BF32" s="35">
        <v>1.0</v>
      </c>
      <c r="BG32" s="35">
        <v>2.0</v>
      </c>
      <c r="BH32" s="35">
        <v>2.0</v>
      </c>
      <c r="BI32" s="44" t="str">
        <f t="shared" si="3"/>
        <v>21122</v>
      </c>
      <c r="BJ32" s="35">
        <v>70.0</v>
      </c>
      <c r="BK32" s="35">
        <v>3.0</v>
      </c>
      <c r="BL32" s="35">
        <v>5.0</v>
      </c>
      <c r="BM32" s="35">
        <v>1.0</v>
      </c>
      <c r="BN32" s="35">
        <v>3.0</v>
      </c>
      <c r="BO32" s="35">
        <v>4.0</v>
      </c>
      <c r="BP32" s="35">
        <v>2.0</v>
      </c>
      <c r="BQ32" s="35">
        <v>2.0</v>
      </c>
      <c r="BR32" s="35">
        <v>1.0</v>
      </c>
      <c r="BS32" s="35">
        <v>3.0</v>
      </c>
      <c r="BT32" s="35">
        <v>4.0</v>
      </c>
      <c r="BU32" s="44">
        <f t="shared" si="4"/>
        <v>3</v>
      </c>
      <c r="BV32" s="44">
        <f t="shared" si="5"/>
        <v>2</v>
      </c>
      <c r="BW32" s="44">
        <f t="shared" si="53"/>
        <v>27</v>
      </c>
      <c r="BX32" s="44" t="str">
        <f t="shared" si="7"/>
        <v>FATIGA</v>
      </c>
      <c r="BY32" s="35">
        <v>0.0</v>
      </c>
      <c r="BZ32" s="35">
        <v>0.0</v>
      </c>
      <c r="CA32" s="35">
        <v>0.0</v>
      </c>
      <c r="CB32" s="35">
        <v>0.0</v>
      </c>
      <c r="CC32" s="35">
        <v>0.0</v>
      </c>
      <c r="CD32" s="35">
        <v>0.0</v>
      </c>
      <c r="CE32" s="35">
        <v>7.0</v>
      </c>
      <c r="CF32" s="35">
        <v>0.0</v>
      </c>
      <c r="CG32" s="35">
        <v>30.0</v>
      </c>
      <c r="CH32" s="35">
        <v>5.0</v>
      </c>
      <c r="CI32" s="35">
        <v>0.0</v>
      </c>
      <c r="CJ32" s="44">
        <f t="shared" si="27"/>
        <v>693</v>
      </c>
      <c r="CK32" s="44">
        <f t="shared" si="28"/>
        <v>7</v>
      </c>
      <c r="CL32" s="44" t="b">
        <f t="shared" si="29"/>
        <v>0</v>
      </c>
      <c r="CM32" s="44" t="b">
        <f t="shared" si="30"/>
        <v>0</v>
      </c>
      <c r="CN32" s="45" t="str">
        <f t="shared" si="31"/>
        <v>Nivel de actividad física bajo</v>
      </c>
      <c r="CO32" s="51">
        <v>0.9166666666666666</v>
      </c>
      <c r="CP32" s="35">
        <v>5.0</v>
      </c>
      <c r="CQ32" s="44">
        <f t="shared" si="32"/>
        <v>0</v>
      </c>
      <c r="CR32" s="35">
        <v>5.0</v>
      </c>
      <c r="CS32" s="35">
        <v>0.0</v>
      </c>
      <c r="CT32" s="35">
        <v>7.0</v>
      </c>
      <c r="CU32" s="35">
        <v>3.5</v>
      </c>
      <c r="CV32" s="35">
        <v>0.0</v>
      </c>
      <c r="CW32" s="35">
        <v>3.0</v>
      </c>
      <c r="CX32" s="35">
        <v>0.0</v>
      </c>
      <c r="CY32" s="35">
        <v>0.0</v>
      </c>
      <c r="CZ32" s="35">
        <v>1.0</v>
      </c>
      <c r="DA32" s="35">
        <v>0.0</v>
      </c>
      <c r="DB32" s="35">
        <v>3.0</v>
      </c>
      <c r="DC32" s="35">
        <v>0.0</v>
      </c>
      <c r="DD32" s="35">
        <v>2.0</v>
      </c>
      <c r="DE32" s="36" t="s">
        <v>133</v>
      </c>
      <c r="DF32" s="36" t="s">
        <v>133</v>
      </c>
      <c r="DG32" s="53">
        <f t="shared" si="55"/>
        <v>9</v>
      </c>
      <c r="DH32" s="35">
        <v>2.0</v>
      </c>
      <c r="DI32" s="35">
        <v>2.0</v>
      </c>
      <c r="DJ32" s="35">
        <v>0.0</v>
      </c>
      <c r="DK32" s="35">
        <v>0.0</v>
      </c>
      <c r="DL32" s="46">
        <f t="shared" si="34"/>
        <v>50</v>
      </c>
      <c r="DM32" s="44">
        <f t="shared" si="35"/>
        <v>3</v>
      </c>
      <c r="DN32" s="44">
        <f t="shared" si="36"/>
        <v>1</v>
      </c>
      <c r="DO32" s="44">
        <f t="shared" si="37"/>
        <v>0</v>
      </c>
      <c r="DP32" s="44">
        <f t="shared" si="38"/>
        <v>0</v>
      </c>
      <c r="DQ32" s="44">
        <f t="shared" si="39"/>
        <v>3</v>
      </c>
      <c r="DR32" s="44">
        <f t="shared" ref="DR32:DS32" si="71">(DH32)</f>
        <v>2</v>
      </c>
      <c r="DS32" s="44">
        <f t="shared" si="71"/>
        <v>2</v>
      </c>
      <c r="DT32" s="44">
        <f t="shared" si="41"/>
        <v>11</v>
      </c>
      <c r="DU32" s="44" t="str">
        <f t="shared" si="42"/>
        <v>poor sleep quality</v>
      </c>
      <c r="DV32" s="35">
        <v>1.0</v>
      </c>
      <c r="DW32" s="35" t="s">
        <v>155</v>
      </c>
      <c r="DX32" s="35" t="s">
        <v>146</v>
      </c>
      <c r="DY32" s="35">
        <v>2.0</v>
      </c>
      <c r="DZ32" s="35" t="s">
        <v>131</v>
      </c>
      <c r="EA32" s="35" t="s">
        <v>157</v>
      </c>
      <c r="EB32" s="35" t="s">
        <v>139</v>
      </c>
      <c r="EC32" s="36" t="s">
        <v>133</v>
      </c>
      <c r="ED32" s="36" t="s">
        <v>133</v>
      </c>
      <c r="EE32" s="35" t="s">
        <v>141</v>
      </c>
      <c r="EF32" s="35">
        <f t="shared" si="51"/>
        <v>683</v>
      </c>
      <c r="EG32" s="35">
        <f t="shared" si="52"/>
        <v>683</v>
      </c>
      <c r="EH32" s="47">
        <f t="shared" si="24"/>
        <v>27.00513097</v>
      </c>
    </row>
    <row r="33" ht="15.75" customHeight="1">
      <c r="A33" s="35" t="s">
        <v>237</v>
      </c>
      <c r="B33" s="36" t="s">
        <v>175</v>
      </c>
      <c r="C33" s="37">
        <v>45065.0</v>
      </c>
      <c r="D33" s="48">
        <v>47.0</v>
      </c>
      <c r="E33" s="35" t="s">
        <v>130</v>
      </c>
      <c r="F33" s="35">
        <v>154.0</v>
      </c>
      <c r="G33" s="39">
        <v>60.0</v>
      </c>
      <c r="H33" s="40" t="s">
        <v>131</v>
      </c>
      <c r="I33" s="35">
        <v>3.0</v>
      </c>
      <c r="J33" s="41">
        <v>44958.0</v>
      </c>
      <c r="K33" s="35" t="s">
        <v>131</v>
      </c>
      <c r="L33" s="35">
        <v>1.0</v>
      </c>
      <c r="M33" s="41">
        <v>44105.0</v>
      </c>
      <c r="N33" s="35">
        <v>0.0</v>
      </c>
      <c r="O33" s="41">
        <v>44105.0</v>
      </c>
      <c r="P33" s="35" t="s">
        <v>132</v>
      </c>
      <c r="Q33" s="36" t="s">
        <v>133</v>
      </c>
      <c r="R33" s="36" t="s">
        <v>133</v>
      </c>
      <c r="S33" s="36" t="s">
        <v>133</v>
      </c>
      <c r="T33" s="36" t="s">
        <v>133</v>
      </c>
      <c r="U33" s="36" t="s">
        <v>133</v>
      </c>
      <c r="V33" s="36" t="str">
        <f t="shared" si="2"/>
        <v>Paciente ambulatorio</v>
      </c>
      <c r="W33" s="35" t="s">
        <v>190</v>
      </c>
      <c r="X33" s="35" t="s">
        <v>132</v>
      </c>
      <c r="Y33" s="35">
        <v>1.0</v>
      </c>
      <c r="Z33" s="35">
        <v>1.0</v>
      </c>
      <c r="AA33" s="35">
        <v>2.0</v>
      </c>
      <c r="AB33" s="35">
        <v>2.0</v>
      </c>
      <c r="AC33" s="35">
        <v>1.0</v>
      </c>
      <c r="AD33" s="35">
        <v>1.0</v>
      </c>
      <c r="AE33" s="35">
        <v>2.0</v>
      </c>
      <c r="AF33" s="35">
        <v>1.0</v>
      </c>
      <c r="AG33" s="35">
        <v>1.0</v>
      </c>
      <c r="AH33" s="35">
        <v>1.0</v>
      </c>
      <c r="AI33" s="35">
        <v>1.0</v>
      </c>
      <c r="AJ33" s="35">
        <v>1.0</v>
      </c>
      <c r="AK33" s="39" t="s">
        <v>238</v>
      </c>
      <c r="AL33" s="40" t="s">
        <v>132</v>
      </c>
      <c r="AM33" s="35" t="s">
        <v>132</v>
      </c>
      <c r="AN33" s="35" t="s">
        <v>132</v>
      </c>
      <c r="AO33" s="35" t="s">
        <v>132</v>
      </c>
      <c r="AP33" s="35" t="s">
        <v>132</v>
      </c>
      <c r="AQ33" s="35" t="s">
        <v>132</v>
      </c>
      <c r="AR33" s="35" t="s">
        <v>132</v>
      </c>
      <c r="AS33" s="35" t="s">
        <v>132</v>
      </c>
      <c r="AT33" s="35" t="s">
        <v>132</v>
      </c>
      <c r="AU33" s="35" t="s">
        <v>132</v>
      </c>
      <c r="AV33" s="35" t="s">
        <v>131</v>
      </c>
      <c r="AW33" s="35" t="s">
        <v>239</v>
      </c>
      <c r="AX33" s="35" t="s">
        <v>131</v>
      </c>
      <c r="AY33" s="35">
        <v>5.0</v>
      </c>
      <c r="AZ33" s="35">
        <v>30.0</v>
      </c>
      <c r="BA33" s="36" t="s">
        <v>133</v>
      </c>
      <c r="BB33" s="35" t="s">
        <v>135</v>
      </c>
      <c r="BC33" s="39">
        <v>3.0</v>
      </c>
      <c r="BD33" s="40">
        <v>2.0</v>
      </c>
      <c r="BE33" s="35">
        <v>1.0</v>
      </c>
      <c r="BF33" s="35">
        <v>4.0</v>
      </c>
      <c r="BG33" s="35">
        <v>5.0</v>
      </c>
      <c r="BH33" s="35">
        <v>4.0</v>
      </c>
      <c r="BI33" s="44" t="str">
        <f t="shared" si="3"/>
        <v>21454</v>
      </c>
      <c r="BJ33" s="35">
        <v>60.0</v>
      </c>
      <c r="BK33" s="35">
        <v>4.0</v>
      </c>
      <c r="BL33" s="35">
        <v>4.0</v>
      </c>
      <c r="BM33" s="35">
        <v>2.0</v>
      </c>
      <c r="BN33" s="35">
        <v>2.0</v>
      </c>
      <c r="BO33" s="35">
        <v>3.0</v>
      </c>
      <c r="BP33" s="35">
        <v>3.0</v>
      </c>
      <c r="BQ33" s="35">
        <v>4.0</v>
      </c>
      <c r="BR33" s="35">
        <v>4.0</v>
      </c>
      <c r="BS33" s="35">
        <v>5.0</v>
      </c>
      <c r="BT33" s="35">
        <v>2.0</v>
      </c>
      <c r="BU33" s="44">
        <f t="shared" si="4"/>
        <v>4</v>
      </c>
      <c r="BV33" s="44">
        <f t="shared" si="5"/>
        <v>4</v>
      </c>
      <c r="BW33" s="44">
        <f t="shared" si="53"/>
        <v>35</v>
      </c>
      <c r="BX33" s="44" t="str">
        <f t="shared" si="7"/>
        <v>FATIGA EXTREMA</v>
      </c>
      <c r="BY33" s="35">
        <v>0.0</v>
      </c>
      <c r="BZ33" s="35">
        <v>0.0</v>
      </c>
      <c r="CA33" s="35">
        <v>0.0</v>
      </c>
      <c r="CB33" s="35">
        <v>1.0</v>
      </c>
      <c r="CC33" s="35">
        <v>4.0</v>
      </c>
      <c r="CD33" s="35">
        <v>0.0</v>
      </c>
      <c r="CE33" s="35">
        <v>0.0</v>
      </c>
      <c r="CF33" s="35">
        <v>0.0</v>
      </c>
      <c r="CG33" s="35">
        <v>0.0</v>
      </c>
      <c r="CH33" s="35">
        <v>2.0</v>
      </c>
      <c r="CI33" s="35">
        <v>0.0</v>
      </c>
      <c r="CJ33" s="44">
        <f t="shared" si="27"/>
        <v>960</v>
      </c>
      <c r="CK33" s="44">
        <f t="shared" si="28"/>
        <v>1</v>
      </c>
      <c r="CL33" s="44" t="b">
        <f t="shared" si="29"/>
        <v>0</v>
      </c>
      <c r="CM33" s="44" t="b">
        <f t="shared" si="30"/>
        <v>0</v>
      </c>
      <c r="CN33" s="45" t="str">
        <f t="shared" si="31"/>
        <v>Nivel de actividad física bajo</v>
      </c>
      <c r="CO33" s="51">
        <v>0.0</v>
      </c>
      <c r="CP33" s="35">
        <v>5.75</v>
      </c>
      <c r="CQ33" s="44">
        <f t="shared" si="32"/>
        <v>0</v>
      </c>
      <c r="CR33" s="35">
        <v>6.0</v>
      </c>
      <c r="CS33" s="35">
        <v>0.0</v>
      </c>
      <c r="CT33" s="35">
        <v>6.0</v>
      </c>
      <c r="CU33" s="35">
        <v>5.0</v>
      </c>
      <c r="CV33" s="35">
        <v>0.0</v>
      </c>
      <c r="CW33" s="35">
        <v>3.0</v>
      </c>
      <c r="CX33" s="35">
        <v>2.0</v>
      </c>
      <c r="CY33" s="35">
        <v>0.0</v>
      </c>
      <c r="CZ33" s="35">
        <v>0.0</v>
      </c>
      <c r="DA33" s="35">
        <v>0.0</v>
      </c>
      <c r="DB33" s="35">
        <v>3.0</v>
      </c>
      <c r="DC33" s="35">
        <v>3.0</v>
      </c>
      <c r="DD33" s="35">
        <v>3.0</v>
      </c>
      <c r="DE33" s="35">
        <v>3.0</v>
      </c>
      <c r="DF33" s="35" t="s">
        <v>240</v>
      </c>
      <c r="DG33" s="53">
        <f t="shared" si="55"/>
        <v>17</v>
      </c>
      <c r="DH33" s="35">
        <v>3.0</v>
      </c>
      <c r="DI33" s="35">
        <v>3.0</v>
      </c>
      <c r="DJ33" s="35">
        <v>3.0</v>
      </c>
      <c r="DK33" s="35">
        <v>3.0</v>
      </c>
      <c r="DL33" s="46">
        <f t="shared" si="34"/>
        <v>83.33333333</v>
      </c>
      <c r="DM33" s="44">
        <f t="shared" si="35"/>
        <v>2</v>
      </c>
      <c r="DN33" s="44">
        <f t="shared" si="36"/>
        <v>2</v>
      </c>
      <c r="DO33" s="44">
        <f t="shared" si="37"/>
        <v>0</v>
      </c>
      <c r="DP33" s="44">
        <f t="shared" si="38"/>
        <v>3</v>
      </c>
      <c r="DQ33" s="44">
        <f t="shared" si="39"/>
        <v>1</v>
      </c>
      <c r="DR33" s="44">
        <f t="shared" ref="DR33:DS33" si="72">(DH33)</f>
        <v>3</v>
      </c>
      <c r="DS33" s="44">
        <f t="shared" si="72"/>
        <v>3</v>
      </c>
      <c r="DT33" s="44">
        <f t="shared" si="41"/>
        <v>14</v>
      </c>
      <c r="DU33" s="44" t="str">
        <f t="shared" si="42"/>
        <v>poor sleep quality</v>
      </c>
      <c r="DV33" s="35">
        <v>2.0</v>
      </c>
      <c r="DW33" s="35" t="s">
        <v>155</v>
      </c>
      <c r="DX33" s="35" t="s">
        <v>137</v>
      </c>
      <c r="DY33" s="35">
        <v>1.0</v>
      </c>
      <c r="DZ33" s="35" t="s">
        <v>131</v>
      </c>
      <c r="EA33" s="35" t="s">
        <v>147</v>
      </c>
      <c r="EB33" s="35" t="s">
        <v>139</v>
      </c>
      <c r="EC33" s="36" t="s">
        <v>133</v>
      </c>
      <c r="ED33" s="36" t="s">
        <v>133</v>
      </c>
      <c r="EE33" s="35" t="s">
        <v>141</v>
      </c>
      <c r="EF33" s="35">
        <f t="shared" si="51"/>
        <v>960</v>
      </c>
      <c r="EG33" s="35">
        <f t="shared" si="52"/>
        <v>960</v>
      </c>
      <c r="EH33" s="47">
        <f t="shared" si="24"/>
        <v>25.29937595</v>
      </c>
    </row>
    <row r="34" ht="15.75" customHeight="1">
      <c r="A34" s="35" t="s">
        <v>241</v>
      </c>
      <c r="B34" s="36" t="s">
        <v>175</v>
      </c>
      <c r="C34" s="37">
        <v>45065.0</v>
      </c>
      <c r="D34" s="48">
        <v>41.0</v>
      </c>
      <c r="E34" s="35" t="s">
        <v>130</v>
      </c>
      <c r="F34" s="35">
        <v>155.0</v>
      </c>
      <c r="G34" s="39">
        <v>90.0</v>
      </c>
      <c r="H34" s="40" t="s">
        <v>131</v>
      </c>
      <c r="I34" s="35">
        <v>4.0</v>
      </c>
      <c r="J34" s="41">
        <v>44621.0</v>
      </c>
      <c r="K34" s="35" t="s">
        <v>131</v>
      </c>
      <c r="L34" s="35">
        <v>1.0</v>
      </c>
      <c r="M34" s="41">
        <v>44743.0</v>
      </c>
      <c r="N34" s="35">
        <v>2.0</v>
      </c>
      <c r="O34" s="41">
        <v>44743.0</v>
      </c>
      <c r="P34" s="35" t="s">
        <v>132</v>
      </c>
      <c r="Q34" s="36" t="s">
        <v>133</v>
      </c>
      <c r="R34" s="36" t="s">
        <v>133</v>
      </c>
      <c r="S34" s="36" t="s">
        <v>133</v>
      </c>
      <c r="T34" s="36" t="s">
        <v>133</v>
      </c>
      <c r="U34" s="36" t="s">
        <v>133</v>
      </c>
      <c r="V34" s="36" t="str">
        <f t="shared" si="2"/>
        <v>Paciente ambulatorio</v>
      </c>
      <c r="W34" s="35" t="s">
        <v>176</v>
      </c>
      <c r="X34" s="35" t="s">
        <v>132</v>
      </c>
      <c r="Y34" s="35">
        <v>1.0</v>
      </c>
      <c r="Z34" s="35">
        <v>1.0</v>
      </c>
      <c r="AA34" s="35">
        <v>3.0</v>
      </c>
      <c r="AB34" s="35">
        <v>3.0</v>
      </c>
      <c r="AC34" s="35">
        <v>3.0</v>
      </c>
      <c r="AD34" s="35">
        <v>3.0</v>
      </c>
      <c r="AE34" s="35">
        <v>3.0</v>
      </c>
      <c r="AF34" s="35">
        <v>3.0</v>
      </c>
      <c r="AG34" s="35">
        <v>3.0</v>
      </c>
      <c r="AH34" s="35">
        <v>3.0</v>
      </c>
      <c r="AI34" s="35">
        <v>3.0</v>
      </c>
      <c r="AJ34" s="35">
        <v>3.0</v>
      </c>
      <c r="AK34" s="36" t="s">
        <v>133</v>
      </c>
      <c r="AL34" s="40" t="s">
        <v>132</v>
      </c>
      <c r="AM34" s="35" t="s">
        <v>132</v>
      </c>
      <c r="AN34" s="35" t="s">
        <v>132</v>
      </c>
      <c r="AO34" s="35" t="s">
        <v>132</v>
      </c>
      <c r="AP34" s="35" t="s">
        <v>132</v>
      </c>
      <c r="AQ34" s="35" t="s">
        <v>132</v>
      </c>
      <c r="AR34" s="35" t="s">
        <v>132</v>
      </c>
      <c r="AS34" s="35" t="s">
        <v>132</v>
      </c>
      <c r="AT34" s="35" t="s">
        <v>132</v>
      </c>
      <c r="AU34" s="35" t="s">
        <v>132</v>
      </c>
      <c r="AV34" s="35" t="s">
        <v>132</v>
      </c>
      <c r="AW34" s="36" t="s">
        <v>133</v>
      </c>
      <c r="AX34" s="35" t="s">
        <v>165</v>
      </c>
      <c r="AY34" s="36" t="s">
        <v>133</v>
      </c>
      <c r="AZ34" s="35">
        <v>8.0</v>
      </c>
      <c r="BA34" s="36" t="s">
        <v>133</v>
      </c>
      <c r="BB34" s="35" t="s">
        <v>135</v>
      </c>
      <c r="BC34" s="39">
        <v>2.0</v>
      </c>
      <c r="BD34" s="40">
        <v>1.0</v>
      </c>
      <c r="BE34" s="35">
        <v>1.0</v>
      </c>
      <c r="BF34" s="35">
        <v>1.0</v>
      </c>
      <c r="BG34" s="35">
        <v>2.0</v>
      </c>
      <c r="BH34" s="35">
        <v>1.0</v>
      </c>
      <c r="BI34" s="44" t="str">
        <f t="shared" si="3"/>
        <v>11121</v>
      </c>
      <c r="BJ34" s="35">
        <v>80.0</v>
      </c>
      <c r="BK34" s="35">
        <v>3.0</v>
      </c>
      <c r="BL34" s="35">
        <v>3.0</v>
      </c>
      <c r="BM34" s="35">
        <v>4.0</v>
      </c>
      <c r="BN34" s="35">
        <v>4.0</v>
      </c>
      <c r="BO34" s="35">
        <v>3.0</v>
      </c>
      <c r="BP34" s="35">
        <v>2.0</v>
      </c>
      <c r="BQ34" s="35">
        <v>1.0</v>
      </c>
      <c r="BR34" s="35">
        <v>2.0</v>
      </c>
      <c r="BS34" s="35">
        <v>2.0</v>
      </c>
      <c r="BT34" s="35">
        <v>4.0</v>
      </c>
      <c r="BU34" s="44">
        <f t="shared" si="4"/>
        <v>2</v>
      </c>
      <c r="BV34" s="44">
        <f t="shared" si="5"/>
        <v>2</v>
      </c>
      <c r="BW34" s="44">
        <f t="shared" si="53"/>
        <v>26</v>
      </c>
      <c r="BX34" s="44" t="str">
        <f t="shared" si="7"/>
        <v>FATIGA</v>
      </c>
      <c r="BY34" s="35">
        <v>0.0</v>
      </c>
      <c r="BZ34" s="35">
        <v>0.0</v>
      </c>
      <c r="CA34" s="35">
        <v>0.0</v>
      </c>
      <c r="CB34" s="35">
        <v>0.0</v>
      </c>
      <c r="CC34" s="35">
        <v>0.0</v>
      </c>
      <c r="CD34" s="35">
        <v>0.0</v>
      </c>
      <c r="CE34" s="35">
        <v>7.0</v>
      </c>
      <c r="CF34" s="35">
        <v>0.0</v>
      </c>
      <c r="CG34" s="35">
        <v>30.0</v>
      </c>
      <c r="CH34" s="35">
        <v>4.0</v>
      </c>
      <c r="CI34" s="35">
        <v>0.0</v>
      </c>
      <c r="CJ34" s="44">
        <f t="shared" si="27"/>
        <v>693</v>
      </c>
      <c r="CK34" s="44">
        <f t="shared" si="28"/>
        <v>7</v>
      </c>
      <c r="CL34" s="44" t="b">
        <f t="shared" si="29"/>
        <v>0</v>
      </c>
      <c r="CM34" s="44" t="b">
        <f t="shared" si="30"/>
        <v>0</v>
      </c>
      <c r="CN34" s="45" t="str">
        <f t="shared" si="31"/>
        <v>Nivel de actividad física bajo</v>
      </c>
      <c r="CO34" s="35">
        <v>22.0</v>
      </c>
      <c r="CP34" s="35">
        <v>90.0</v>
      </c>
      <c r="CQ34" s="44">
        <f t="shared" si="32"/>
        <v>3</v>
      </c>
      <c r="CR34" s="35">
        <v>5.0</v>
      </c>
      <c r="CS34" s="35">
        <v>0.0</v>
      </c>
      <c r="CT34" s="35">
        <v>7.0</v>
      </c>
      <c r="CU34" s="35">
        <v>5.0</v>
      </c>
      <c r="CV34" s="35">
        <v>3.0</v>
      </c>
      <c r="CW34" s="35">
        <v>3.0</v>
      </c>
      <c r="CX34" s="35">
        <v>2.0</v>
      </c>
      <c r="CY34" s="35">
        <v>2.0</v>
      </c>
      <c r="CZ34" s="35">
        <v>0.0</v>
      </c>
      <c r="DA34" s="35">
        <v>0.0</v>
      </c>
      <c r="DB34" s="35">
        <v>0.0</v>
      </c>
      <c r="DC34" s="35">
        <v>3.0</v>
      </c>
      <c r="DD34" s="35">
        <v>0.0</v>
      </c>
      <c r="DE34" s="35">
        <v>3.0</v>
      </c>
      <c r="DF34" s="36" t="s">
        <v>133</v>
      </c>
      <c r="DG34" s="53">
        <f t="shared" si="55"/>
        <v>13</v>
      </c>
      <c r="DH34" s="35">
        <v>2.0</v>
      </c>
      <c r="DI34" s="35">
        <v>0.0</v>
      </c>
      <c r="DJ34" s="35">
        <v>3.0</v>
      </c>
      <c r="DK34" s="35">
        <v>1.0</v>
      </c>
      <c r="DL34" s="46">
        <f t="shared" si="34"/>
        <v>71.42857143</v>
      </c>
      <c r="DM34" s="44">
        <f t="shared" si="35"/>
        <v>2</v>
      </c>
      <c r="DN34" s="44">
        <f t="shared" si="36"/>
        <v>2</v>
      </c>
      <c r="DO34" s="44">
        <f t="shared" si="37"/>
        <v>3</v>
      </c>
      <c r="DP34" s="44">
        <f t="shared" si="38"/>
        <v>2</v>
      </c>
      <c r="DQ34" s="44">
        <f t="shared" si="39"/>
        <v>2</v>
      </c>
      <c r="DR34" s="44">
        <f t="shared" ref="DR34:DS34" si="73">(DH34)</f>
        <v>2</v>
      </c>
      <c r="DS34" s="44">
        <f t="shared" si="73"/>
        <v>0</v>
      </c>
      <c r="DT34" s="44">
        <f t="shared" si="41"/>
        <v>13</v>
      </c>
      <c r="DU34" s="44" t="str">
        <f t="shared" si="42"/>
        <v>poor sleep quality</v>
      </c>
      <c r="DV34" s="35">
        <v>0.0</v>
      </c>
      <c r="DW34" s="36" t="s">
        <v>133</v>
      </c>
      <c r="DX34" s="35" t="s">
        <v>137</v>
      </c>
      <c r="DY34" s="35">
        <v>1.0</v>
      </c>
      <c r="DZ34" s="35" t="s">
        <v>131</v>
      </c>
      <c r="EA34" s="35" t="s">
        <v>178</v>
      </c>
      <c r="EB34" s="35" t="s">
        <v>172</v>
      </c>
      <c r="EC34" s="36" t="s">
        <v>133</v>
      </c>
      <c r="ED34" s="35" t="s">
        <v>132</v>
      </c>
      <c r="EE34" s="35" t="s">
        <v>141</v>
      </c>
      <c r="EF34" s="35">
        <f t="shared" si="51"/>
        <v>322</v>
      </c>
      <c r="EG34" s="35">
        <f t="shared" si="52"/>
        <v>322</v>
      </c>
      <c r="EH34" s="47">
        <f t="shared" si="24"/>
        <v>37.46097815</v>
      </c>
    </row>
    <row r="35" ht="15.75" customHeight="1">
      <c r="A35" s="35" t="s">
        <v>242</v>
      </c>
      <c r="B35" s="36" t="s">
        <v>175</v>
      </c>
      <c r="C35" s="37">
        <v>45065.0</v>
      </c>
      <c r="D35" s="48">
        <v>44.0</v>
      </c>
      <c r="E35" s="35" t="s">
        <v>130</v>
      </c>
      <c r="F35" s="35">
        <v>170.0</v>
      </c>
      <c r="G35" s="39">
        <v>73.0</v>
      </c>
      <c r="H35" s="40" t="s">
        <v>131</v>
      </c>
      <c r="I35" s="35">
        <v>4.0</v>
      </c>
      <c r="J35" s="41">
        <v>44562.0</v>
      </c>
      <c r="K35" s="35" t="s">
        <v>131</v>
      </c>
      <c r="L35" s="35">
        <v>2.0</v>
      </c>
      <c r="M35" s="41">
        <v>44075.0</v>
      </c>
      <c r="N35" s="35">
        <v>0.0</v>
      </c>
      <c r="O35" s="41">
        <v>44228.0</v>
      </c>
      <c r="P35" s="35" t="s">
        <v>132</v>
      </c>
      <c r="Q35" s="36" t="s">
        <v>133</v>
      </c>
      <c r="R35" s="36" t="s">
        <v>133</v>
      </c>
      <c r="S35" s="36" t="s">
        <v>133</v>
      </c>
      <c r="T35" s="36" t="s">
        <v>133</v>
      </c>
      <c r="U35" s="36" t="s">
        <v>133</v>
      </c>
      <c r="V35" s="36" t="str">
        <f t="shared" si="2"/>
        <v>Paciente ambulatorio</v>
      </c>
      <c r="W35" s="35" t="s">
        <v>176</v>
      </c>
      <c r="X35" s="35" t="s">
        <v>132</v>
      </c>
      <c r="Y35" s="35">
        <v>2.0</v>
      </c>
      <c r="Z35" s="35">
        <v>2.0</v>
      </c>
      <c r="AA35" s="35">
        <v>2.0</v>
      </c>
      <c r="AB35" s="35">
        <v>2.0</v>
      </c>
      <c r="AC35" s="35">
        <v>3.0</v>
      </c>
      <c r="AD35" s="35">
        <v>1.0</v>
      </c>
      <c r="AE35" s="35">
        <v>2.0</v>
      </c>
      <c r="AF35" s="35">
        <v>1.0</v>
      </c>
      <c r="AG35" s="35">
        <v>1.0</v>
      </c>
      <c r="AH35" s="35">
        <v>3.0</v>
      </c>
      <c r="AI35" s="35">
        <v>1.0</v>
      </c>
      <c r="AJ35" s="35">
        <v>1.0</v>
      </c>
      <c r="AK35" s="36" t="s">
        <v>133</v>
      </c>
      <c r="AL35" s="40" t="s">
        <v>132</v>
      </c>
      <c r="AM35" s="35" t="s">
        <v>132</v>
      </c>
      <c r="AN35" s="35" t="s">
        <v>132</v>
      </c>
      <c r="AO35" s="35" t="s">
        <v>132</v>
      </c>
      <c r="AP35" s="35" t="s">
        <v>132</v>
      </c>
      <c r="AQ35" s="35" t="s">
        <v>132</v>
      </c>
      <c r="AR35" s="35" t="s">
        <v>132</v>
      </c>
      <c r="AS35" s="35" t="s">
        <v>132</v>
      </c>
      <c r="AT35" s="35" t="s">
        <v>132</v>
      </c>
      <c r="AU35" s="35" t="s">
        <v>132</v>
      </c>
      <c r="AV35" s="35" t="s">
        <v>131</v>
      </c>
      <c r="AW35" s="35" t="s">
        <v>243</v>
      </c>
      <c r="AX35" s="35" t="s">
        <v>165</v>
      </c>
      <c r="AY35" s="36" t="s">
        <v>133</v>
      </c>
      <c r="AZ35" s="35">
        <v>22.0</v>
      </c>
      <c r="BA35" s="36" t="s">
        <v>133</v>
      </c>
      <c r="BB35" s="35" t="s">
        <v>135</v>
      </c>
      <c r="BC35" s="39">
        <v>1.0</v>
      </c>
      <c r="BD35" s="40">
        <v>1.0</v>
      </c>
      <c r="BE35" s="35">
        <v>1.0</v>
      </c>
      <c r="BF35" s="35">
        <v>3.0</v>
      </c>
      <c r="BG35" s="35">
        <v>2.0</v>
      </c>
      <c r="BH35" s="35">
        <v>1.0</v>
      </c>
      <c r="BI35" s="44" t="str">
        <f t="shared" si="3"/>
        <v>11321</v>
      </c>
      <c r="BJ35" s="35">
        <v>85.0</v>
      </c>
      <c r="BK35" s="35">
        <v>3.0</v>
      </c>
      <c r="BL35" s="35">
        <v>3.0</v>
      </c>
      <c r="BM35" s="35">
        <v>1.0</v>
      </c>
      <c r="BN35" s="35">
        <v>2.0</v>
      </c>
      <c r="BO35" s="35">
        <v>4.0</v>
      </c>
      <c r="BP35" s="35">
        <v>3.0</v>
      </c>
      <c r="BQ35" s="35">
        <v>2.0</v>
      </c>
      <c r="BR35" s="35">
        <v>1.0</v>
      </c>
      <c r="BS35" s="35">
        <v>3.0</v>
      </c>
      <c r="BT35" s="35">
        <v>2.0</v>
      </c>
      <c r="BU35" s="44">
        <f t="shared" si="4"/>
        <v>4</v>
      </c>
      <c r="BV35" s="44">
        <f t="shared" si="5"/>
        <v>4</v>
      </c>
      <c r="BW35" s="44">
        <f t="shared" si="53"/>
        <v>26</v>
      </c>
      <c r="BX35" s="44" t="str">
        <f t="shared" si="7"/>
        <v>FATIGA</v>
      </c>
      <c r="BY35" s="35">
        <v>4.0</v>
      </c>
      <c r="BZ35" s="35">
        <v>1.0</v>
      </c>
      <c r="CA35" s="35">
        <v>0.0</v>
      </c>
      <c r="CB35" s="35">
        <v>0.0</v>
      </c>
      <c r="CC35" s="35">
        <v>0.0</v>
      </c>
      <c r="CD35" s="35">
        <v>0.0</v>
      </c>
      <c r="CE35" s="35">
        <v>3.0</v>
      </c>
      <c r="CF35" s="35">
        <v>1.0</v>
      </c>
      <c r="CG35" s="35">
        <v>0.0</v>
      </c>
      <c r="CH35" s="35">
        <v>4.0</v>
      </c>
      <c r="CI35" s="35">
        <v>0.0</v>
      </c>
      <c r="CJ35" s="44">
        <f t="shared" si="27"/>
        <v>2514</v>
      </c>
      <c r="CK35" s="44">
        <f t="shared" si="28"/>
        <v>7</v>
      </c>
      <c r="CL35" s="44" t="str">
        <f t="shared" si="29"/>
        <v>Nivel de actividad física alto</v>
      </c>
      <c r="CM35" s="44" t="str">
        <f t="shared" si="30"/>
        <v>Nivel de actividad física moderado</v>
      </c>
      <c r="CN35" s="45" t="str">
        <f t="shared" si="31"/>
        <v>Nivel de actividad física alto</v>
      </c>
      <c r="CO35" s="35">
        <v>23.0</v>
      </c>
      <c r="CP35" s="35">
        <v>0.0</v>
      </c>
      <c r="CQ35" s="44">
        <f t="shared" si="32"/>
        <v>0</v>
      </c>
      <c r="CR35" s="35">
        <v>6.0</v>
      </c>
      <c r="CS35" s="35">
        <v>0.0</v>
      </c>
      <c r="CT35" s="35">
        <v>7.0</v>
      </c>
      <c r="CU35" s="35">
        <v>7.0</v>
      </c>
      <c r="CV35" s="35">
        <v>0.0</v>
      </c>
      <c r="CW35" s="35">
        <v>1.0</v>
      </c>
      <c r="CX35" s="35">
        <v>0.0</v>
      </c>
      <c r="CY35" s="35">
        <v>0.0</v>
      </c>
      <c r="CZ35" s="35">
        <v>0.0</v>
      </c>
      <c r="DA35" s="35">
        <v>0.0</v>
      </c>
      <c r="DB35" s="35">
        <v>0.0</v>
      </c>
      <c r="DC35" s="35">
        <v>0.0</v>
      </c>
      <c r="DD35" s="35">
        <v>0.0</v>
      </c>
      <c r="DE35" s="35">
        <v>2.0</v>
      </c>
      <c r="DF35" s="35" t="s">
        <v>244</v>
      </c>
      <c r="DG35" s="53">
        <f t="shared" si="55"/>
        <v>3</v>
      </c>
      <c r="DH35" s="35">
        <v>0.0</v>
      </c>
      <c r="DI35" s="35">
        <v>0.0</v>
      </c>
      <c r="DJ35" s="35">
        <v>3.0</v>
      </c>
      <c r="DK35" s="35">
        <v>2.0</v>
      </c>
      <c r="DL35" s="46">
        <f t="shared" si="34"/>
        <v>100</v>
      </c>
      <c r="DM35" s="44">
        <f t="shared" si="35"/>
        <v>0</v>
      </c>
      <c r="DN35" s="44">
        <f t="shared" si="36"/>
        <v>1</v>
      </c>
      <c r="DO35" s="44">
        <f t="shared" si="37"/>
        <v>0</v>
      </c>
      <c r="DP35" s="44">
        <f t="shared" si="38"/>
        <v>3</v>
      </c>
      <c r="DQ35" s="44">
        <f t="shared" si="39"/>
        <v>0</v>
      </c>
      <c r="DR35" s="44">
        <f t="shared" ref="DR35:DS35" si="74">(DH35)</f>
        <v>0</v>
      </c>
      <c r="DS35" s="44">
        <f t="shared" si="74"/>
        <v>0</v>
      </c>
      <c r="DT35" s="44">
        <f t="shared" si="41"/>
        <v>4</v>
      </c>
      <c r="DU35" s="44" t="str">
        <f t="shared" si="42"/>
        <v>good sleep quality</v>
      </c>
      <c r="DV35" s="35">
        <v>3.0</v>
      </c>
      <c r="DW35" s="35" t="s">
        <v>149</v>
      </c>
      <c r="DX35" s="35" t="s">
        <v>146</v>
      </c>
      <c r="DY35" s="35" t="s">
        <v>156</v>
      </c>
      <c r="DZ35" s="35" t="s">
        <v>131</v>
      </c>
      <c r="EA35" s="35" t="s">
        <v>167</v>
      </c>
      <c r="EB35" s="35" t="s">
        <v>172</v>
      </c>
      <c r="EC35" s="36" t="s">
        <v>133</v>
      </c>
      <c r="ED35" s="35" t="s">
        <v>131</v>
      </c>
      <c r="EE35" s="35" t="s">
        <v>141</v>
      </c>
      <c r="EF35" s="35">
        <f t="shared" si="51"/>
        <v>990</v>
      </c>
      <c r="EG35" s="35">
        <f t="shared" si="52"/>
        <v>837</v>
      </c>
      <c r="EH35" s="47">
        <f t="shared" si="24"/>
        <v>25.25951557</v>
      </c>
    </row>
    <row r="36" ht="15.75" customHeight="1">
      <c r="A36" s="35" t="s">
        <v>245</v>
      </c>
      <c r="B36" s="36" t="s">
        <v>175</v>
      </c>
      <c r="C36" s="37">
        <v>45068.0</v>
      </c>
      <c r="D36" s="48">
        <v>39.0</v>
      </c>
      <c r="E36" s="35" t="s">
        <v>130</v>
      </c>
      <c r="F36" s="35">
        <v>153.0</v>
      </c>
      <c r="G36" s="39">
        <v>40.0</v>
      </c>
      <c r="H36" s="40" t="s">
        <v>131</v>
      </c>
      <c r="I36" s="35">
        <v>3.0</v>
      </c>
      <c r="J36" s="41">
        <v>44682.0</v>
      </c>
      <c r="K36" s="35" t="s">
        <v>131</v>
      </c>
      <c r="L36" s="35">
        <v>2.0</v>
      </c>
      <c r="M36" s="41">
        <v>44075.0</v>
      </c>
      <c r="N36" s="35">
        <v>0.0</v>
      </c>
      <c r="O36" s="41">
        <v>44562.0</v>
      </c>
      <c r="P36" s="35" t="s">
        <v>132</v>
      </c>
      <c r="Q36" s="36" t="s">
        <v>133</v>
      </c>
      <c r="R36" s="36" t="s">
        <v>133</v>
      </c>
      <c r="S36" s="36" t="s">
        <v>133</v>
      </c>
      <c r="T36" s="36" t="s">
        <v>133</v>
      </c>
      <c r="U36" s="36" t="s">
        <v>133</v>
      </c>
      <c r="V36" s="36" t="str">
        <f t="shared" si="2"/>
        <v>Paciente ambulatorio</v>
      </c>
      <c r="W36" s="35" t="s">
        <v>183</v>
      </c>
      <c r="X36" s="36" t="s">
        <v>133</v>
      </c>
      <c r="Y36" s="35">
        <v>1.0</v>
      </c>
      <c r="Z36" s="35">
        <v>1.0</v>
      </c>
      <c r="AA36" s="35">
        <v>1.0</v>
      </c>
      <c r="AB36" s="35">
        <v>2.0</v>
      </c>
      <c r="AC36" s="35">
        <v>1.0</v>
      </c>
      <c r="AD36" s="35">
        <v>1.0</v>
      </c>
      <c r="AE36" s="35">
        <v>3.0</v>
      </c>
      <c r="AF36" s="35">
        <v>1.0</v>
      </c>
      <c r="AG36" s="35">
        <v>1.0</v>
      </c>
      <c r="AH36" s="35">
        <v>3.0</v>
      </c>
      <c r="AI36" s="35">
        <v>1.0</v>
      </c>
      <c r="AJ36" s="35">
        <v>3.0</v>
      </c>
      <c r="AK36" s="39" t="s">
        <v>246</v>
      </c>
      <c r="AL36" s="40" t="s">
        <v>132</v>
      </c>
      <c r="AM36" s="35" t="s">
        <v>132</v>
      </c>
      <c r="AN36" s="35" t="s">
        <v>132</v>
      </c>
      <c r="AO36" s="35" t="s">
        <v>132</v>
      </c>
      <c r="AP36" s="35" t="s">
        <v>132</v>
      </c>
      <c r="AQ36" s="35" t="s">
        <v>132</v>
      </c>
      <c r="AR36" s="35" t="s">
        <v>132</v>
      </c>
      <c r="AS36" s="35" t="s">
        <v>132</v>
      </c>
      <c r="AT36" s="35" t="s">
        <v>132</v>
      </c>
      <c r="AU36" s="35" t="s">
        <v>132</v>
      </c>
      <c r="AV36" s="35" t="s">
        <v>131</v>
      </c>
      <c r="AW36" s="35" t="s">
        <v>218</v>
      </c>
      <c r="AX36" s="35" t="s">
        <v>132</v>
      </c>
      <c r="AY36" s="36" t="s">
        <v>133</v>
      </c>
      <c r="AZ36" s="36" t="s">
        <v>133</v>
      </c>
      <c r="BA36" s="36" t="s">
        <v>133</v>
      </c>
      <c r="BB36" s="35" t="s">
        <v>145</v>
      </c>
      <c r="BC36" s="36" t="s">
        <v>133</v>
      </c>
      <c r="BD36" s="40">
        <v>2.0</v>
      </c>
      <c r="BE36" s="35">
        <v>1.0</v>
      </c>
      <c r="BF36" s="35">
        <v>2.0</v>
      </c>
      <c r="BG36" s="35">
        <v>1.0</v>
      </c>
      <c r="BH36" s="35">
        <v>1.0</v>
      </c>
      <c r="BI36" s="44" t="str">
        <f t="shared" si="3"/>
        <v>21211</v>
      </c>
      <c r="BJ36" s="35">
        <v>80.0</v>
      </c>
      <c r="BK36" s="35">
        <v>3.0</v>
      </c>
      <c r="BL36" s="35">
        <v>4.0</v>
      </c>
      <c r="BM36" s="35">
        <v>1.0</v>
      </c>
      <c r="BN36" s="35">
        <v>3.0</v>
      </c>
      <c r="BO36" s="35">
        <v>2.0</v>
      </c>
      <c r="BP36" s="35">
        <v>2.0</v>
      </c>
      <c r="BQ36" s="35">
        <v>1.0</v>
      </c>
      <c r="BR36" s="35">
        <v>1.0</v>
      </c>
      <c r="BS36" s="35">
        <v>1.0</v>
      </c>
      <c r="BT36" s="35">
        <v>2.0</v>
      </c>
      <c r="BU36" s="44">
        <f t="shared" si="4"/>
        <v>3</v>
      </c>
      <c r="BV36" s="44">
        <f t="shared" si="5"/>
        <v>4</v>
      </c>
      <c r="BW36" s="44">
        <f t="shared" si="53"/>
        <v>21</v>
      </c>
      <c r="BX36" s="44" t="str">
        <f t="shared" si="7"/>
        <v>NO HAY FATIGA</v>
      </c>
      <c r="BY36" s="35">
        <v>0.0</v>
      </c>
      <c r="BZ36" s="35">
        <v>0.0</v>
      </c>
      <c r="CA36" s="35">
        <v>0.0</v>
      </c>
      <c r="CB36" s="35">
        <v>4.0</v>
      </c>
      <c r="CC36" s="35">
        <v>1.0</v>
      </c>
      <c r="CD36" s="35">
        <v>0.0</v>
      </c>
      <c r="CE36" s="35">
        <v>3.0</v>
      </c>
      <c r="CF36" s="35">
        <v>0.0</v>
      </c>
      <c r="CG36" s="35">
        <v>10.0</v>
      </c>
      <c r="CH36" s="35">
        <v>2.0</v>
      </c>
      <c r="CI36" s="35">
        <v>0.0</v>
      </c>
      <c r="CJ36" s="44">
        <f t="shared" si="27"/>
        <v>1059</v>
      </c>
      <c r="CK36" s="44">
        <f t="shared" si="28"/>
        <v>7</v>
      </c>
      <c r="CL36" s="44" t="b">
        <f t="shared" si="29"/>
        <v>0</v>
      </c>
      <c r="CM36" s="44" t="str">
        <f t="shared" si="30"/>
        <v>Nivel de actividad física moderado</v>
      </c>
      <c r="CN36" s="45" t="str">
        <f t="shared" si="31"/>
        <v>Nivel de actividad física moderado</v>
      </c>
      <c r="CO36" s="35">
        <v>0.0</v>
      </c>
      <c r="CP36" s="35">
        <v>130.0</v>
      </c>
      <c r="CQ36" s="44">
        <f t="shared" si="32"/>
        <v>3</v>
      </c>
      <c r="CR36" s="35">
        <v>6.0</v>
      </c>
      <c r="CS36" s="35">
        <v>30.0</v>
      </c>
      <c r="CT36" s="35">
        <v>6.5</v>
      </c>
      <c r="CU36" s="35">
        <v>7.0</v>
      </c>
      <c r="CV36" s="35">
        <v>1.0</v>
      </c>
      <c r="CW36" s="35">
        <v>3.0</v>
      </c>
      <c r="CX36" s="35">
        <v>0.0</v>
      </c>
      <c r="CY36" s="35">
        <v>0.0</v>
      </c>
      <c r="CZ36" s="35">
        <v>0.0</v>
      </c>
      <c r="DA36" s="35">
        <v>0.0</v>
      </c>
      <c r="DB36" s="35">
        <v>2.0</v>
      </c>
      <c r="DC36" s="35">
        <v>0.0</v>
      </c>
      <c r="DD36" s="35">
        <v>0.0</v>
      </c>
      <c r="DE36" s="36" t="s">
        <v>133</v>
      </c>
      <c r="DF36" s="36" t="s">
        <v>133</v>
      </c>
      <c r="DG36" s="53">
        <f t="shared" si="55"/>
        <v>5</v>
      </c>
      <c r="DH36" s="35">
        <v>1.0</v>
      </c>
      <c r="DI36" s="35">
        <v>0.0</v>
      </c>
      <c r="DJ36" s="35">
        <v>2.0</v>
      </c>
      <c r="DK36" s="35">
        <v>1.0</v>
      </c>
      <c r="DL36" s="46">
        <f t="shared" si="34"/>
        <v>107.6923077</v>
      </c>
      <c r="DM36" s="44">
        <f t="shared" si="35"/>
        <v>0</v>
      </c>
      <c r="DN36" s="44">
        <f t="shared" si="36"/>
        <v>1</v>
      </c>
      <c r="DO36" s="44">
        <f t="shared" si="37"/>
        <v>2</v>
      </c>
      <c r="DP36" s="44">
        <f t="shared" si="38"/>
        <v>2</v>
      </c>
      <c r="DQ36" s="44">
        <f t="shared" si="39"/>
        <v>0</v>
      </c>
      <c r="DR36" s="44">
        <f t="shared" ref="DR36:DS36" si="75">(DH36)</f>
        <v>1</v>
      </c>
      <c r="DS36" s="44">
        <f t="shared" si="75"/>
        <v>0</v>
      </c>
      <c r="DT36" s="44">
        <f t="shared" si="41"/>
        <v>6</v>
      </c>
      <c r="DU36" s="44" t="str">
        <f t="shared" si="42"/>
        <v>poor sleep quality</v>
      </c>
      <c r="DV36" s="35">
        <v>2.0</v>
      </c>
      <c r="DW36" s="35" t="s">
        <v>247</v>
      </c>
      <c r="DX36" s="35" t="s">
        <v>146</v>
      </c>
      <c r="DY36" s="35">
        <v>2.0</v>
      </c>
      <c r="DZ36" s="35" t="s">
        <v>131</v>
      </c>
      <c r="EA36" s="35" t="s">
        <v>147</v>
      </c>
      <c r="EB36" s="35" t="s">
        <v>248</v>
      </c>
      <c r="EC36" s="35" t="s">
        <v>132</v>
      </c>
      <c r="ED36" s="35" t="s">
        <v>132</v>
      </c>
      <c r="EE36" s="35" t="s">
        <v>203</v>
      </c>
      <c r="EF36" s="35">
        <f t="shared" si="51"/>
        <v>993</v>
      </c>
      <c r="EG36" s="35">
        <f t="shared" si="52"/>
        <v>506</v>
      </c>
      <c r="EH36" s="47">
        <f t="shared" si="24"/>
        <v>17.087445</v>
      </c>
    </row>
    <row r="37" ht="15.75" customHeight="1">
      <c r="A37" s="35" t="s">
        <v>249</v>
      </c>
      <c r="B37" s="36" t="s">
        <v>175</v>
      </c>
      <c r="C37" s="37">
        <v>45068.0</v>
      </c>
      <c r="D37" s="48">
        <v>49.0</v>
      </c>
      <c r="E37" s="35" t="s">
        <v>153</v>
      </c>
      <c r="F37" s="35">
        <v>183.0</v>
      </c>
      <c r="G37" s="39">
        <v>104.0</v>
      </c>
      <c r="H37" s="40" t="s">
        <v>131</v>
      </c>
      <c r="I37" s="35">
        <v>5.0</v>
      </c>
      <c r="J37" s="41">
        <v>44958.0</v>
      </c>
      <c r="K37" s="35" t="s">
        <v>131</v>
      </c>
      <c r="L37" s="35">
        <v>1.0</v>
      </c>
      <c r="M37" s="41">
        <v>44075.0</v>
      </c>
      <c r="N37" s="35">
        <v>0.0</v>
      </c>
      <c r="O37" s="41">
        <v>44075.0</v>
      </c>
      <c r="P37" s="35" t="s">
        <v>132</v>
      </c>
      <c r="Q37" s="36" t="s">
        <v>133</v>
      </c>
      <c r="R37" s="36" t="s">
        <v>133</v>
      </c>
      <c r="S37" s="36" t="s">
        <v>133</v>
      </c>
      <c r="T37" s="36" t="s">
        <v>133</v>
      </c>
      <c r="U37" s="36" t="s">
        <v>133</v>
      </c>
      <c r="V37" s="36" t="str">
        <f t="shared" si="2"/>
        <v>Paciente ambulatorio</v>
      </c>
      <c r="W37" s="35" t="s">
        <v>176</v>
      </c>
      <c r="X37" s="35" t="s">
        <v>132</v>
      </c>
      <c r="Y37" s="35">
        <v>3.0</v>
      </c>
      <c r="Z37" s="35">
        <v>1.0</v>
      </c>
      <c r="AA37" s="35">
        <v>2.0</v>
      </c>
      <c r="AB37" s="35">
        <v>2.0</v>
      </c>
      <c r="AC37" s="35">
        <v>1.0</v>
      </c>
      <c r="AD37" s="35">
        <v>1.0</v>
      </c>
      <c r="AE37" s="35">
        <v>1.0</v>
      </c>
      <c r="AF37" s="35">
        <v>1.0</v>
      </c>
      <c r="AG37" s="35">
        <v>1.0</v>
      </c>
      <c r="AH37" s="35">
        <v>1.0</v>
      </c>
      <c r="AI37" s="35">
        <v>1.0</v>
      </c>
      <c r="AJ37" s="35">
        <v>1.0</v>
      </c>
      <c r="AK37" s="36" t="s">
        <v>133</v>
      </c>
      <c r="AL37" s="40" t="s">
        <v>132</v>
      </c>
      <c r="AM37" s="35" t="s">
        <v>132</v>
      </c>
      <c r="AN37" s="35" t="s">
        <v>132</v>
      </c>
      <c r="AO37" s="35" t="s">
        <v>132</v>
      </c>
      <c r="AP37" s="35" t="s">
        <v>132</v>
      </c>
      <c r="AQ37" s="35" t="s">
        <v>132</v>
      </c>
      <c r="AR37" s="35" t="s">
        <v>132</v>
      </c>
      <c r="AS37" s="35" t="s">
        <v>132</v>
      </c>
      <c r="AT37" s="35" t="s">
        <v>132</v>
      </c>
      <c r="AU37" s="35" t="s">
        <v>132</v>
      </c>
      <c r="AV37" s="35" t="s">
        <v>132</v>
      </c>
      <c r="AW37" s="36" t="s">
        <v>133</v>
      </c>
      <c r="AX37" s="35" t="s">
        <v>131</v>
      </c>
      <c r="AY37" s="36" t="s">
        <v>133</v>
      </c>
      <c r="AZ37" s="36" t="s">
        <v>133</v>
      </c>
      <c r="BA37" s="36" t="s">
        <v>133</v>
      </c>
      <c r="BB37" s="35" t="s">
        <v>145</v>
      </c>
      <c r="BC37" s="36" t="s">
        <v>133</v>
      </c>
      <c r="BD37" s="40">
        <v>1.0</v>
      </c>
      <c r="BE37" s="35">
        <v>1.0</v>
      </c>
      <c r="BF37" s="35">
        <v>2.0</v>
      </c>
      <c r="BG37" s="35">
        <v>1.0</v>
      </c>
      <c r="BH37" s="35">
        <v>2.0</v>
      </c>
      <c r="BI37" s="44" t="str">
        <f t="shared" si="3"/>
        <v>11212</v>
      </c>
      <c r="BJ37" s="35">
        <v>75.0</v>
      </c>
      <c r="BK37" s="35">
        <v>3.0</v>
      </c>
      <c r="BL37" s="35">
        <v>2.0</v>
      </c>
      <c r="BM37" s="35">
        <v>1.0</v>
      </c>
      <c r="BN37" s="35">
        <v>5.0</v>
      </c>
      <c r="BO37" s="35">
        <v>2.0</v>
      </c>
      <c r="BP37" s="35">
        <v>1.0</v>
      </c>
      <c r="BQ37" s="35">
        <v>2.0</v>
      </c>
      <c r="BR37" s="35">
        <v>2.0</v>
      </c>
      <c r="BS37" s="35">
        <v>5.0</v>
      </c>
      <c r="BT37" s="35">
        <v>2.0</v>
      </c>
      <c r="BU37" s="44">
        <f t="shared" si="4"/>
        <v>1</v>
      </c>
      <c r="BV37" s="44">
        <f t="shared" si="5"/>
        <v>4</v>
      </c>
      <c r="BW37" s="44">
        <f t="shared" si="53"/>
        <v>24</v>
      </c>
      <c r="BX37" s="44" t="str">
        <f t="shared" si="7"/>
        <v>FATIGA</v>
      </c>
      <c r="BY37" s="35">
        <v>1.0</v>
      </c>
      <c r="BZ37" s="35">
        <v>0.0</v>
      </c>
      <c r="CA37" s="35">
        <v>10.0</v>
      </c>
      <c r="CB37" s="35">
        <v>0.0</v>
      </c>
      <c r="CC37" s="35">
        <v>0.0</v>
      </c>
      <c r="CD37" s="35">
        <v>0.0</v>
      </c>
      <c r="CE37" s="35">
        <v>2.0</v>
      </c>
      <c r="CF37" s="35">
        <v>0.0</v>
      </c>
      <c r="CG37" s="35">
        <v>10.0</v>
      </c>
      <c r="CH37" s="35">
        <v>2.0</v>
      </c>
      <c r="CI37" s="35">
        <v>0.0</v>
      </c>
      <c r="CJ37" s="44">
        <f t="shared" si="27"/>
        <v>146</v>
      </c>
      <c r="CK37" s="44">
        <f t="shared" si="28"/>
        <v>3</v>
      </c>
      <c r="CL37" s="44" t="b">
        <f t="shared" si="29"/>
        <v>0</v>
      </c>
      <c r="CM37" s="44" t="b">
        <f t="shared" si="30"/>
        <v>0</v>
      </c>
      <c r="CN37" s="45" t="str">
        <f t="shared" si="31"/>
        <v>Nivel de actividad física bajo</v>
      </c>
      <c r="CO37" s="35">
        <v>23.0</v>
      </c>
      <c r="CP37" s="35">
        <v>45.0</v>
      </c>
      <c r="CQ37" s="44">
        <f t="shared" si="32"/>
        <v>2</v>
      </c>
      <c r="CR37" s="35">
        <v>5.0</v>
      </c>
      <c r="CS37" s="35">
        <v>50.0</v>
      </c>
      <c r="CT37" s="35">
        <v>6.0</v>
      </c>
      <c r="CU37" s="35">
        <v>5.0</v>
      </c>
      <c r="CV37" s="35">
        <v>0.0</v>
      </c>
      <c r="CW37" s="35">
        <v>3.0</v>
      </c>
      <c r="CX37" s="35">
        <v>0.0</v>
      </c>
      <c r="CY37" s="35">
        <v>0.0</v>
      </c>
      <c r="CZ37" s="35">
        <v>1.0</v>
      </c>
      <c r="DA37" s="35">
        <v>0.0</v>
      </c>
      <c r="DB37" s="35">
        <v>2.0</v>
      </c>
      <c r="DC37" s="35">
        <v>0.0</v>
      </c>
      <c r="DD37" s="35">
        <v>2.0</v>
      </c>
      <c r="DE37" s="35">
        <v>3.0</v>
      </c>
      <c r="DF37" s="36" t="s">
        <v>133</v>
      </c>
      <c r="DG37" s="53">
        <f t="shared" si="55"/>
        <v>11</v>
      </c>
      <c r="DH37" s="35">
        <v>1.0</v>
      </c>
      <c r="DI37" s="35">
        <v>0.0</v>
      </c>
      <c r="DJ37" s="35">
        <v>3.0</v>
      </c>
      <c r="DK37" s="35">
        <v>0.0</v>
      </c>
      <c r="DL37" s="46">
        <f t="shared" si="34"/>
        <v>83.33333333</v>
      </c>
      <c r="DM37" s="44">
        <f t="shared" si="35"/>
        <v>2</v>
      </c>
      <c r="DN37" s="44">
        <f t="shared" si="36"/>
        <v>2</v>
      </c>
      <c r="DO37" s="44">
        <f t="shared" si="37"/>
        <v>1</v>
      </c>
      <c r="DP37" s="44">
        <f t="shared" si="38"/>
        <v>2</v>
      </c>
      <c r="DQ37" s="44">
        <f t="shared" si="39"/>
        <v>1</v>
      </c>
      <c r="DR37" s="44">
        <f t="shared" ref="DR37:DS37" si="76">(DH37)</f>
        <v>1</v>
      </c>
      <c r="DS37" s="44">
        <f t="shared" si="76"/>
        <v>0</v>
      </c>
      <c r="DT37" s="44">
        <f t="shared" si="41"/>
        <v>9</v>
      </c>
      <c r="DU37" s="44" t="str">
        <f t="shared" si="42"/>
        <v>poor sleep quality</v>
      </c>
      <c r="DV37" s="35">
        <v>3.0</v>
      </c>
      <c r="DW37" s="35" t="s">
        <v>149</v>
      </c>
      <c r="DX37" s="35" t="s">
        <v>146</v>
      </c>
      <c r="DY37" s="35">
        <v>1.0</v>
      </c>
      <c r="DZ37" s="35" t="s">
        <v>131</v>
      </c>
      <c r="EA37" s="35" t="s">
        <v>138</v>
      </c>
      <c r="EB37" s="35" t="s">
        <v>139</v>
      </c>
      <c r="EC37" s="35" t="s">
        <v>140</v>
      </c>
      <c r="ED37" s="35" t="s">
        <v>131</v>
      </c>
      <c r="EE37" s="35" t="s">
        <v>141</v>
      </c>
      <c r="EF37" s="35">
        <f t="shared" si="51"/>
        <v>993</v>
      </c>
      <c r="EG37" s="35">
        <f t="shared" si="52"/>
        <v>993</v>
      </c>
      <c r="EH37" s="47">
        <f t="shared" si="24"/>
        <v>31.05497327</v>
      </c>
    </row>
    <row r="38" ht="15.75" customHeight="1">
      <c r="A38" s="35" t="s">
        <v>250</v>
      </c>
      <c r="B38" s="36" t="s">
        <v>175</v>
      </c>
      <c r="C38" s="37">
        <v>45075.0</v>
      </c>
      <c r="D38" s="48">
        <v>57.0</v>
      </c>
      <c r="E38" s="35" t="s">
        <v>130</v>
      </c>
      <c r="F38" s="35">
        <v>170.0</v>
      </c>
      <c r="G38" s="39">
        <v>72.0</v>
      </c>
      <c r="H38" s="40" t="s">
        <v>131</v>
      </c>
      <c r="I38" s="35">
        <v>4.0</v>
      </c>
      <c r="J38" s="41">
        <v>44835.0</v>
      </c>
      <c r="K38" s="35" t="s">
        <v>131</v>
      </c>
      <c r="L38" s="35">
        <v>3.0</v>
      </c>
      <c r="M38" s="41">
        <v>44682.0</v>
      </c>
      <c r="N38" s="35">
        <v>2.0</v>
      </c>
      <c r="O38" s="41">
        <v>44713.0</v>
      </c>
      <c r="P38" s="35" t="s">
        <v>132</v>
      </c>
      <c r="Q38" s="36" t="s">
        <v>133</v>
      </c>
      <c r="R38" s="36" t="s">
        <v>133</v>
      </c>
      <c r="S38" s="36" t="s">
        <v>133</v>
      </c>
      <c r="T38" s="36" t="s">
        <v>133</v>
      </c>
      <c r="U38" s="36" t="s">
        <v>133</v>
      </c>
      <c r="V38" s="36" t="str">
        <f t="shared" si="2"/>
        <v>Paciente ambulatorio</v>
      </c>
      <c r="W38" s="35" t="s">
        <v>176</v>
      </c>
      <c r="X38" s="35" t="s">
        <v>132</v>
      </c>
      <c r="Y38" s="35">
        <v>3.0</v>
      </c>
      <c r="Z38" s="35">
        <v>1.0</v>
      </c>
      <c r="AA38" s="35">
        <v>3.0</v>
      </c>
      <c r="AB38" s="35">
        <v>3.0</v>
      </c>
      <c r="AC38" s="35">
        <v>3.0</v>
      </c>
      <c r="AD38" s="35">
        <v>1.0</v>
      </c>
      <c r="AE38" s="35">
        <v>1.0</v>
      </c>
      <c r="AF38" s="35">
        <v>1.0</v>
      </c>
      <c r="AG38" s="35">
        <v>3.0</v>
      </c>
      <c r="AH38" s="35">
        <v>3.0</v>
      </c>
      <c r="AI38" s="35">
        <v>1.0</v>
      </c>
      <c r="AJ38" s="35">
        <v>1.0</v>
      </c>
      <c r="AK38" s="36" t="s">
        <v>133</v>
      </c>
      <c r="AL38" s="40" t="s">
        <v>131</v>
      </c>
      <c r="AM38" s="35" t="s">
        <v>132</v>
      </c>
      <c r="AN38" s="35" t="s">
        <v>132</v>
      </c>
      <c r="AO38" s="35" t="s">
        <v>132</v>
      </c>
      <c r="AP38" s="35" t="s">
        <v>132</v>
      </c>
      <c r="AQ38" s="35" t="s">
        <v>132</v>
      </c>
      <c r="AR38" s="35" t="s">
        <v>132</v>
      </c>
      <c r="AS38" s="35" t="s">
        <v>131</v>
      </c>
      <c r="AT38" s="35" t="s">
        <v>132</v>
      </c>
      <c r="AU38" s="35" t="s">
        <v>132</v>
      </c>
      <c r="AV38" s="35" t="s">
        <v>132</v>
      </c>
      <c r="AW38" s="36" t="s">
        <v>133</v>
      </c>
      <c r="AX38" s="35" t="s">
        <v>131</v>
      </c>
      <c r="AY38" s="35">
        <v>12.0</v>
      </c>
      <c r="AZ38" s="35">
        <v>30.0</v>
      </c>
      <c r="BA38" s="36" t="s">
        <v>133</v>
      </c>
      <c r="BB38" s="35" t="s">
        <v>145</v>
      </c>
      <c r="BC38" s="36" t="s">
        <v>133</v>
      </c>
      <c r="BD38" s="40">
        <v>1.0</v>
      </c>
      <c r="BE38" s="35">
        <v>1.0</v>
      </c>
      <c r="BF38" s="35">
        <v>1.0</v>
      </c>
      <c r="BG38" s="35">
        <v>1.0</v>
      </c>
      <c r="BH38" s="35">
        <v>2.0</v>
      </c>
      <c r="BI38" s="44" t="str">
        <f t="shared" si="3"/>
        <v>11112</v>
      </c>
      <c r="BJ38" s="35">
        <v>70.0</v>
      </c>
      <c r="BK38" s="35">
        <v>4.0</v>
      </c>
      <c r="BL38" s="35">
        <v>4.0</v>
      </c>
      <c r="BM38" s="35">
        <v>4.0</v>
      </c>
      <c r="BN38" s="35">
        <v>2.0</v>
      </c>
      <c r="BO38" s="35">
        <v>2.0</v>
      </c>
      <c r="BP38" s="35">
        <v>2.0</v>
      </c>
      <c r="BQ38" s="35">
        <v>2.0</v>
      </c>
      <c r="BR38" s="35">
        <v>2.0</v>
      </c>
      <c r="BS38" s="35">
        <v>2.0</v>
      </c>
      <c r="BT38" s="35">
        <v>2.0</v>
      </c>
      <c r="BU38" s="44">
        <f t="shared" si="4"/>
        <v>4</v>
      </c>
      <c r="BV38" s="44">
        <f t="shared" si="5"/>
        <v>4</v>
      </c>
      <c r="BW38" s="44">
        <f t="shared" si="53"/>
        <v>28</v>
      </c>
      <c r="BX38" s="44" t="str">
        <f t="shared" si="7"/>
        <v>FATIGA</v>
      </c>
      <c r="BY38" s="35">
        <v>0.0</v>
      </c>
      <c r="BZ38" s="35">
        <v>0.0</v>
      </c>
      <c r="CA38" s="35">
        <v>0.0</v>
      </c>
      <c r="CB38" s="35">
        <v>0.0</v>
      </c>
      <c r="CC38" s="35">
        <v>0.0</v>
      </c>
      <c r="CD38" s="35">
        <v>0.0</v>
      </c>
      <c r="CE38" s="35">
        <v>0.0</v>
      </c>
      <c r="CF38" s="35">
        <v>0.0</v>
      </c>
      <c r="CG38" s="35">
        <v>0.0</v>
      </c>
      <c r="CH38" s="35">
        <v>2.0</v>
      </c>
      <c r="CI38" s="35">
        <v>0.0</v>
      </c>
      <c r="CJ38" s="44">
        <f t="shared" si="27"/>
        <v>0</v>
      </c>
      <c r="CK38" s="44">
        <f t="shared" si="28"/>
        <v>0</v>
      </c>
      <c r="CL38" s="44" t="b">
        <f t="shared" si="29"/>
        <v>0</v>
      </c>
      <c r="CM38" s="44" t="b">
        <f t="shared" si="30"/>
        <v>0</v>
      </c>
      <c r="CN38" s="45" t="str">
        <f t="shared" si="31"/>
        <v>Nivel de actividad física bajo</v>
      </c>
      <c r="CO38" s="51">
        <v>0.9791666666666666</v>
      </c>
      <c r="CP38" s="35">
        <v>15.0</v>
      </c>
      <c r="CQ38" s="44">
        <f t="shared" si="32"/>
        <v>0</v>
      </c>
      <c r="CR38" s="35">
        <v>6.0</v>
      </c>
      <c r="CS38" s="35">
        <v>30.0</v>
      </c>
      <c r="CT38" s="35">
        <v>7.0</v>
      </c>
      <c r="CU38" s="35">
        <v>5.0</v>
      </c>
      <c r="CV38" s="35">
        <v>2.0</v>
      </c>
      <c r="CW38" s="35">
        <v>0.0</v>
      </c>
      <c r="CX38" s="35">
        <v>0.0</v>
      </c>
      <c r="CY38" s="35">
        <v>0.0</v>
      </c>
      <c r="CZ38" s="35">
        <v>3.0</v>
      </c>
      <c r="DA38" s="35">
        <v>0.0</v>
      </c>
      <c r="DB38" s="35">
        <v>0.0</v>
      </c>
      <c r="DC38" s="35">
        <v>1.0</v>
      </c>
      <c r="DD38" s="35">
        <v>3.0</v>
      </c>
      <c r="DE38" s="35">
        <v>3.0</v>
      </c>
      <c r="DF38" s="35" t="s">
        <v>251</v>
      </c>
      <c r="DG38" s="53">
        <f t="shared" si="55"/>
        <v>10</v>
      </c>
      <c r="DH38" s="35">
        <v>1.0</v>
      </c>
      <c r="DI38" s="35">
        <v>0.0</v>
      </c>
      <c r="DJ38" s="35">
        <v>3.0</v>
      </c>
      <c r="DK38" s="35">
        <v>1.0</v>
      </c>
      <c r="DL38" s="46">
        <f t="shared" si="34"/>
        <v>71.42857143</v>
      </c>
      <c r="DM38" s="44">
        <f t="shared" si="35"/>
        <v>2</v>
      </c>
      <c r="DN38" s="44">
        <f t="shared" si="36"/>
        <v>2</v>
      </c>
      <c r="DO38" s="44">
        <f t="shared" si="37"/>
        <v>1</v>
      </c>
      <c r="DP38" s="44">
        <f t="shared" si="38"/>
        <v>2</v>
      </c>
      <c r="DQ38" s="44">
        <f t="shared" si="39"/>
        <v>2</v>
      </c>
      <c r="DR38" s="44">
        <f t="shared" ref="DR38:DS38" si="77">(DH38)</f>
        <v>1</v>
      </c>
      <c r="DS38" s="44">
        <f t="shared" si="77"/>
        <v>0</v>
      </c>
      <c r="DT38" s="44">
        <f t="shared" si="41"/>
        <v>10</v>
      </c>
      <c r="DU38" s="44" t="str">
        <f t="shared" si="42"/>
        <v>poor sleep quality</v>
      </c>
      <c r="DV38" s="35">
        <v>1.0</v>
      </c>
      <c r="DW38" s="35" t="s">
        <v>155</v>
      </c>
      <c r="DX38" s="35" t="s">
        <v>146</v>
      </c>
      <c r="DY38" s="35">
        <v>1.0</v>
      </c>
      <c r="DZ38" s="35" t="s">
        <v>131</v>
      </c>
      <c r="EA38" s="35" t="s">
        <v>157</v>
      </c>
      <c r="EB38" s="35" t="s">
        <v>252</v>
      </c>
      <c r="EC38" s="36" t="s">
        <v>133</v>
      </c>
      <c r="ED38" s="35" t="s">
        <v>132</v>
      </c>
      <c r="EE38" s="35" t="s">
        <v>141</v>
      </c>
      <c r="EF38" s="35">
        <f t="shared" si="51"/>
        <v>393</v>
      </c>
      <c r="EG38" s="35">
        <f t="shared" si="52"/>
        <v>362</v>
      </c>
      <c r="EH38" s="47">
        <f t="shared" si="24"/>
        <v>24.91349481</v>
      </c>
    </row>
    <row r="39" ht="15.75" customHeight="1">
      <c r="A39" s="35" t="s">
        <v>253</v>
      </c>
      <c r="B39" s="36" t="s">
        <v>175</v>
      </c>
      <c r="C39" s="37">
        <v>45075.0</v>
      </c>
      <c r="D39" s="48">
        <v>59.0</v>
      </c>
      <c r="E39" s="35" t="s">
        <v>130</v>
      </c>
      <c r="F39" s="35">
        <v>152.0</v>
      </c>
      <c r="G39" s="39">
        <v>63.0</v>
      </c>
      <c r="H39" s="40" t="s">
        <v>131</v>
      </c>
      <c r="I39" s="35">
        <v>5.0</v>
      </c>
      <c r="J39" s="41">
        <v>44927.0</v>
      </c>
      <c r="K39" s="35" t="s">
        <v>131</v>
      </c>
      <c r="L39" s="35">
        <v>2.0</v>
      </c>
      <c r="M39" s="41">
        <v>44016.0</v>
      </c>
      <c r="N39" s="35">
        <v>0.0</v>
      </c>
      <c r="O39" s="41">
        <v>44774.0</v>
      </c>
      <c r="P39" s="35" t="s">
        <v>131</v>
      </c>
      <c r="Q39" s="56">
        <v>44022.0</v>
      </c>
      <c r="R39" s="56">
        <v>44026.0</v>
      </c>
      <c r="S39" s="35" t="s">
        <v>132</v>
      </c>
      <c r="T39" s="36" t="s">
        <v>133</v>
      </c>
      <c r="U39" s="35" t="s">
        <v>132</v>
      </c>
      <c r="V39" s="36" t="str">
        <f t="shared" si="2"/>
        <v>Internación moderada</v>
      </c>
      <c r="W39" s="35" t="s">
        <v>176</v>
      </c>
      <c r="X39" s="35" t="s">
        <v>132</v>
      </c>
      <c r="Y39" s="35">
        <v>2.0</v>
      </c>
      <c r="Z39" s="35">
        <v>1.0</v>
      </c>
      <c r="AA39" s="35">
        <v>3.0</v>
      </c>
      <c r="AB39" s="35">
        <v>3.0</v>
      </c>
      <c r="AC39" s="35">
        <v>2.0</v>
      </c>
      <c r="AD39" s="35">
        <v>3.0</v>
      </c>
      <c r="AE39" s="35">
        <v>1.0</v>
      </c>
      <c r="AF39" s="35">
        <v>1.0</v>
      </c>
      <c r="AG39" s="35">
        <v>1.0</v>
      </c>
      <c r="AH39" s="35">
        <v>3.0</v>
      </c>
      <c r="AI39" s="35">
        <v>1.0</v>
      </c>
      <c r="AJ39" s="35">
        <v>1.0</v>
      </c>
      <c r="AK39" s="36" t="s">
        <v>133</v>
      </c>
      <c r="AL39" s="35" t="s">
        <v>132</v>
      </c>
      <c r="AM39" s="35" t="s">
        <v>132</v>
      </c>
      <c r="AN39" s="35" t="s">
        <v>132</v>
      </c>
      <c r="AO39" s="35" t="s">
        <v>132</v>
      </c>
      <c r="AP39" s="35" t="s">
        <v>132</v>
      </c>
      <c r="AQ39" s="35" t="s">
        <v>132</v>
      </c>
      <c r="AR39" s="35" t="s">
        <v>132</v>
      </c>
      <c r="AS39" s="35" t="s">
        <v>132</v>
      </c>
      <c r="AT39" s="35" t="s">
        <v>132</v>
      </c>
      <c r="AU39" s="35" t="s">
        <v>132</v>
      </c>
      <c r="AV39" s="35" t="s">
        <v>131</v>
      </c>
      <c r="AW39" s="35" t="s">
        <v>254</v>
      </c>
      <c r="AX39" s="35" t="s">
        <v>132</v>
      </c>
      <c r="AY39" s="36" t="s">
        <v>133</v>
      </c>
      <c r="AZ39" s="36" t="s">
        <v>133</v>
      </c>
      <c r="BA39" s="36" t="s">
        <v>133</v>
      </c>
      <c r="BB39" s="35" t="s">
        <v>145</v>
      </c>
      <c r="BC39" s="36" t="s">
        <v>133</v>
      </c>
      <c r="BD39" s="40">
        <v>5.0</v>
      </c>
      <c r="BE39" s="35">
        <v>1.0</v>
      </c>
      <c r="BF39" s="35">
        <v>3.0</v>
      </c>
      <c r="BG39" s="35">
        <v>2.0</v>
      </c>
      <c r="BH39" s="35">
        <v>3.0</v>
      </c>
      <c r="BI39" s="44" t="str">
        <f t="shared" si="3"/>
        <v>51323</v>
      </c>
      <c r="BJ39" s="35">
        <v>70.0</v>
      </c>
      <c r="BK39" s="35">
        <v>3.0</v>
      </c>
      <c r="BL39" s="35">
        <v>2.0</v>
      </c>
      <c r="BM39" s="35">
        <v>1.0</v>
      </c>
      <c r="BN39" s="35">
        <v>2.0</v>
      </c>
      <c r="BO39" s="35">
        <v>3.0</v>
      </c>
      <c r="BP39" s="35">
        <v>3.0</v>
      </c>
      <c r="BQ39" s="35">
        <v>3.0</v>
      </c>
      <c r="BR39" s="35">
        <v>1.0</v>
      </c>
      <c r="BS39" s="35">
        <v>4.0</v>
      </c>
      <c r="BT39" s="35">
        <v>2.0</v>
      </c>
      <c r="BU39" s="44">
        <f t="shared" si="4"/>
        <v>4</v>
      </c>
      <c r="BV39" s="44">
        <f t="shared" si="5"/>
        <v>4</v>
      </c>
      <c r="BW39" s="44">
        <f t="shared" si="53"/>
        <v>26</v>
      </c>
      <c r="BX39" s="44" t="str">
        <f t="shared" si="7"/>
        <v>FATIGA</v>
      </c>
      <c r="BY39" s="35">
        <v>0.0</v>
      </c>
      <c r="BZ39" s="35">
        <v>0.0</v>
      </c>
      <c r="CA39" s="35">
        <v>0.0</v>
      </c>
      <c r="CB39" s="35">
        <v>6.0</v>
      </c>
      <c r="CC39" s="35">
        <v>0.0</v>
      </c>
      <c r="CD39" s="35">
        <v>20.0</v>
      </c>
      <c r="CE39" s="35">
        <v>7.0</v>
      </c>
      <c r="CF39" s="35">
        <v>0.0</v>
      </c>
      <c r="CG39" s="35">
        <v>30.0</v>
      </c>
      <c r="CH39" s="35">
        <v>1.0</v>
      </c>
      <c r="CI39" s="35">
        <v>0.0</v>
      </c>
      <c r="CJ39" s="44">
        <f t="shared" si="27"/>
        <v>1173</v>
      </c>
      <c r="CK39" s="44">
        <f t="shared" si="28"/>
        <v>13</v>
      </c>
      <c r="CL39" s="44" t="b">
        <f t="shared" si="29"/>
        <v>0</v>
      </c>
      <c r="CM39" s="44" t="str">
        <f t="shared" si="30"/>
        <v>Nivel de actividad física moderado</v>
      </c>
      <c r="CN39" s="45" t="str">
        <f t="shared" si="31"/>
        <v>Nivel de actividad física moderado</v>
      </c>
      <c r="CO39" s="51">
        <v>0.9479166666666666</v>
      </c>
      <c r="CP39" s="35">
        <v>10.0</v>
      </c>
      <c r="CQ39" s="44">
        <f t="shared" si="32"/>
        <v>0</v>
      </c>
      <c r="CR39" s="35">
        <v>4.0</v>
      </c>
      <c r="CS39" s="35">
        <v>45.0</v>
      </c>
      <c r="CT39" s="35">
        <v>6.0</v>
      </c>
      <c r="CU39" s="35">
        <v>3.0</v>
      </c>
      <c r="CV39" s="35">
        <v>0.0</v>
      </c>
      <c r="CW39" s="35">
        <v>3.0</v>
      </c>
      <c r="CX39" s="35">
        <v>3.0</v>
      </c>
      <c r="CY39" s="35">
        <v>0.0</v>
      </c>
      <c r="CZ39" s="35">
        <v>0.0</v>
      </c>
      <c r="DA39" s="35">
        <v>3.0</v>
      </c>
      <c r="DB39" s="35">
        <v>0.0</v>
      </c>
      <c r="DC39" s="35">
        <v>0.0</v>
      </c>
      <c r="DD39" s="35">
        <v>3.0</v>
      </c>
      <c r="DE39" s="36" t="s">
        <v>133</v>
      </c>
      <c r="DF39" s="36" t="s">
        <v>133</v>
      </c>
      <c r="DG39" s="53">
        <f t="shared" si="55"/>
        <v>12</v>
      </c>
      <c r="DH39" s="35">
        <v>1.0</v>
      </c>
      <c r="DI39" s="35">
        <v>0.0</v>
      </c>
      <c r="DJ39" s="35">
        <v>3.0</v>
      </c>
      <c r="DK39" s="35">
        <v>0.0</v>
      </c>
      <c r="DL39" s="46">
        <f t="shared" si="34"/>
        <v>50</v>
      </c>
      <c r="DM39" s="44">
        <f t="shared" si="35"/>
        <v>3</v>
      </c>
      <c r="DN39" s="44">
        <f t="shared" si="36"/>
        <v>2</v>
      </c>
      <c r="DO39" s="44">
        <f t="shared" si="37"/>
        <v>0</v>
      </c>
      <c r="DP39" s="44">
        <f t="shared" si="38"/>
        <v>2</v>
      </c>
      <c r="DQ39" s="44">
        <f t="shared" si="39"/>
        <v>3</v>
      </c>
      <c r="DR39" s="44">
        <f t="shared" ref="DR39:DS39" si="78">(DH39)</f>
        <v>1</v>
      </c>
      <c r="DS39" s="44">
        <f t="shared" si="78"/>
        <v>0</v>
      </c>
      <c r="DT39" s="44">
        <f t="shared" si="41"/>
        <v>11</v>
      </c>
      <c r="DU39" s="44" t="str">
        <f t="shared" si="42"/>
        <v>poor sleep quality</v>
      </c>
      <c r="DV39" s="35">
        <v>0.0</v>
      </c>
      <c r="DW39" s="36" t="s">
        <v>133</v>
      </c>
      <c r="DX39" s="35" t="s">
        <v>146</v>
      </c>
      <c r="DY39" s="35">
        <v>1.0</v>
      </c>
      <c r="DZ39" s="35" t="s">
        <v>131</v>
      </c>
      <c r="EA39" s="35" t="s">
        <v>157</v>
      </c>
      <c r="EB39" s="35" t="s">
        <v>139</v>
      </c>
      <c r="EC39" s="36" t="s">
        <v>133</v>
      </c>
      <c r="ED39" s="35" t="s">
        <v>131</v>
      </c>
      <c r="EE39" s="35" t="s">
        <v>141</v>
      </c>
      <c r="EF39" s="35">
        <f t="shared" si="51"/>
        <v>1059</v>
      </c>
      <c r="EG39" s="35">
        <f t="shared" si="52"/>
        <v>301</v>
      </c>
      <c r="EH39" s="47">
        <f t="shared" si="24"/>
        <v>27.26800554</v>
      </c>
    </row>
    <row r="40" ht="15.75" customHeight="1">
      <c r="A40" s="35" t="s">
        <v>255</v>
      </c>
      <c r="B40" s="36" t="s">
        <v>175</v>
      </c>
      <c r="C40" s="37">
        <v>45075.0</v>
      </c>
      <c r="D40" s="48">
        <v>44.0</v>
      </c>
      <c r="E40" s="35" t="s">
        <v>153</v>
      </c>
      <c r="F40" s="35">
        <v>186.0</v>
      </c>
      <c r="G40" s="39">
        <v>72.0</v>
      </c>
      <c r="H40" s="40" t="s">
        <v>131</v>
      </c>
      <c r="I40" s="35">
        <v>4.0</v>
      </c>
      <c r="J40" s="41">
        <v>44743.0</v>
      </c>
      <c r="K40" s="35" t="s">
        <v>131</v>
      </c>
      <c r="L40" s="35">
        <v>1.0</v>
      </c>
      <c r="M40" s="41">
        <v>44093.0</v>
      </c>
      <c r="N40" s="35">
        <v>0.0</v>
      </c>
      <c r="O40" s="41">
        <v>44093.0</v>
      </c>
      <c r="P40" s="35" t="s">
        <v>132</v>
      </c>
      <c r="Q40" s="36" t="s">
        <v>133</v>
      </c>
      <c r="R40" s="36" t="s">
        <v>133</v>
      </c>
      <c r="S40" s="36" t="s">
        <v>133</v>
      </c>
      <c r="T40" s="36" t="s">
        <v>133</v>
      </c>
      <c r="U40" s="36" t="s">
        <v>133</v>
      </c>
      <c r="V40" s="36" t="str">
        <f t="shared" si="2"/>
        <v>Paciente ambulatorio</v>
      </c>
      <c r="W40" s="35" t="s">
        <v>190</v>
      </c>
      <c r="X40" s="35" t="s">
        <v>132</v>
      </c>
      <c r="Y40" s="35">
        <v>3.0</v>
      </c>
      <c r="Z40" s="35">
        <v>1.0</v>
      </c>
      <c r="AA40" s="35">
        <v>1.0</v>
      </c>
      <c r="AB40" s="35">
        <v>1.0</v>
      </c>
      <c r="AC40" s="35">
        <v>3.0</v>
      </c>
      <c r="AD40" s="35">
        <v>3.0</v>
      </c>
      <c r="AE40" s="35">
        <v>3.0</v>
      </c>
      <c r="AF40" s="35">
        <v>1.0</v>
      </c>
      <c r="AG40" s="35">
        <v>3.0</v>
      </c>
      <c r="AH40" s="35">
        <v>3.0</v>
      </c>
      <c r="AI40" s="35">
        <v>1.0</v>
      </c>
      <c r="AJ40" s="35">
        <v>1.0</v>
      </c>
      <c r="AK40" s="36" t="s">
        <v>133</v>
      </c>
      <c r="AL40" s="40" t="s">
        <v>132</v>
      </c>
      <c r="AM40" s="35" t="s">
        <v>132</v>
      </c>
      <c r="AN40" s="35" t="s">
        <v>132</v>
      </c>
      <c r="AO40" s="35" t="s">
        <v>132</v>
      </c>
      <c r="AP40" s="35" t="s">
        <v>132</v>
      </c>
      <c r="AQ40" s="35" t="s">
        <v>132</v>
      </c>
      <c r="AR40" s="35" t="s">
        <v>132</v>
      </c>
      <c r="AS40" s="35" t="s">
        <v>132</v>
      </c>
      <c r="AT40" s="35" t="s">
        <v>132</v>
      </c>
      <c r="AU40" s="35" t="s">
        <v>132</v>
      </c>
      <c r="AV40" s="35" t="s">
        <v>131</v>
      </c>
      <c r="AW40" s="35" t="s">
        <v>256</v>
      </c>
      <c r="AX40" s="35" t="s">
        <v>131</v>
      </c>
      <c r="AY40" s="35">
        <v>3.0</v>
      </c>
      <c r="AZ40" s="35">
        <v>20.0</v>
      </c>
      <c r="BA40" s="36" t="s">
        <v>133</v>
      </c>
      <c r="BB40" s="35" t="s">
        <v>192</v>
      </c>
      <c r="BC40" s="39">
        <v>1.5</v>
      </c>
      <c r="BD40" s="40">
        <v>1.0</v>
      </c>
      <c r="BE40" s="35">
        <v>1.0</v>
      </c>
      <c r="BF40" s="35">
        <v>1.0</v>
      </c>
      <c r="BG40" s="35">
        <v>1.0</v>
      </c>
      <c r="BH40" s="35">
        <v>2.0</v>
      </c>
      <c r="BI40" s="44" t="str">
        <f t="shared" si="3"/>
        <v>11112</v>
      </c>
      <c r="BJ40" s="35">
        <v>80.0</v>
      </c>
      <c r="BK40" s="35">
        <v>2.0</v>
      </c>
      <c r="BL40" s="35">
        <v>2.0</v>
      </c>
      <c r="BM40" s="35">
        <v>1.0</v>
      </c>
      <c r="BN40" s="35">
        <v>5.0</v>
      </c>
      <c r="BO40" s="35">
        <v>2.0</v>
      </c>
      <c r="BP40" s="35">
        <v>2.0</v>
      </c>
      <c r="BQ40" s="35">
        <v>2.0</v>
      </c>
      <c r="BR40" s="35">
        <v>1.0</v>
      </c>
      <c r="BS40" s="35">
        <v>2.0</v>
      </c>
      <c r="BT40" s="35">
        <v>2.0</v>
      </c>
      <c r="BU40" s="44">
        <f t="shared" si="4"/>
        <v>1</v>
      </c>
      <c r="BV40" s="44">
        <f t="shared" si="5"/>
        <v>4</v>
      </c>
      <c r="BW40" s="44">
        <f t="shared" si="53"/>
        <v>20</v>
      </c>
      <c r="BX40" s="44" t="str">
        <f t="shared" si="7"/>
        <v>NO HAY FATIGA</v>
      </c>
      <c r="BY40" s="35">
        <v>0.0</v>
      </c>
      <c r="BZ40" s="35">
        <v>0.0</v>
      </c>
      <c r="CA40" s="35">
        <v>0.0</v>
      </c>
      <c r="CB40" s="35">
        <v>2.0</v>
      </c>
      <c r="CC40" s="35">
        <v>1.0</v>
      </c>
      <c r="CD40" s="35">
        <v>20.0</v>
      </c>
      <c r="CE40" s="35">
        <v>7.0</v>
      </c>
      <c r="CF40" s="35">
        <v>0.0</v>
      </c>
      <c r="CG40" s="35">
        <v>20.0</v>
      </c>
      <c r="CH40" s="35">
        <v>1.0</v>
      </c>
      <c r="CI40" s="35">
        <v>0.0</v>
      </c>
      <c r="CJ40" s="44">
        <f t="shared" si="27"/>
        <v>1102</v>
      </c>
      <c r="CK40" s="44">
        <f t="shared" si="28"/>
        <v>9</v>
      </c>
      <c r="CL40" s="44" t="b">
        <f t="shared" si="29"/>
        <v>0</v>
      </c>
      <c r="CM40" s="44" t="str">
        <f t="shared" si="30"/>
        <v>Nivel de actividad física moderado</v>
      </c>
      <c r="CN40" s="45" t="str">
        <f t="shared" si="31"/>
        <v>Nivel de actividad física moderado</v>
      </c>
      <c r="CO40" s="35">
        <v>1.0</v>
      </c>
      <c r="CP40" s="35">
        <v>5.0</v>
      </c>
      <c r="CQ40" s="44">
        <f t="shared" si="32"/>
        <v>0</v>
      </c>
      <c r="CR40" s="35">
        <v>9.0</v>
      </c>
      <c r="CS40" s="35">
        <v>30.0</v>
      </c>
      <c r="CT40" s="35">
        <v>8.5</v>
      </c>
      <c r="CU40" s="35">
        <v>8.0</v>
      </c>
      <c r="CV40" s="35">
        <v>1.0</v>
      </c>
      <c r="CW40" s="35">
        <v>3.0</v>
      </c>
      <c r="CX40" s="35">
        <v>3.0</v>
      </c>
      <c r="CY40" s="35">
        <v>0.0</v>
      </c>
      <c r="CZ40" s="35">
        <v>1.0</v>
      </c>
      <c r="DA40" s="35">
        <v>0.0</v>
      </c>
      <c r="DB40" s="35">
        <v>0.0</v>
      </c>
      <c r="DC40" s="35">
        <v>0.0</v>
      </c>
      <c r="DD40" s="35">
        <v>0.0</v>
      </c>
      <c r="DE40" s="36" t="s">
        <v>133</v>
      </c>
      <c r="DF40" s="36" t="s">
        <v>133</v>
      </c>
      <c r="DG40" s="53">
        <f t="shared" si="55"/>
        <v>7</v>
      </c>
      <c r="DH40" s="35">
        <v>0.0</v>
      </c>
      <c r="DI40" s="35">
        <v>0.0</v>
      </c>
      <c r="DJ40" s="35">
        <v>3.0</v>
      </c>
      <c r="DK40" s="35">
        <v>0.0</v>
      </c>
      <c r="DL40" s="46">
        <f t="shared" si="34"/>
        <v>94.11764706</v>
      </c>
      <c r="DM40" s="44">
        <f t="shared" si="35"/>
        <v>0</v>
      </c>
      <c r="DN40" s="44">
        <f t="shared" si="36"/>
        <v>1</v>
      </c>
      <c r="DO40" s="44">
        <f t="shared" si="37"/>
        <v>1</v>
      </c>
      <c r="DP40" s="44">
        <f t="shared" si="38"/>
        <v>2</v>
      </c>
      <c r="DQ40" s="44">
        <f t="shared" si="39"/>
        <v>0</v>
      </c>
      <c r="DR40" s="44">
        <f t="shared" ref="DR40:DS40" si="79">(DH40)</f>
        <v>0</v>
      </c>
      <c r="DS40" s="44">
        <f t="shared" si="79"/>
        <v>0</v>
      </c>
      <c r="DT40" s="44">
        <f t="shared" si="41"/>
        <v>4</v>
      </c>
      <c r="DU40" s="44" t="str">
        <f t="shared" si="42"/>
        <v>good sleep quality</v>
      </c>
      <c r="DV40" s="35">
        <v>1.0</v>
      </c>
      <c r="DW40" s="35" t="s">
        <v>257</v>
      </c>
      <c r="DX40" s="35" t="s">
        <v>137</v>
      </c>
      <c r="DY40" s="35">
        <v>1.0</v>
      </c>
      <c r="DZ40" s="35" t="s">
        <v>131</v>
      </c>
      <c r="EA40" s="35" t="s">
        <v>147</v>
      </c>
      <c r="EB40" s="35" t="s">
        <v>139</v>
      </c>
      <c r="EC40" s="36" t="s">
        <v>133</v>
      </c>
      <c r="ED40" s="35" t="s">
        <v>132</v>
      </c>
      <c r="EE40" s="35" t="s">
        <v>158</v>
      </c>
      <c r="EF40" s="35">
        <f t="shared" si="51"/>
        <v>982</v>
      </c>
      <c r="EG40" s="35">
        <f t="shared" si="52"/>
        <v>982</v>
      </c>
      <c r="EH40" s="47">
        <f t="shared" si="24"/>
        <v>20.81165453</v>
      </c>
    </row>
    <row r="41" ht="15.75" customHeight="1">
      <c r="A41" s="35" t="s">
        <v>258</v>
      </c>
      <c r="B41" s="36" t="s">
        <v>175</v>
      </c>
      <c r="C41" s="37">
        <v>45075.0</v>
      </c>
      <c r="D41" s="48">
        <v>59.0</v>
      </c>
      <c r="E41" s="35" t="s">
        <v>130</v>
      </c>
      <c r="F41" s="35">
        <v>162.0</v>
      </c>
      <c r="G41" s="39">
        <v>104.0</v>
      </c>
      <c r="H41" s="40" t="s">
        <v>131</v>
      </c>
      <c r="I41" s="35">
        <v>5.0</v>
      </c>
      <c r="J41" s="55">
        <v>44896.0</v>
      </c>
      <c r="K41" s="35" t="s">
        <v>131</v>
      </c>
      <c r="L41" s="35">
        <v>1.0</v>
      </c>
      <c r="M41" s="41">
        <v>44106.0</v>
      </c>
      <c r="N41" s="35">
        <v>0.0</v>
      </c>
      <c r="O41" s="41">
        <v>44106.0</v>
      </c>
      <c r="P41" s="35" t="s">
        <v>132</v>
      </c>
      <c r="Q41" s="36" t="s">
        <v>133</v>
      </c>
      <c r="R41" s="36" t="s">
        <v>133</v>
      </c>
      <c r="S41" s="36" t="s">
        <v>133</v>
      </c>
      <c r="T41" s="36" t="s">
        <v>133</v>
      </c>
      <c r="U41" s="36" t="s">
        <v>133</v>
      </c>
      <c r="V41" s="36" t="str">
        <f t="shared" si="2"/>
        <v>Paciente ambulatorio</v>
      </c>
      <c r="W41" s="35" t="s">
        <v>176</v>
      </c>
      <c r="X41" s="35" t="s">
        <v>132</v>
      </c>
      <c r="Y41" s="35">
        <v>1.0</v>
      </c>
      <c r="Z41" s="35">
        <v>1.0</v>
      </c>
      <c r="AA41" s="35">
        <v>2.0</v>
      </c>
      <c r="AB41" s="35">
        <v>3.0</v>
      </c>
      <c r="AC41" s="35">
        <v>3.0</v>
      </c>
      <c r="AD41" s="35">
        <v>1.0</v>
      </c>
      <c r="AE41" s="35">
        <v>1.0</v>
      </c>
      <c r="AF41" s="35">
        <v>1.0</v>
      </c>
      <c r="AG41" s="35">
        <v>3.0</v>
      </c>
      <c r="AH41" s="35">
        <v>1.0</v>
      </c>
      <c r="AI41" s="35">
        <v>1.0</v>
      </c>
      <c r="AJ41" s="35">
        <v>1.0</v>
      </c>
      <c r="AK41" s="36" t="s">
        <v>133</v>
      </c>
      <c r="AL41" s="40" t="s">
        <v>132</v>
      </c>
      <c r="AM41" s="35" t="s">
        <v>131</v>
      </c>
      <c r="AN41" s="35" t="s">
        <v>132</v>
      </c>
      <c r="AO41" s="35" t="s">
        <v>131</v>
      </c>
      <c r="AP41" s="35" t="s">
        <v>132</v>
      </c>
      <c r="AQ41" s="35" t="s">
        <v>132</v>
      </c>
      <c r="AR41" s="35" t="s">
        <v>132</v>
      </c>
      <c r="AS41" s="35" t="s">
        <v>132</v>
      </c>
      <c r="AT41" s="35" t="s">
        <v>132</v>
      </c>
      <c r="AU41" s="35" t="s">
        <v>132</v>
      </c>
      <c r="AV41" s="35" t="s">
        <v>131</v>
      </c>
      <c r="AW41" s="35" t="s">
        <v>259</v>
      </c>
      <c r="AX41" s="35" t="s">
        <v>165</v>
      </c>
      <c r="AY41" s="36" t="s">
        <v>133</v>
      </c>
      <c r="AZ41" s="36" t="s">
        <v>133</v>
      </c>
      <c r="BA41" s="35">
        <v>17.0</v>
      </c>
      <c r="BB41" s="35" t="s">
        <v>145</v>
      </c>
      <c r="BC41" s="36" t="s">
        <v>133</v>
      </c>
      <c r="BD41" s="40">
        <v>2.0</v>
      </c>
      <c r="BE41" s="35">
        <v>1.0</v>
      </c>
      <c r="BF41" s="35">
        <v>2.0</v>
      </c>
      <c r="BG41" s="35">
        <v>2.0</v>
      </c>
      <c r="BH41" s="35">
        <v>3.0</v>
      </c>
      <c r="BI41" s="44" t="str">
        <f t="shared" si="3"/>
        <v>21223</v>
      </c>
      <c r="BJ41" s="35">
        <v>50.0</v>
      </c>
      <c r="BK41" s="35">
        <v>4.0</v>
      </c>
      <c r="BL41" s="35">
        <v>4.0</v>
      </c>
      <c r="BM41" s="35">
        <v>5.0</v>
      </c>
      <c r="BN41" s="35">
        <v>3.0</v>
      </c>
      <c r="BO41" s="35">
        <v>3.0</v>
      </c>
      <c r="BP41" s="36" t="s">
        <v>133</v>
      </c>
      <c r="BQ41" s="35">
        <v>3.0</v>
      </c>
      <c r="BR41" s="35">
        <v>5.0</v>
      </c>
      <c r="BS41" s="35">
        <v>4.0</v>
      </c>
      <c r="BT41" s="35">
        <v>2.0</v>
      </c>
      <c r="BU41" s="44">
        <f t="shared" si="4"/>
        <v>3</v>
      </c>
      <c r="BV41" s="44">
        <f t="shared" si="5"/>
        <v>4</v>
      </c>
      <c r="BW41" s="44">
        <f t="shared" si="53"/>
        <v>34</v>
      </c>
      <c r="BX41" s="44" t="str">
        <f t="shared" si="7"/>
        <v>FATIGA</v>
      </c>
      <c r="BY41" s="35">
        <v>0.0</v>
      </c>
      <c r="BZ41" s="35">
        <v>0.0</v>
      </c>
      <c r="CA41" s="35">
        <v>0.0</v>
      </c>
      <c r="CB41" s="35">
        <v>2.0</v>
      </c>
      <c r="CC41" s="35">
        <v>1.0</v>
      </c>
      <c r="CD41" s="35">
        <v>0.0</v>
      </c>
      <c r="CE41" s="35">
        <v>0.0</v>
      </c>
      <c r="CF41" s="35">
        <v>0.0</v>
      </c>
      <c r="CG41" s="35">
        <v>0.0</v>
      </c>
      <c r="CH41" s="35">
        <v>4.0</v>
      </c>
      <c r="CI41" s="35">
        <v>0.0</v>
      </c>
      <c r="CJ41" s="44">
        <f t="shared" si="27"/>
        <v>480</v>
      </c>
      <c r="CK41" s="44">
        <f t="shared" si="28"/>
        <v>2</v>
      </c>
      <c r="CL41" s="44" t="b">
        <f t="shared" si="29"/>
        <v>0</v>
      </c>
      <c r="CM41" s="44" t="b">
        <f t="shared" si="30"/>
        <v>0</v>
      </c>
      <c r="CN41" s="45" t="str">
        <f t="shared" si="31"/>
        <v>Nivel de actividad física bajo</v>
      </c>
      <c r="CO41" s="35">
        <v>23.0</v>
      </c>
      <c r="CP41" s="35">
        <v>120.0</v>
      </c>
      <c r="CQ41" s="44">
        <f t="shared" si="32"/>
        <v>3</v>
      </c>
      <c r="CR41" s="35">
        <v>9.0</v>
      </c>
      <c r="CS41" s="35">
        <v>30.0</v>
      </c>
      <c r="CT41" s="35">
        <v>10.5</v>
      </c>
      <c r="CU41" s="35">
        <v>5.5</v>
      </c>
      <c r="CV41" s="35">
        <v>2.0</v>
      </c>
      <c r="CW41" s="35">
        <v>2.0</v>
      </c>
      <c r="CX41" s="35">
        <v>2.0</v>
      </c>
      <c r="CY41" s="35">
        <v>0.0</v>
      </c>
      <c r="CZ41" s="35">
        <v>1.0</v>
      </c>
      <c r="DA41" s="35">
        <v>0.0</v>
      </c>
      <c r="DB41" s="35">
        <v>2.0</v>
      </c>
      <c r="DC41" s="35">
        <v>0.0</v>
      </c>
      <c r="DD41" s="35">
        <v>2.0</v>
      </c>
      <c r="DE41" s="36" t="s">
        <v>133</v>
      </c>
      <c r="DF41" s="36" t="s">
        <v>133</v>
      </c>
      <c r="DG41" s="53">
        <f t="shared" si="55"/>
        <v>9</v>
      </c>
      <c r="DH41" s="35">
        <v>2.0</v>
      </c>
      <c r="DI41" s="35">
        <v>3.0</v>
      </c>
      <c r="DJ41" s="35">
        <v>2.0</v>
      </c>
      <c r="DK41" s="35">
        <v>3.0</v>
      </c>
      <c r="DL41" s="46">
        <f t="shared" si="34"/>
        <v>52.38095238</v>
      </c>
      <c r="DM41" s="44">
        <f t="shared" si="35"/>
        <v>2</v>
      </c>
      <c r="DN41" s="44">
        <f t="shared" si="36"/>
        <v>1</v>
      </c>
      <c r="DO41" s="44">
        <f t="shared" si="37"/>
        <v>3</v>
      </c>
      <c r="DP41" s="44">
        <f t="shared" si="38"/>
        <v>3</v>
      </c>
      <c r="DQ41" s="44">
        <f t="shared" si="39"/>
        <v>3</v>
      </c>
      <c r="DR41" s="44">
        <f t="shared" ref="DR41:DS41" si="80">(DH41)</f>
        <v>2</v>
      </c>
      <c r="DS41" s="44">
        <f t="shared" si="80"/>
        <v>3</v>
      </c>
      <c r="DT41" s="44">
        <f t="shared" si="41"/>
        <v>17</v>
      </c>
      <c r="DU41" s="44" t="str">
        <f t="shared" si="42"/>
        <v>poor sleep quality</v>
      </c>
      <c r="DV41" s="35">
        <v>2.0</v>
      </c>
      <c r="DW41" s="35" t="s">
        <v>260</v>
      </c>
      <c r="DX41" s="35" t="s">
        <v>146</v>
      </c>
      <c r="DY41" s="35">
        <v>1.0</v>
      </c>
      <c r="DZ41" s="35" t="s">
        <v>131</v>
      </c>
      <c r="EA41" s="35" t="s">
        <v>147</v>
      </c>
      <c r="EB41" s="35" t="s">
        <v>261</v>
      </c>
      <c r="EC41" s="35" t="s">
        <v>131</v>
      </c>
      <c r="ED41" s="35" t="s">
        <v>131</v>
      </c>
      <c r="EE41" s="35" t="s">
        <v>141</v>
      </c>
      <c r="EF41" s="35">
        <f t="shared" si="51"/>
        <v>969</v>
      </c>
      <c r="EG41" s="35">
        <f t="shared" si="52"/>
        <v>969</v>
      </c>
      <c r="EH41" s="47">
        <f t="shared" si="24"/>
        <v>39.62810547</v>
      </c>
    </row>
    <row r="42" ht="15.75" customHeight="1">
      <c r="A42" s="35" t="s">
        <v>262</v>
      </c>
      <c r="B42" s="36" t="s">
        <v>175</v>
      </c>
      <c r="C42" s="37">
        <v>45079.0</v>
      </c>
      <c r="D42" s="48">
        <v>37.0</v>
      </c>
      <c r="E42" s="35" t="s">
        <v>130</v>
      </c>
      <c r="F42" s="35">
        <v>156.0</v>
      </c>
      <c r="G42" s="39">
        <v>59.0</v>
      </c>
      <c r="H42" s="40" t="s">
        <v>131</v>
      </c>
      <c r="I42" s="35">
        <v>5.0</v>
      </c>
      <c r="J42" s="41">
        <v>44860.0</v>
      </c>
      <c r="K42" s="35" t="s">
        <v>131</v>
      </c>
      <c r="L42" s="35">
        <v>1.0</v>
      </c>
      <c r="M42" s="41">
        <v>44578.0</v>
      </c>
      <c r="N42" s="35">
        <v>3.0</v>
      </c>
      <c r="O42" s="41">
        <v>44578.0</v>
      </c>
      <c r="P42" s="35" t="s">
        <v>132</v>
      </c>
      <c r="Q42" s="36" t="s">
        <v>133</v>
      </c>
      <c r="R42" s="36" t="s">
        <v>133</v>
      </c>
      <c r="S42" s="36" t="s">
        <v>133</v>
      </c>
      <c r="T42" s="36" t="s">
        <v>133</v>
      </c>
      <c r="U42" s="36" t="s">
        <v>133</v>
      </c>
      <c r="V42" s="36" t="str">
        <f t="shared" si="2"/>
        <v>Paciente ambulatorio</v>
      </c>
      <c r="W42" s="35" t="s">
        <v>176</v>
      </c>
      <c r="X42" s="35" t="s">
        <v>131</v>
      </c>
      <c r="Y42" s="35">
        <v>2.0</v>
      </c>
      <c r="Z42" s="35">
        <v>1.0</v>
      </c>
      <c r="AA42" s="35">
        <v>3.0</v>
      </c>
      <c r="AB42" s="35">
        <v>3.0</v>
      </c>
      <c r="AC42" s="35">
        <v>1.0</v>
      </c>
      <c r="AD42" s="35">
        <v>2.0</v>
      </c>
      <c r="AE42" s="35">
        <v>2.0</v>
      </c>
      <c r="AF42" s="35">
        <v>1.0</v>
      </c>
      <c r="AG42" s="35">
        <v>3.0</v>
      </c>
      <c r="AH42" s="35">
        <v>3.0</v>
      </c>
      <c r="AI42" s="35">
        <v>1.0</v>
      </c>
      <c r="AJ42" s="35">
        <v>1.0</v>
      </c>
      <c r="AK42" s="39" t="s">
        <v>263</v>
      </c>
      <c r="AL42" s="40" t="s">
        <v>131</v>
      </c>
      <c r="AM42" s="35" t="s">
        <v>132</v>
      </c>
      <c r="AN42" s="35" t="s">
        <v>131</v>
      </c>
      <c r="AO42" s="35" t="s">
        <v>131</v>
      </c>
      <c r="AP42" s="35" t="s">
        <v>132</v>
      </c>
      <c r="AQ42" s="35" t="s">
        <v>132</v>
      </c>
      <c r="AR42" s="35" t="s">
        <v>132</v>
      </c>
      <c r="AS42" s="35" t="s">
        <v>131</v>
      </c>
      <c r="AT42" s="35" t="s">
        <v>132</v>
      </c>
      <c r="AU42" s="35" t="s">
        <v>132</v>
      </c>
      <c r="AV42" s="35" t="s">
        <v>131</v>
      </c>
      <c r="AW42" s="35" t="s">
        <v>264</v>
      </c>
      <c r="AX42" s="35" t="s">
        <v>132</v>
      </c>
      <c r="AY42" s="36" t="s">
        <v>133</v>
      </c>
      <c r="AZ42" s="36" t="s">
        <v>133</v>
      </c>
      <c r="BA42" s="36" t="s">
        <v>133</v>
      </c>
      <c r="BB42" s="35" t="s">
        <v>145</v>
      </c>
      <c r="BC42" s="36" t="s">
        <v>133</v>
      </c>
      <c r="BD42" s="40">
        <v>1.0</v>
      </c>
      <c r="BE42" s="35">
        <v>1.0</v>
      </c>
      <c r="BF42" s="35">
        <v>1.0</v>
      </c>
      <c r="BG42" s="35">
        <v>1.0</v>
      </c>
      <c r="BH42" s="35">
        <v>2.0</v>
      </c>
      <c r="BI42" s="44" t="str">
        <f t="shared" si="3"/>
        <v>11112</v>
      </c>
      <c r="BJ42" s="35">
        <v>80.0</v>
      </c>
      <c r="BK42" s="35">
        <v>4.0</v>
      </c>
      <c r="BL42" s="35">
        <v>5.0</v>
      </c>
      <c r="BM42" s="35">
        <v>3.0</v>
      </c>
      <c r="BN42" s="35">
        <v>5.0</v>
      </c>
      <c r="BO42" s="35">
        <v>3.0</v>
      </c>
      <c r="BP42" s="35">
        <v>2.0</v>
      </c>
      <c r="BQ42" s="35">
        <v>3.0</v>
      </c>
      <c r="BR42" s="35">
        <v>2.0</v>
      </c>
      <c r="BS42" s="35">
        <v>2.0</v>
      </c>
      <c r="BT42" s="35">
        <v>2.0</v>
      </c>
      <c r="BU42" s="44">
        <f t="shared" si="4"/>
        <v>1</v>
      </c>
      <c r="BV42" s="44">
        <f t="shared" si="5"/>
        <v>4</v>
      </c>
      <c r="BW42" s="44">
        <f t="shared" si="53"/>
        <v>30</v>
      </c>
      <c r="BX42" s="44" t="str">
        <f t="shared" si="7"/>
        <v>FATIGA</v>
      </c>
      <c r="BY42" s="35">
        <v>1.0</v>
      </c>
      <c r="BZ42" s="35">
        <v>2.0</v>
      </c>
      <c r="CA42" s="35">
        <v>0.0</v>
      </c>
      <c r="CB42" s="35">
        <v>0.0</v>
      </c>
      <c r="CC42" s="35">
        <v>0.0</v>
      </c>
      <c r="CD42" s="35">
        <v>0.0</v>
      </c>
      <c r="CE42" s="35">
        <v>1.0</v>
      </c>
      <c r="CF42" s="35">
        <v>0.0</v>
      </c>
      <c r="CG42" s="35">
        <v>35.0</v>
      </c>
      <c r="CH42" s="35">
        <v>10.0</v>
      </c>
      <c r="CI42" s="35">
        <v>0.0</v>
      </c>
      <c r="CJ42" s="44">
        <f t="shared" si="27"/>
        <v>1075.5</v>
      </c>
      <c r="CK42" s="44">
        <f t="shared" si="28"/>
        <v>2</v>
      </c>
      <c r="CL42" s="44" t="b">
        <f t="shared" si="29"/>
        <v>0</v>
      </c>
      <c r="CM42" s="44" t="b">
        <f t="shared" si="30"/>
        <v>0</v>
      </c>
      <c r="CN42" s="45" t="str">
        <f t="shared" si="31"/>
        <v>Nivel de actividad física bajo</v>
      </c>
      <c r="CO42" s="35">
        <v>22.0</v>
      </c>
      <c r="CP42" s="35">
        <v>30.0</v>
      </c>
      <c r="CQ42" s="44">
        <f t="shared" si="32"/>
        <v>1</v>
      </c>
      <c r="CR42" s="35">
        <v>6.0</v>
      </c>
      <c r="CS42" s="35">
        <v>0.0</v>
      </c>
      <c r="CT42" s="35">
        <v>8.0</v>
      </c>
      <c r="CU42" s="35">
        <v>5.0</v>
      </c>
      <c r="CV42" s="35">
        <v>2.0</v>
      </c>
      <c r="CW42" s="35">
        <v>3.0</v>
      </c>
      <c r="CX42" s="35">
        <v>3.0</v>
      </c>
      <c r="CY42" s="35">
        <v>0.0</v>
      </c>
      <c r="CZ42" s="35">
        <v>0.0</v>
      </c>
      <c r="DA42" s="35">
        <v>0.0</v>
      </c>
      <c r="DB42" s="35">
        <v>2.0</v>
      </c>
      <c r="DC42" s="35">
        <v>2.0</v>
      </c>
      <c r="DD42" s="35">
        <v>1.0</v>
      </c>
      <c r="DE42" s="36" t="s">
        <v>133</v>
      </c>
      <c r="DF42" s="36" t="s">
        <v>133</v>
      </c>
      <c r="DG42" s="53">
        <f t="shared" si="55"/>
        <v>11</v>
      </c>
      <c r="DH42" s="35">
        <v>1.0</v>
      </c>
      <c r="DI42" s="35">
        <v>0.0</v>
      </c>
      <c r="DJ42" s="35">
        <v>2.0</v>
      </c>
      <c r="DK42" s="35">
        <v>2.0</v>
      </c>
      <c r="DL42" s="46">
        <f t="shared" si="34"/>
        <v>62.5</v>
      </c>
      <c r="DM42" s="44">
        <f t="shared" si="35"/>
        <v>2</v>
      </c>
      <c r="DN42" s="44">
        <f t="shared" si="36"/>
        <v>2</v>
      </c>
      <c r="DO42" s="44">
        <f t="shared" si="37"/>
        <v>2</v>
      </c>
      <c r="DP42" s="44">
        <f t="shared" si="38"/>
        <v>2</v>
      </c>
      <c r="DQ42" s="44">
        <f t="shared" si="39"/>
        <v>3</v>
      </c>
      <c r="DR42" s="44">
        <f t="shared" ref="DR42:DS42" si="81">(DH42)</f>
        <v>1</v>
      </c>
      <c r="DS42" s="44">
        <f t="shared" si="81"/>
        <v>0</v>
      </c>
      <c r="DT42" s="44">
        <f t="shared" si="41"/>
        <v>12</v>
      </c>
      <c r="DU42" s="44" t="str">
        <f t="shared" si="42"/>
        <v>poor sleep quality</v>
      </c>
      <c r="DV42" s="35">
        <v>3.0</v>
      </c>
      <c r="DW42" s="35" t="s">
        <v>247</v>
      </c>
      <c r="DX42" s="35" t="s">
        <v>146</v>
      </c>
      <c r="DY42" s="35">
        <v>2.0</v>
      </c>
      <c r="DZ42" s="35" t="s">
        <v>131</v>
      </c>
      <c r="EA42" s="35" t="s">
        <v>167</v>
      </c>
      <c r="EB42" s="35" t="s">
        <v>172</v>
      </c>
      <c r="EC42" s="36" t="s">
        <v>133</v>
      </c>
      <c r="ED42" s="35" t="s">
        <v>132</v>
      </c>
      <c r="EE42" s="35" t="s">
        <v>141</v>
      </c>
      <c r="EF42" s="35">
        <f t="shared" si="51"/>
        <v>501</v>
      </c>
      <c r="EG42" s="35">
        <f t="shared" si="52"/>
        <v>501</v>
      </c>
      <c r="EH42" s="47">
        <f t="shared" si="24"/>
        <v>24.24391847</v>
      </c>
    </row>
    <row r="43" ht="15.75" customHeight="1">
      <c r="A43" s="35" t="s">
        <v>265</v>
      </c>
      <c r="B43" s="36" t="s">
        <v>175</v>
      </c>
      <c r="C43" s="37">
        <v>45065.0</v>
      </c>
      <c r="D43" s="48">
        <v>65.0</v>
      </c>
      <c r="E43" s="35" t="s">
        <v>153</v>
      </c>
      <c r="F43" s="35">
        <v>168.0</v>
      </c>
      <c r="G43" s="39">
        <v>90.0</v>
      </c>
      <c r="H43" s="40" t="s">
        <v>131</v>
      </c>
      <c r="I43" s="35">
        <v>4.0</v>
      </c>
      <c r="J43" s="41">
        <v>44927.0</v>
      </c>
      <c r="K43" s="35" t="s">
        <v>131</v>
      </c>
      <c r="L43" s="35">
        <v>1.0</v>
      </c>
      <c r="M43" s="41">
        <v>44350.0</v>
      </c>
      <c r="N43" s="36" t="s">
        <v>133</v>
      </c>
      <c r="O43" s="41">
        <v>44350.0</v>
      </c>
      <c r="P43" s="35" t="s">
        <v>131</v>
      </c>
      <c r="Q43" s="56">
        <v>44351.0</v>
      </c>
      <c r="R43" s="56">
        <v>44415.0</v>
      </c>
      <c r="S43" s="35" t="s">
        <v>132</v>
      </c>
      <c r="T43" s="36" t="s">
        <v>133</v>
      </c>
      <c r="U43" s="35" t="s">
        <v>132</v>
      </c>
      <c r="V43" s="36" t="str">
        <f t="shared" si="2"/>
        <v>Internación moderada</v>
      </c>
      <c r="W43" s="35" t="s">
        <v>176</v>
      </c>
      <c r="X43" s="35" t="s">
        <v>132</v>
      </c>
      <c r="Y43" s="35">
        <v>3.0</v>
      </c>
      <c r="Z43" s="35">
        <v>1.0</v>
      </c>
      <c r="AA43" s="35">
        <v>3.0</v>
      </c>
      <c r="AB43" s="35">
        <v>3.0</v>
      </c>
      <c r="AC43" s="35">
        <v>1.0</v>
      </c>
      <c r="AD43" s="35">
        <v>1.0</v>
      </c>
      <c r="AE43" s="35">
        <v>1.0</v>
      </c>
      <c r="AF43" s="35">
        <v>3.0</v>
      </c>
      <c r="AG43" s="35">
        <v>3.0</v>
      </c>
      <c r="AH43" s="35">
        <v>1.0</v>
      </c>
      <c r="AI43" s="35">
        <v>3.0</v>
      </c>
      <c r="AJ43" s="35">
        <v>3.0</v>
      </c>
      <c r="AK43" s="39" t="s">
        <v>266</v>
      </c>
      <c r="AL43" s="40" t="s">
        <v>131</v>
      </c>
      <c r="AM43" s="35" t="s">
        <v>131</v>
      </c>
      <c r="AN43" s="35" t="s">
        <v>132</v>
      </c>
      <c r="AO43" s="35" t="s">
        <v>132</v>
      </c>
      <c r="AP43" s="35" t="s">
        <v>131</v>
      </c>
      <c r="AQ43" s="35" t="s">
        <v>132</v>
      </c>
      <c r="AR43" s="35" t="s">
        <v>132</v>
      </c>
      <c r="AS43" s="35" t="s">
        <v>131</v>
      </c>
      <c r="AT43" s="35" t="s">
        <v>131</v>
      </c>
      <c r="AU43" s="35" t="s">
        <v>132</v>
      </c>
      <c r="AV43" s="35" t="s">
        <v>131</v>
      </c>
      <c r="AW43" s="35" t="s">
        <v>267</v>
      </c>
      <c r="AX43" s="35" t="s">
        <v>132</v>
      </c>
      <c r="AY43" s="36" t="s">
        <v>133</v>
      </c>
      <c r="AZ43" s="36" t="s">
        <v>133</v>
      </c>
      <c r="BA43" s="36" t="s">
        <v>133</v>
      </c>
      <c r="BB43" s="35" t="s">
        <v>145</v>
      </c>
      <c r="BC43" s="36" t="s">
        <v>133</v>
      </c>
      <c r="BD43" s="40">
        <v>2.0</v>
      </c>
      <c r="BE43" s="35">
        <v>1.0</v>
      </c>
      <c r="BF43" s="35">
        <v>1.0</v>
      </c>
      <c r="BG43" s="35">
        <v>3.0</v>
      </c>
      <c r="BH43" s="35">
        <v>5.0</v>
      </c>
      <c r="BI43" s="44" t="str">
        <f t="shared" si="3"/>
        <v>21135</v>
      </c>
      <c r="BJ43" s="35">
        <v>40.0</v>
      </c>
      <c r="BK43" s="35">
        <v>5.0</v>
      </c>
      <c r="BL43" s="35">
        <v>5.0</v>
      </c>
      <c r="BM43" s="35">
        <v>1.0</v>
      </c>
      <c r="BN43" s="35">
        <v>1.0</v>
      </c>
      <c r="BO43" s="35">
        <v>5.0</v>
      </c>
      <c r="BP43" s="35">
        <v>1.0</v>
      </c>
      <c r="BQ43" s="35">
        <v>1.0</v>
      </c>
      <c r="BR43" s="35">
        <v>2.0</v>
      </c>
      <c r="BS43" s="35">
        <v>4.0</v>
      </c>
      <c r="BT43" s="35">
        <v>5.0</v>
      </c>
      <c r="BU43" s="44">
        <f t="shared" si="4"/>
        <v>5</v>
      </c>
      <c r="BV43" s="44">
        <f t="shared" si="5"/>
        <v>1</v>
      </c>
      <c r="BW43" s="44">
        <f t="shared" si="53"/>
        <v>30</v>
      </c>
      <c r="BX43" s="44" t="str">
        <f t="shared" si="7"/>
        <v>FATIGA</v>
      </c>
      <c r="BY43" s="35">
        <v>0.0</v>
      </c>
      <c r="BZ43" s="35">
        <v>0.0</v>
      </c>
      <c r="CA43" s="35">
        <v>0.0</v>
      </c>
      <c r="CB43" s="35">
        <v>2.0</v>
      </c>
      <c r="CC43" s="35">
        <v>2.0</v>
      </c>
      <c r="CD43" s="35">
        <v>0.0</v>
      </c>
      <c r="CE43" s="35">
        <v>1.0</v>
      </c>
      <c r="CF43" s="35">
        <v>0.0</v>
      </c>
      <c r="CG43" s="35">
        <v>30.0</v>
      </c>
      <c r="CH43" s="35">
        <v>7.0</v>
      </c>
      <c r="CI43" s="35">
        <v>0.0</v>
      </c>
      <c r="CJ43" s="44">
        <f t="shared" si="27"/>
        <v>1059</v>
      </c>
      <c r="CK43" s="44">
        <f t="shared" si="28"/>
        <v>3</v>
      </c>
      <c r="CL43" s="44" t="b">
        <f t="shared" si="29"/>
        <v>0</v>
      </c>
      <c r="CM43" s="44" t="b">
        <f t="shared" si="30"/>
        <v>0</v>
      </c>
      <c r="CN43" s="45" t="str">
        <f t="shared" si="31"/>
        <v>Nivel de actividad física bajo</v>
      </c>
      <c r="CO43" s="35">
        <v>23.0</v>
      </c>
      <c r="CP43" s="35">
        <v>60.0</v>
      </c>
      <c r="CQ43" s="44">
        <f t="shared" si="32"/>
        <v>2</v>
      </c>
      <c r="CR43" s="35">
        <v>7.0</v>
      </c>
      <c r="CS43" s="35">
        <v>0.0</v>
      </c>
      <c r="CT43" s="35">
        <v>8.0</v>
      </c>
      <c r="CU43" s="35">
        <v>4.0</v>
      </c>
      <c r="CV43" s="35">
        <v>3.0</v>
      </c>
      <c r="CW43" s="35">
        <v>3.0</v>
      </c>
      <c r="CX43" s="35">
        <v>3.0</v>
      </c>
      <c r="CY43" s="35">
        <v>2.0</v>
      </c>
      <c r="CZ43" s="35">
        <v>0.0</v>
      </c>
      <c r="DA43" s="35">
        <v>1.0</v>
      </c>
      <c r="DB43" s="35">
        <v>0.0</v>
      </c>
      <c r="DC43" s="35">
        <v>2.0</v>
      </c>
      <c r="DD43" s="35">
        <v>1.0</v>
      </c>
      <c r="DE43" s="36" t="s">
        <v>133</v>
      </c>
      <c r="DF43" s="36" t="s">
        <v>133</v>
      </c>
      <c r="DG43" s="53">
        <f t="shared" si="55"/>
        <v>12</v>
      </c>
      <c r="DH43" s="35">
        <v>2.0</v>
      </c>
      <c r="DI43" s="35">
        <v>0.0</v>
      </c>
      <c r="DJ43" s="35">
        <v>0.0</v>
      </c>
      <c r="DK43" s="35">
        <v>0.0</v>
      </c>
      <c r="DL43" s="46">
        <f t="shared" si="34"/>
        <v>50</v>
      </c>
      <c r="DM43" s="44">
        <f t="shared" si="35"/>
        <v>3</v>
      </c>
      <c r="DN43" s="44">
        <f t="shared" si="36"/>
        <v>2</v>
      </c>
      <c r="DO43" s="44">
        <f t="shared" si="37"/>
        <v>3</v>
      </c>
      <c r="DP43" s="44">
        <f t="shared" si="38"/>
        <v>0</v>
      </c>
      <c r="DQ43" s="44">
        <f t="shared" si="39"/>
        <v>3</v>
      </c>
      <c r="DR43" s="44">
        <f t="shared" ref="DR43:DS43" si="82">(DH43)</f>
        <v>2</v>
      </c>
      <c r="DS43" s="44">
        <f t="shared" si="82"/>
        <v>0</v>
      </c>
      <c r="DT43" s="44">
        <f t="shared" si="41"/>
        <v>13</v>
      </c>
      <c r="DU43" s="44" t="str">
        <f t="shared" si="42"/>
        <v>poor sleep quality</v>
      </c>
      <c r="DV43" s="35">
        <v>2.0</v>
      </c>
      <c r="DW43" s="35" t="s">
        <v>149</v>
      </c>
      <c r="DX43" s="35" t="s">
        <v>146</v>
      </c>
      <c r="DY43" s="35">
        <v>2.0</v>
      </c>
      <c r="DZ43" s="35" t="s">
        <v>131</v>
      </c>
      <c r="EA43" s="35" t="s">
        <v>150</v>
      </c>
      <c r="EB43" s="35" t="s">
        <v>261</v>
      </c>
      <c r="EC43" s="35" t="s">
        <v>131</v>
      </c>
      <c r="ED43" s="35" t="s">
        <v>132</v>
      </c>
      <c r="EE43" s="35" t="s">
        <v>158</v>
      </c>
      <c r="EF43" s="35">
        <f t="shared" si="51"/>
        <v>715</v>
      </c>
      <c r="EG43" s="35">
        <f t="shared" si="52"/>
        <v>715</v>
      </c>
      <c r="EH43" s="47">
        <f t="shared" si="24"/>
        <v>31.8877551</v>
      </c>
    </row>
    <row r="44" ht="15.75" customHeight="1">
      <c r="A44" s="35" t="s">
        <v>268</v>
      </c>
      <c r="B44" s="36" t="s">
        <v>175</v>
      </c>
      <c r="C44" s="37">
        <v>45079.0</v>
      </c>
      <c r="D44" s="48">
        <v>53.0</v>
      </c>
      <c r="E44" s="35" t="s">
        <v>130</v>
      </c>
      <c r="F44" s="35">
        <v>183.0</v>
      </c>
      <c r="G44" s="39">
        <v>95.0</v>
      </c>
      <c r="H44" s="40" t="s">
        <v>131</v>
      </c>
      <c r="I44" s="35">
        <v>7.0</v>
      </c>
      <c r="J44" s="41">
        <v>45020.0</v>
      </c>
      <c r="K44" s="35" t="s">
        <v>131</v>
      </c>
      <c r="L44" s="35">
        <v>1.0</v>
      </c>
      <c r="M44" s="41">
        <v>44287.0</v>
      </c>
      <c r="N44" s="35">
        <v>1.0</v>
      </c>
      <c r="O44" s="41">
        <v>44287.0</v>
      </c>
      <c r="P44" s="35" t="s">
        <v>131</v>
      </c>
      <c r="Q44" s="56">
        <v>44302.0</v>
      </c>
      <c r="R44" s="56">
        <v>44317.0</v>
      </c>
      <c r="S44" s="35" t="s">
        <v>132</v>
      </c>
      <c r="T44" s="36" t="s">
        <v>133</v>
      </c>
      <c r="U44" s="35" t="s">
        <v>132</v>
      </c>
      <c r="V44" s="36" t="str">
        <f t="shared" si="2"/>
        <v>Internación moderada</v>
      </c>
      <c r="W44" s="35" t="s">
        <v>176</v>
      </c>
      <c r="X44" s="35" t="s">
        <v>132</v>
      </c>
      <c r="Y44" s="35">
        <v>2.0</v>
      </c>
      <c r="Z44" s="35">
        <v>1.0</v>
      </c>
      <c r="AA44" s="35">
        <v>2.0</v>
      </c>
      <c r="AB44" s="35">
        <v>2.0</v>
      </c>
      <c r="AC44" s="35">
        <v>3.0</v>
      </c>
      <c r="AD44" s="35">
        <v>1.0</v>
      </c>
      <c r="AE44" s="35">
        <v>1.0</v>
      </c>
      <c r="AF44" s="35">
        <v>3.0</v>
      </c>
      <c r="AG44" s="35">
        <v>1.0</v>
      </c>
      <c r="AH44" s="35">
        <v>1.0</v>
      </c>
      <c r="AI44" s="35">
        <v>3.0</v>
      </c>
      <c r="AJ44" s="35">
        <v>1.0</v>
      </c>
      <c r="AK44" s="39" t="s">
        <v>269</v>
      </c>
      <c r="AL44" s="40" t="s">
        <v>131</v>
      </c>
      <c r="AM44" s="35" t="s">
        <v>132</v>
      </c>
      <c r="AN44" s="35" t="s">
        <v>132</v>
      </c>
      <c r="AO44" s="35" t="s">
        <v>131</v>
      </c>
      <c r="AP44" s="35" t="s">
        <v>132</v>
      </c>
      <c r="AQ44" s="35" t="s">
        <v>132</v>
      </c>
      <c r="AR44" s="35" t="s">
        <v>132</v>
      </c>
      <c r="AS44" s="35" t="s">
        <v>131</v>
      </c>
      <c r="AT44" s="35" t="s">
        <v>132</v>
      </c>
      <c r="AU44" s="35" t="s">
        <v>132</v>
      </c>
      <c r="AV44" s="35" t="s">
        <v>131</v>
      </c>
      <c r="AW44" s="35" t="s">
        <v>246</v>
      </c>
      <c r="AX44" s="35" t="s">
        <v>132</v>
      </c>
      <c r="AY44" s="36" t="s">
        <v>133</v>
      </c>
      <c r="AZ44" s="36" t="s">
        <v>133</v>
      </c>
      <c r="BA44" s="36" t="s">
        <v>133</v>
      </c>
      <c r="BB44" s="35" t="s">
        <v>145</v>
      </c>
      <c r="BC44" s="36" t="s">
        <v>133</v>
      </c>
      <c r="BD44" s="40">
        <v>4.0</v>
      </c>
      <c r="BE44" s="35">
        <v>3.0</v>
      </c>
      <c r="BF44" s="35">
        <v>3.0</v>
      </c>
      <c r="BG44" s="35">
        <v>4.0</v>
      </c>
      <c r="BH44" s="35">
        <v>3.0</v>
      </c>
      <c r="BI44" s="44" t="str">
        <f t="shared" si="3"/>
        <v>43343</v>
      </c>
      <c r="BJ44" s="35">
        <v>30.0</v>
      </c>
      <c r="BK44" s="35">
        <v>4.0</v>
      </c>
      <c r="BL44" s="35">
        <v>3.0</v>
      </c>
      <c r="BM44" s="35">
        <v>4.0</v>
      </c>
      <c r="BN44" s="35">
        <v>2.0</v>
      </c>
      <c r="BO44" s="35">
        <v>5.0</v>
      </c>
      <c r="BP44" s="35">
        <v>3.0</v>
      </c>
      <c r="BQ44" s="35">
        <v>2.0</v>
      </c>
      <c r="BR44" s="35">
        <v>3.0</v>
      </c>
      <c r="BS44" s="35">
        <v>2.0</v>
      </c>
      <c r="BT44" s="35">
        <v>3.0</v>
      </c>
      <c r="BU44" s="44">
        <f t="shared" si="4"/>
        <v>4</v>
      </c>
      <c r="BV44" s="44">
        <f t="shared" si="5"/>
        <v>3</v>
      </c>
      <c r="BW44" s="44">
        <f t="shared" si="53"/>
        <v>32</v>
      </c>
      <c r="BX44" s="44" t="str">
        <f t="shared" si="7"/>
        <v>FATIGA</v>
      </c>
      <c r="BY44" s="35">
        <v>0.0</v>
      </c>
      <c r="BZ44" s="35">
        <v>0.0</v>
      </c>
      <c r="CA44" s="35">
        <v>0.0</v>
      </c>
      <c r="CB44" s="35">
        <v>0.0</v>
      </c>
      <c r="CC44" s="35">
        <v>0.0</v>
      </c>
      <c r="CD44" s="35">
        <v>0.0</v>
      </c>
      <c r="CE44" s="35">
        <v>7.0</v>
      </c>
      <c r="CF44" s="35">
        <v>1.0</v>
      </c>
      <c r="CG44" s="35">
        <v>10.0</v>
      </c>
      <c r="CH44" s="35">
        <v>5.0</v>
      </c>
      <c r="CI44" s="35">
        <v>0.0</v>
      </c>
      <c r="CJ44" s="44">
        <f t="shared" si="27"/>
        <v>1617</v>
      </c>
      <c r="CK44" s="44">
        <f t="shared" si="28"/>
        <v>7</v>
      </c>
      <c r="CL44" s="44" t="b">
        <f t="shared" si="29"/>
        <v>0</v>
      </c>
      <c r="CM44" s="44" t="str">
        <f t="shared" si="30"/>
        <v>Nivel de actividad física moderado</v>
      </c>
      <c r="CN44" s="45" t="str">
        <f t="shared" si="31"/>
        <v>Nivel de actividad física moderado</v>
      </c>
      <c r="CO44" s="35">
        <v>22.0</v>
      </c>
      <c r="CP44" s="35">
        <v>5.0</v>
      </c>
      <c r="CQ44" s="44">
        <f t="shared" si="32"/>
        <v>0</v>
      </c>
      <c r="CR44" s="35">
        <v>6.0</v>
      </c>
      <c r="CS44" s="35">
        <v>30.0</v>
      </c>
      <c r="CT44" s="35">
        <v>8.5</v>
      </c>
      <c r="CU44" s="35">
        <v>8.0</v>
      </c>
      <c r="CV44" s="35">
        <v>0.0</v>
      </c>
      <c r="CW44" s="35">
        <v>0.0</v>
      </c>
      <c r="CX44" s="35">
        <v>1.0</v>
      </c>
      <c r="CY44" s="35">
        <v>0.0</v>
      </c>
      <c r="CZ44" s="35">
        <v>0.0</v>
      </c>
      <c r="DA44" s="35">
        <v>0.0</v>
      </c>
      <c r="DB44" s="35">
        <v>0.0</v>
      </c>
      <c r="DC44" s="35">
        <v>0.0</v>
      </c>
      <c r="DD44" s="35">
        <v>3.0</v>
      </c>
      <c r="DE44" s="35">
        <v>2.0</v>
      </c>
      <c r="DF44" s="35" t="s">
        <v>270</v>
      </c>
      <c r="DG44" s="53">
        <f t="shared" si="55"/>
        <v>6</v>
      </c>
      <c r="DH44" s="35">
        <v>1.0</v>
      </c>
      <c r="DI44" s="35">
        <v>0.0</v>
      </c>
      <c r="DJ44" s="35">
        <v>3.0</v>
      </c>
      <c r="DK44" s="35">
        <v>2.0</v>
      </c>
      <c r="DL44" s="46">
        <f t="shared" si="34"/>
        <v>94.11764706</v>
      </c>
      <c r="DM44" s="44">
        <f t="shared" si="35"/>
        <v>0</v>
      </c>
      <c r="DN44" s="44">
        <f t="shared" si="36"/>
        <v>1</v>
      </c>
      <c r="DO44" s="44">
        <f t="shared" si="37"/>
        <v>0</v>
      </c>
      <c r="DP44" s="44">
        <f t="shared" si="38"/>
        <v>3</v>
      </c>
      <c r="DQ44" s="44">
        <f t="shared" si="39"/>
        <v>0</v>
      </c>
      <c r="DR44" s="44">
        <f t="shared" ref="DR44:DS44" si="83">(DH44)</f>
        <v>1</v>
      </c>
      <c r="DS44" s="44">
        <f t="shared" si="83"/>
        <v>0</v>
      </c>
      <c r="DT44" s="44">
        <f t="shared" si="41"/>
        <v>5</v>
      </c>
      <c r="DU44" s="44" t="str">
        <f t="shared" si="42"/>
        <v>good sleep quality</v>
      </c>
      <c r="DV44" s="35">
        <v>3.0</v>
      </c>
      <c r="DW44" s="35" t="s">
        <v>155</v>
      </c>
      <c r="DX44" s="35" t="s">
        <v>146</v>
      </c>
      <c r="DY44" s="35" t="s">
        <v>156</v>
      </c>
      <c r="DZ44" s="35" t="s">
        <v>131</v>
      </c>
      <c r="EA44" s="35" t="s">
        <v>138</v>
      </c>
      <c r="EB44" s="35" t="s">
        <v>139</v>
      </c>
      <c r="EC44" s="36" t="s">
        <v>133</v>
      </c>
      <c r="ED44" s="35" t="s">
        <v>131</v>
      </c>
      <c r="EE44" s="35" t="s">
        <v>141</v>
      </c>
      <c r="EF44" s="35">
        <f t="shared" si="51"/>
        <v>792</v>
      </c>
      <c r="EG44" s="35">
        <f t="shared" si="52"/>
        <v>792</v>
      </c>
      <c r="EH44" s="47">
        <f t="shared" si="24"/>
        <v>28.36752366</v>
      </c>
    </row>
    <row r="45" ht="15.75" customHeight="1">
      <c r="A45" s="35" t="s">
        <v>271</v>
      </c>
      <c r="B45" s="36" t="s">
        <v>175</v>
      </c>
      <c r="C45" s="37">
        <v>45086.0</v>
      </c>
      <c r="D45" s="48">
        <v>43.0</v>
      </c>
      <c r="E45" s="35" t="s">
        <v>130</v>
      </c>
      <c r="F45" s="35">
        <v>172.0</v>
      </c>
      <c r="G45" s="39">
        <v>63.0</v>
      </c>
      <c r="H45" s="40" t="s">
        <v>131</v>
      </c>
      <c r="I45" s="35">
        <v>4.0</v>
      </c>
      <c r="J45" s="41">
        <v>44680.0</v>
      </c>
      <c r="K45" s="35" t="s">
        <v>131</v>
      </c>
      <c r="L45" s="35">
        <v>2.0</v>
      </c>
      <c r="M45" s="41">
        <v>44075.0</v>
      </c>
      <c r="N45" s="35">
        <v>0.0</v>
      </c>
      <c r="O45" s="41">
        <v>44531.0</v>
      </c>
      <c r="P45" s="35" t="s">
        <v>132</v>
      </c>
      <c r="Q45" s="36" t="s">
        <v>133</v>
      </c>
      <c r="R45" s="36" t="s">
        <v>133</v>
      </c>
      <c r="S45" s="36" t="s">
        <v>133</v>
      </c>
      <c r="T45" s="36" t="s">
        <v>133</v>
      </c>
      <c r="U45" s="36" t="s">
        <v>133</v>
      </c>
      <c r="V45" s="36" t="str">
        <f t="shared" si="2"/>
        <v>Paciente ambulatorio</v>
      </c>
      <c r="W45" s="35" t="s">
        <v>176</v>
      </c>
      <c r="X45" s="35" t="s">
        <v>132</v>
      </c>
      <c r="Y45" s="35">
        <v>3.0</v>
      </c>
      <c r="Z45" s="35">
        <v>2.0</v>
      </c>
      <c r="AA45" s="35">
        <v>3.0</v>
      </c>
      <c r="AB45" s="35">
        <v>3.0</v>
      </c>
      <c r="AC45" s="35">
        <v>2.0</v>
      </c>
      <c r="AD45" s="35">
        <v>3.0</v>
      </c>
      <c r="AE45" s="35">
        <v>2.0</v>
      </c>
      <c r="AF45" s="35">
        <v>3.0</v>
      </c>
      <c r="AG45" s="35">
        <v>2.0</v>
      </c>
      <c r="AH45" s="35">
        <v>3.0</v>
      </c>
      <c r="AI45" s="35">
        <v>1.0</v>
      </c>
      <c r="AJ45" s="35">
        <v>2.0</v>
      </c>
      <c r="AK45" s="39" t="s">
        <v>272</v>
      </c>
      <c r="AL45" s="40" t="s">
        <v>132</v>
      </c>
      <c r="AM45" s="35" t="s">
        <v>132</v>
      </c>
      <c r="AN45" s="35" t="s">
        <v>132</v>
      </c>
      <c r="AO45" s="35" t="s">
        <v>132</v>
      </c>
      <c r="AP45" s="35" t="s">
        <v>132</v>
      </c>
      <c r="AQ45" s="35" t="s">
        <v>132</v>
      </c>
      <c r="AR45" s="35" t="s">
        <v>132</v>
      </c>
      <c r="AS45" s="35" t="s">
        <v>132</v>
      </c>
      <c r="AT45" s="35" t="s">
        <v>132</v>
      </c>
      <c r="AU45" s="35" t="s">
        <v>132</v>
      </c>
      <c r="AV45" s="35" t="s">
        <v>132</v>
      </c>
      <c r="AW45" s="36" t="s">
        <v>133</v>
      </c>
      <c r="AX45" s="35" t="s">
        <v>132</v>
      </c>
      <c r="AY45" s="36" t="s">
        <v>133</v>
      </c>
      <c r="AZ45" s="36" t="s">
        <v>133</v>
      </c>
      <c r="BA45" s="36" t="s">
        <v>133</v>
      </c>
      <c r="BB45" s="35" t="s">
        <v>145</v>
      </c>
      <c r="BC45" s="36" t="s">
        <v>133</v>
      </c>
      <c r="BD45" s="40">
        <v>1.0</v>
      </c>
      <c r="BE45" s="35">
        <v>1.0</v>
      </c>
      <c r="BF45" s="35">
        <v>1.0</v>
      </c>
      <c r="BG45" s="35">
        <v>1.0</v>
      </c>
      <c r="BH45" s="35">
        <v>1.0</v>
      </c>
      <c r="BI45" s="44" t="str">
        <f t="shared" si="3"/>
        <v>11111</v>
      </c>
      <c r="BJ45" s="35">
        <v>100.0</v>
      </c>
      <c r="BK45" s="35">
        <v>1.0</v>
      </c>
      <c r="BL45" s="35">
        <v>1.0</v>
      </c>
      <c r="BM45" s="35">
        <v>1.0</v>
      </c>
      <c r="BN45" s="35">
        <v>5.0</v>
      </c>
      <c r="BO45" s="35">
        <v>2.0</v>
      </c>
      <c r="BP45" s="35">
        <v>1.0</v>
      </c>
      <c r="BQ45" s="35">
        <v>1.0</v>
      </c>
      <c r="BR45" s="35">
        <v>1.0</v>
      </c>
      <c r="BS45" s="35">
        <v>1.0</v>
      </c>
      <c r="BT45" s="35">
        <v>4.0</v>
      </c>
      <c r="BU45" s="44">
        <f t="shared" si="4"/>
        <v>1</v>
      </c>
      <c r="BV45" s="44">
        <f t="shared" si="5"/>
        <v>2</v>
      </c>
      <c r="BW45" s="44">
        <f t="shared" si="53"/>
        <v>15</v>
      </c>
      <c r="BX45" s="44" t="str">
        <f t="shared" si="7"/>
        <v>NO HAY FATIGA</v>
      </c>
      <c r="BY45" s="35">
        <v>2.0</v>
      </c>
      <c r="BZ45" s="35">
        <v>2.0</v>
      </c>
      <c r="CA45" s="35">
        <v>30.0</v>
      </c>
      <c r="CB45" s="35">
        <v>2.0</v>
      </c>
      <c r="CC45" s="35">
        <v>1.0</v>
      </c>
      <c r="CD45" s="35">
        <v>0.0</v>
      </c>
      <c r="CE45" s="35">
        <v>3.0</v>
      </c>
      <c r="CF45" s="35">
        <v>2.0</v>
      </c>
      <c r="CG45" s="35">
        <v>0.0</v>
      </c>
      <c r="CH45" s="35">
        <v>4.0</v>
      </c>
      <c r="CI45" s="35">
        <v>0.0</v>
      </c>
      <c r="CJ45" s="44">
        <f t="shared" si="27"/>
        <v>4068</v>
      </c>
      <c r="CK45" s="44">
        <f t="shared" si="28"/>
        <v>7</v>
      </c>
      <c r="CL45" s="44" t="str">
        <f t="shared" si="29"/>
        <v>Nivel de actividad física alto</v>
      </c>
      <c r="CM45" s="44" t="str">
        <f t="shared" si="30"/>
        <v>Nivel de actividad física moderado</v>
      </c>
      <c r="CN45" s="45" t="str">
        <f t="shared" si="31"/>
        <v>Nivel de actividad física alto</v>
      </c>
      <c r="CO45" s="35">
        <v>23.0</v>
      </c>
      <c r="CP45" s="35">
        <v>15.0</v>
      </c>
      <c r="CQ45" s="44">
        <f t="shared" si="32"/>
        <v>0</v>
      </c>
      <c r="CR45" s="35">
        <v>5.0</v>
      </c>
      <c r="CS45" s="35">
        <v>0.0</v>
      </c>
      <c r="CT45" s="35">
        <v>6.0</v>
      </c>
      <c r="CU45" s="35">
        <v>5.0</v>
      </c>
      <c r="CV45" s="35">
        <v>1.0</v>
      </c>
      <c r="CW45" s="35">
        <v>1.0</v>
      </c>
      <c r="CX45" s="35">
        <v>0.0</v>
      </c>
      <c r="CY45" s="35">
        <v>0.0</v>
      </c>
      <c r="CZ45" s="35">
        <v>0.0</v>
      </c>
      <c r="DA45" s="35">
        <v>0.0</v>
      </c>
      <c r="DB45" s="35">
        <v>0.0</v>
      </c>
      <c r="DC45" s="35">
        <v>0.0</v>
      </c>
      <c r="DD45" s="35">
        <v>0.0</v>
      </c>
      <c r="DE45" s="35">
        <v>1.0</v>
      </c>
      <c r="DF45" s="35" t="s">
        <v>273</v>
      </c>
      <c r="DG45" s="53">
        <f t="shared" si="55"/>
        <v>2</v>
      </c>
      <c r="DH45" s="35">
        <v>1.0</v>
      </c>
      <c r="DI45" s="35">
        <v>0.0</v>
      </c>
      <c r="DJ45" s="35">
        <v>3.0</v>
      </c>
      <c r="DK45" s="35">
        <v>0.0</v>
      </c>
      <c r="DL45" s="46">
        <f t="shared" si="34"/>
        <v>83.33333333</v>
      </c>
      <c r="DM45" s="44">
        <f t="shared" si="35"/>
        <v>2</v>
      </c>
      <c r="DN45" s="44">
        <f t="shared" si="36"/>
        <v>1</v>
      </c>
      <c r="DO45" s="44">
        <f t="shared" si="37"/>
        <v>1</v>
      </c>
      <c r="DP45" s="44">
        <f t="shared" si="38"/>
        <v>2</v>
      </c>
      <c r="DQ45" s="44">
        <f t="shared" si="39"/>
        <v>1</v>
      </c>
      <c r="DR45" s="44">
        <f t="shared" ref="DR45:DS45" si="84">(DH45)</f>
        <v>1</v>
      </c>
      <c r="DS45" s="44">
        <f t="shared" si="84"/>
        <v>0</v>
      </c>
      <c r="DT45" s="44">
        <f t="shared" si="41"/>
        <v>8</v>
      </c>
      <c r="DU45" s="44" t="str">
        <f t="shared" si="42"/>
        <v>poor sleep quality</v>
      </c>
      <c r="DV45" s="35">
        <v>3.0</v>
      </c>
      <c r="DW45" s="35" t="s">
        <v>155</v>
      </c>
      <c r="DX45" s="35" t="s">
        <v>146</v>
      </c>
      <c r="DY45" s="35">
        <v>2.0</v>
      </c>
      <c r="DZ45" s="35" t="s">
        <v>131</v>
      </c>
      <c r="EA45" s="35" t="s">
        <v>147</v>
      </c>
      <c r="EB45" s="35" t="s">
        <v>139</v>
      </c>
      <c r="EC45" s="36" t="s">
        <v>133</v>
      </c>
      <c r="ED45" s="35" t="s">
        <v>131</v>
      </c>
      <c r="EE45" s="35" t="s">
        <v>141</v>
      </c>
      <c r="EF45" s="35">
        <f t="shared" si="51"/>
        <v>1011</v>
      </c>
      <c r="EG45" s="35">
        <f t="shared" si="52"/>
        <v>555</v>
      </c>
      <c r="EH45" s="47">
        <f t="shared" si="24"/>
        <v>21.29529475</v>
      </c>
    </row>
    <row r="46" ht="19.5" customHeight="1">
      <c r="A46" s="35" t="s">
        <v>274</v>
      </c>
      <c r="B46" s="36" t="s">
        <v>175</v>
      </c>
      <c r="C46" s="37">
        <v>45086.0</v>
      </c>
      <c r="D46" s="48">
        <v>50.0</v>
      </c>
      <c r="E46" s="35" t="s">
        <v>130</v>
      </c>
      <c r="F46" s="35">
        <v>165.0</v>
      </c>
      <c r="G46" s="39">
        <v>85.0</v>
      </c>
      <c r="H46" s="40" t="s">
        <v>131</v>
      </c>
      <c r="I46" s="35">
        <v>3.0</v>
      </c>
      <c r="J46" s="41">
        <v>44774.0</v>
      </c>
      <c r="K46" s="35" t="s">
        <v>131</v>
      </c>
      <c r="L46" s="35">
        <v>1.0</v>
      </c>
      <c r="M46" s="41">
        <v>44317.0</v>
      </c>
      <c r="N46" s="35">
        <v>1.0</v>
      </c>
      <c r="O46" s="41">
        <v>44317.0</v>
      </c>
      <c r="P46" s="35" t="s">
        <v>131</v>
      </c>
      <c r="Q46" s="56">
        <v>44347.0</v>
      </c>
      <c r="R46" s="56">
        <v>44352.0</v>
      </c>
      <c r="S46" s="35" t="s">
        <v>132</v>
      </c>
      <c r="T46" s="36" t="s">
        <v>133</v>
      </c>
      <c r="U46" s="35" t="s">
        <v>132</v>
      </c>
      <c r="V46" s="36" t="str">
        <f t="shared" si="2"/>
        <v>Internación moderada</v>
      </c>
      <c r="W46" s="35" t="s">
        <v>190</v>
      </c>
      <c r="X46" s="35" t="s">
        <v>132</v>
      </c>
      <c r="Y46" s="35">
        <v>1.0</v>
      </c>
      <c r="Z46" s="35">
        <v>1.0</v>
      </c>
      <c r="AA46" s="35">
        <v>3.0</v>
      </c>
      <c r="AB46" s="35">
        <v>3.0</v>
      </c>
      <c r="AC46" s="35">
        <v>1.0</v>
      </c>
      <c r="AD46" s="35">
        <v>1.0</v>
      </c>
      <c r="AE46" s="35">
        <v>1.0</v>
      </c>
      <c r="AF46" s="35">
        <v>1.0</v>
      </c>
      <c r="AG46" s="35">
        <v>3.0</v>
      </c>
      <c r="AH46" s="35">
        <v>1.0</v>
      </c>
      <c r="AI46" s="35">
        <v>1.0</v>
      </c>
      <c r="AJ46" s="35">
        <v>3.0</v>
      </c>
      <c r="AK46" s="36" t="s">
        <v>133</v>
      </c>
      <c r="AL46" s="40" t="s">
        <v>132</v>
      </c>
      <c r="AM46" s="35" t="s">
        <v>132</v>
      </c>
      <c r="AN46" s="35" t="s">
        <v>132</v>
      </c>
      <c r="AO46" s="35" t="s">
        <v>131</v>
      </c>
      <c r="AP46" s="35" t="s">
        <v>132</v>
      </c>
      <c r="AQ46" s="35" t="s">
        <v>132</v>
      </c>
      <c r="AR46" s="35" t="s">
        <v>132</v>
      </c>
      <c r="AS46" s="35" t="s">
        <v>132</v>
      </c>
      <c r="AT46" s="35" t="s">
        <v>132</v>
      </c>
      <c r="AU46" s="35" t="s">
        <v>132</v>
      </c>
      <c r="AV46" s="35" t="s">
        <v>131</v>
      </c>
      <c r="AW46" s="35" t="s">
        <v>275</v>
      </c>
      <c r="AX46" s="35" t="s">
        <v>131</v>
      </c>
      <c r="AY46" s="35" t="s">
        <v>276</v>
      </c>
      <c r="AZ46" s="35">
        <v>10.0</v>
      </c>
      <c r="BA46" s="36" t="s">
        <v>133</v>
      </c>
      <c r="BB46" s="35" t="s">
        <v>145</v>
      </c>
      <c r="BC46" s="36" t="s">
        <v>133</v>
      </c>
      <c r="BD46" s="40">
        <v>3.0</v>
      </c>
      <c r="BE46" s="35">
        <v>1.0</v>
      </c>
      <c r="BF46" s="35">
        <v>3.0</v>
      </c>
      <c r="BG46" s="35">
        <v>3.0</v>
      </c>
      <c r="BH46" s="35">
        <v>4.0</v>
      </c>
      <c r="BI46" s="44" t="str">
        <f t="shared" si="3"/>
        <v>31334</v>
      </c>
      <c r="BJ46" s="35">
        <v>60.0</v>
      </c>
      <c r="BK46" s="35">
        <v>3.0</v>
      </c>
      <c r="BL46" s="35">
        <v>3.0</v>
      </c>
      <c r="BM46" s="35">
        <v>3.0</v>
      </c>
      <c r="BN46" s="35">
        <v>3.0</v>
      </c>
      <c r="BO46" s="35">
        <v>3.0</v>
      </c>
      <c r="BP46" s="35">
        <v>2.0</v>
      </c>
      <c r="BQ46" s="35">
        <v>2.0</v>
      </c>
      <c r="BR46" s="35">
        <v>2.0</v>
      </c>
      <c r="BS46" s="35">
        <v>5.0</v>
      </c>
      <c r="BT46" s="35">
        <v>2.0</v>
      </c>
      <c r="BU46" s="44">
        <f t="shared" si="4"/>
        <v>3</v>
      </c>
      <c r="BV46" s="44">
        <f t="shared" si="5"/>
        <v>4</v>
      </c>
      <c r="BW46" s="44">
        <f t="shared" si="53"/>
        <v>29</v>
      </c>
      <c r="BX46" s="44" t="str">
        <f t="shared" si="7"/>
        <v>FATIGA</v>
      </c>
      <c r="BY46" s="35">
        <v>0.0</v>
      </c>
      <c r="BZ46" s="35">
        <v>0.0</v>
      </c>
      <c r="CA46" s="35">
        <v>0.0</v>
      </c>
      <c r="CB46" s="35">
        <v>0.0</v>
      </c>
      <c r="CC46" s="35">
        <v>0.0</v>
      </c>
      <c r="CD46" s="35">
        <v>0.0</v>
      </c>
      <c r="CE46" s="35">
        <v>3.0</v>
      </c>
      <c r="CF46" s="35">
        <v>1.0</v>
      </c>
      <c r="CG46" s="35">
        <v>0.0</v>
      </c>
      <c r="CH46" s="35">
        <v>2.0</v>
      </c>
      <c r="CI46" s="35">
        <v>0.0</v>
      </c>
      <c r="CJ46" s="44">
        <f t="shared" si="27"/>
        <v>594</v>
      </c>
      <c r="CK46" s="44">
        <f t="shared" si="28"/>
        <v>3</v>
      </c>
      <c r="CL46" s="44" t="b">
        <f t="shared" si="29"/>
        <v>0</v>
      </c>
      <c r="CM46" s="44" t="b">
        <f t="shared" si="30"/>
        <v>0</v>
      </c>
      <c r="CN46" s="45" t="str">
        <f t="shared" si="31"/>
        <v>Nivel de actividad física bajo</v>
      </c>
      <c r="CO46" s="51">
        <v>0.9791666666666666</v>
      </c>
      <c r="CP46" s="35">
        <v>60.0</v>
      </c>
      <c r="CQ46" s="44">
        <f t="shared" si="32"/>
        <v>2</v>
      </c>
      <c r="CR46" s="35">
        <v>6.0</v>
      </c>
      <c r="CS46" s="35">
        <v>30.0</v>
      </c>
      <c r="CT46" s="35">
        <v>7.0</v>
      </c>
      <c r="CU46" s="35">
        <v>4.0</v>
      </c>
      <c r="CV46" s="35">
        <v>3.0</v>
      </c>
      <c r="CW46" s="35">
        <v>3.0</v>
      </c>
      <c r="CX46" s="35">
        <v>3.0</v>
      </c>
      <c r="CY46" s="35">
        <v>0.0</v>
      </c>
      <c r="CZ46" s="35">
        <v>3.0</v>
      </c>
      <c r="DA46" s="35">
        <v>0.0</v>
      </c>
      <c r="DB46" s="35">
        <v>3.0</v>
      </c>
      <c r="DC46" s="35">
        <v>3.0</v>
      </c>
      <c r="DD46" s="35">
        <v>2.0</v>
      </c>
      <c r="DE46" s="35">
        <v>3.0</v>
      </c>
      <c r="DF46" s="35" t="s">
        <v>273</v>
      </c>
      <c r="DG46" s="53">
        <f t="shared" si="55"/>
        <v>20</v>
      </c>
      <c r="DH46" s="35">
        <v>3.0</v>
      </c>
      <c r="DI46" s="35">
        <v>0.0</v>
      </c>
      <c r="DJ46" s="35">
        <v>3.0</v>
      </c>
      <c r="DK46" s="35">
        <v>3.0</v>
      </c>
      <c r="DL46" s="46">
        <f t="shared" si="34"/>
        <v>57.14285714</v>
      </c>
      <c r="DM46" s="44">
        <f t="shared" si="35"/>
        <v>3</v>
      </c>
      <c r="DN46" s="44">
        <f t="shared" si="36"/>
        <v>3</v>
      </c>
      <c r="DO46" s="44">
        <f t="shared" si="37"/>
        <v>3</v>
      </c>
      <c r="DP46" s="44">
        <f t="shared" si="38"/>
        <v>3</v>
      </c>
      <c r="DQ46" s="44">
        <f t="shared" si="39"/>
        <v>3</v>
      </c>
      <c r="DR46" s="44">
        <f t="shared" ref="DR46:DS46" si="85">(DH46)</f>
        <v>3</v>
      </c>
      <c r="DS46" s="44">
        <f t="shared" si="85"/>
        <v>0</v>
      </c>
      <c r="DT46" s="44">
        <f t="shared" si="41"/>
        <v>18</v>
      </c>
      <c r="DU46" s="44" t="str">
        <f t="shared" si="42"/>
        <v>poor sleep quality</v>
      </c>
      <c r="DV46" s="35">
        <v>2.0</v>
      </c>
      <c r="DW46" s="35" t="s">
        <v>149</v>
      </c>
      <c r="DX46" s="35" t="s">
        <v>146</v>
      </c>
      <c r="DY46" s="35">
        <v>1.0</v>
      </c>
      <c r="DZ46" s="35" t="s">
        <v>131</v>
      </c>
      <c r="EA46" s="35" t="s">
        <v>167</v>
      </c>
      <c r="EB46" s="35" t="s">
        <v>172</v>
      </c>
      <c r="EC46" s="36" t="s">
        <v>133</v>
      </c>
      <c r="ED46" s="35" t="s">
        <v>131</v>
      </c>
      <c r="EE46" s="35" t="s">
        <v>151</v>
      </c>
      <c r="EF46" s="35">
        <f t="shared" si="51"/>
        <v>769</v>
      </c>
      <c r="EG46" s="35">
        <f t="shared" si="52"/>
        <v>769</v>
      </c>
      <c r="EH46" s="47">
        <f t="shared" si="24"/>
        <v>31.22130395</v>
      </c>
    </row>
    <row r="47" ht="19.5" customHeight="1">
      <c r="A47" s="35" t="s">
        <v>277</v>
      </c>
      <c r="B47" s="36" t="s">
        <v>175</v>
      </c>
      <c r="C47" s="37">
        <v>45079.0</v>
      </c>
      <c r="D47" s="48">
        <v>44.0</v>
      </c>
      <c r="E47" s="35" t="s">
        <v>130</v>
      </c>
      <c r="F47" s="35">
        <v>164.0</v>
      </c>
      <c r="G47" s="39">
        <v>57.0</v>
      </c>
      <c r="H47" s="40" t="s">
        <v>131</v>
      </c>
      <c r="I47" s="35">
        <v>2.0</v>
      </c>
      <c r="J47" s="42" t="s">
        <v>133</v>
      </c>
      <c r="K47" s="35" t="s">
        <v>131</v>
      </c>
      <c r="L47" s="35">
        <v>1.0</v>
      </c>
      <c r="M47" s="41">
        <v>44053.0</v>
      </c>
      <c r="N47" s="35">
        <v>0.0</v>
      </c>
      <c r="O47" s="41">
        <v>44053.0</v>
      </c>
      <c r="P47" s="35" t="s">
        <v>132</v>
      </c>
      <c r="Q47" s="36" t="s">
        <v>133</v>
      </c>
      <c r="R47" s="36" t="s">
        <v>133</v>
      </c>
      <c r="S47" s="36" t="s">
        <v>133</v>
      </c>
      <c r="T47" s="36" t="s">
        <v>133</v>
      </c>
      <c r="U47" s="36" t="s">
        <v>133</v>
      </c>
      <c r="V47" s="36" t="str">
        <f t="shared" si="2"/>
        <v>Paciente ambulatorio</v>
      </c>
      <c r="W47" s="35" t="s">
        <v>176</v>
      </c>
      <c r="X47" s="35" t="s">
        <v>132</v>
      </c>
      <c r="Y47" s="35">
        <v>2.0</v>
      </c>
      <c r="Z47" s="35">
        <v>1.0</v>
      </c>
      <c r="AA47" s="35">
        <v>2.0</v>
      </c>
      <c r="AB47" s="35">
        <v>2.0</v>
      </c>
      <c r="AC47" s="35">
        <v>2.0</v>
      </c>
      <c r="AD47" s="35">
        <v>1.0</v>
      </c>
      <c r="AE47" s="35">
        <v>1.0</v>
      </c>
      <c r="AF47" s="35">
        <v>1.0</v>
      </c>
      <c r="AG47" s="35">
        <v>3.0</v>
      </c>
      <c r="AH47" s="35">
        <v>3.0</v>
      </c>
      <c r="AI47" s="35">
        <v>1.0</v>
      </c>
      <c r="AJ47" s="35">
        <v>1.0</v>
      </c>
      <c r="AK47" s="39" t="s">
        <v>278</v>
      </c>
      <c r="AL47" s="40" t="s">
        <v>132</v>
      </c>
      <c r="AM47" s="35" t="s">
        <v>132</v>
      </c>
      <c r="AN47" s="35" t="s">
        <v>132</v>
      </c>
      <c r="AO47" s="35" t="s">
        <v>132</v>
      </c>
      <c r="AP47" s="35" t="s">
        <v>132</v>
      </c>
      <c r="AQ47" s="35" t="s">
        <v>132</v>
      </c>
      <c r="AR47" s="35" t="s">
        <v>132</v>
      </c>
      <c r="AS47" s="35" t="s">
        <v>132</v>
      </c>
      <c r="AT47" s="35" t="s">
        <v>132</v>
      </c>
      <c r="AU47" s="35" t="s">
        <v>132</v>
      </c>
      <c r="AV47" s="35" t="s">
        <v>132</v>
      </c>
      <c r="AW47" s="36" t="s">
        <v>133</v>
      </c>
      <c r="AX47" s="35" t="s">
        <v>132</v>
      </c>
      <c r="AY47" s="36" t="s">
        <v>133</v>
      </c>
      <c r="AZ47" s="36" t="s">
        <v>133</v>
      </c>
      <c r="BA47" s="36" t="s">
        <v>133</v>
      </c>
      <c r="BB47" s="35" t="s">
        <v>135</v>
      </c>
      <c r="BC47" s="39">
        <v>4.0</v>
      </c>
      <c r="BD47" s="40">
        <v>1.0</v>
      </c>
      <c r="BE47" s="35">
        <v>1.0</v>
      </c>
      <c r="BF47" s="35">
        <v>1.0</v>
      </c>
      <c r="BG47" s="35">
        <v>2.0</v>
      </c>
      <c r="BH47" s="35">
        <v>2.0</v>
      </c>
      <c r="BI47" s="44" t="str">
        <f t="shared" si="3"/>
        <v>11122</v>
      </c>
      <c r="BJ47" s="35">
        <v>60.0</v>
      </c>
      <c r="BK47" s="35">
        <v>3.0</v>
      </c>
      <c r="BL47" s="35">
        <v>3.0</v>
      </c>
      <c r="BM47" s="35">
        <v>3.0</v>
      </c>
      <c r="BN47" s="35">
        <v>2.0</v>
      </c>
      <c r="BO47" s="35">
        <v>4.0</v>
      </c>
      <c r="BP47" s="35">
        <v>3.0</v>
      </c>
      <c r="BQ47" s="35">
        <v>4.0</v>
      </c>
      <c r="BR47" s="35">
        <v>3.0</v>
      </c>
      <c r="BS47" s="35">
        <v>4.0</v>
      </c>
      <c r="BT47" s="35">
        <v>2.0</v>
      </c>
      <c r="BU47" s="44">
        <f t="shared" si="4"/>
        <v>4</v>
      </c>
      <c r="BV47" s="44">
        <f t="shared" si="5"/>
        <v>4</v>
      </c>
      <c r="BW47" s="44">
        <f t="shared" si="53"/>
        <v>33</v>
      </c>
      <c r="BX47" s="44" t="str">
        <f t="shared" si="7"/>
        <v>FATIGA</v>
      </c>
      <c r="BY47" s="35">
        <v>0.0</v>
      </c>
      <c r="BZ47" s="35">
        <v>0.0</v>
      </c>
      <c r="CA47" s="35">
        <v>0.0</v>
      </c>
      <c r="CB47" s="35">
        <v>2.0</v>
      </c>
      <c r="CC47" s="35">
        <v>1.0</v>
      </c>
      <c r="CD47" s="35">
        <v>0.0</v>
      </c>
      <c r="CE47" s="35">
        <v>0.0</v>
      </c>
      <c r="CF47" s="35">
        <v>0.0</v>
      </c>
      <c r="CG47" s="35">
        <v>0.0</v>
      </c>
      <c r="CH47" s="35">
        <v>5.0</v>
      </c>
      <c r="CI47" s="35">
        <v>0.0</v>
      </c>
      <c r="CJ47" s="44">
        <f t="shared" si="27"/>
        <v>480</v>
      </c>
      <c r="CK47" s="44">
        <f t="shared" si="28"/>
        <v>2</v>
      </c>
      <c r="CL47" s="44" t="b">
        <f t="shared" si="29"/>
        <v>0</v>
      </c>
      <c r="CM47" s="44" t="b">
        <f t="shared" si="30"/>
        <v>0</v>
      </c>
      <c r="CN47" s="45" t="str">
        <f t="shared" si="31"/>
        <v>Nivel de actividad física bajo</v>
      </c>
      <c r="CO47" s="35">
        <v>0.0</v>
      </c>
      <c r="CP47" s="35">
        <v>10.0</v>
      </c>
      <c r="CQ47" s="44">
        <f t="shared" si="32"/>
        <v>0</v>
      </c>
      <c r="CR47" s="35">
        <v>7.0</v>
      </c>
      <c r="CS47" s="35">
        <v>0.0</v>
      </c>
      <c r="CT47" s="35">
        <v>7.0</v>
      </c>
      <c r="CU47" s="35">
        <v>6.0</v>
      </c>
      <c r="CV47" s="35">
        <v>0.0</v>
      </c>
      <c r="CW47" s="35">
        <v>2.0</v>
      </c>
      <c r="CX47" s="35">
        <v>0.0</v>
      </c>
      <c r="CY47" s="35">
        <v>0.0</v>
      </c>
      <c r="CZ47" s="35">
        <v>0.0</v>
      </c>
      <c r="DA47" s="35">
        <v>0.0</v>
      </c>
      <c r="DB47" s="35">
        <v>0.0</v>
      </c>
      <c r="DC47" s="35">
        <v>0.0</v>
      </c>
      <c r="DD47" s="35">
        <v>2.0</v>
      </c>
      <c r="DE47" s="35">
        <v>2.0</v>
      </c>
      <c r="DF47" s="35" t="s">
        <v>279</v>
      </c>
      <c r="DG47" s="53">
        <f t="shared" si="55"/>
        <v>6</v>
      </c>
      <c r="DH47" s="35">
        <v>1.0</v>
      </c>
      <c r="DI47" s="35">
        <v>0.0</v>
      </c>
      <c r="DJ47" s="35">
        <v>1.0</v>
      </c>
      <c r="DK47" s="35">
        <v>1.0</v>
      </c>
      <c r="DL47" s="46">
        <f t="shared" si="34"/>
        <v>85.71428571</v>
      </c>
      <c r="DM47" s="44">
        <f t="shared" si="35"/>
        <v>1</v>
      </c>
      <c r="DN47" s="44">
        <f t="shared" si="36"/>
        <v>1</v>
      </c>
      <c r="DO47" s="44">
        <f t="shared" si="37"/>
        <v>0</v>
      </c>
      <c r="DP47" s="44">
        <f t="shared" si="38"/>
        <v>1</v>
      </c>
      <c r="DQ47" s="44">
        <f t="shared" si="39"/>
        <v>0</v>
      </c>
      <c r="DR47" s="44">
        <f t="shared" ref="DR47:DS47" si="86">(DH47)</f>
        <v>1</v>
      </c>
      <c r="DS47" s="44">
        <f t="shared" si="86"/>
        <v>0</v>
      </c>
      <c r="DT47" s="44">
        <f t="shared" si="41"/>
        <v>4</v>
      </c>
      <c r="DU47" s="44" t="str">
        <f t="shared" si="42"/>
        <v>good sleep quality</v>
      </c>
      <c r="DV47" s="35">
        <v>6.0</v>
      </c>
      <c r="DW47" s="35" t="s">
        <v>280</v>
      </c>
      <c r="DX47" s="35" t="s">
        <v>146</v>
      </c>
      <c r="DY47" s="35">
        <v>1.0</v>
      </c>
      <c r="DZ47" s="35" t="s">
        <v>131</v>
      </c>
      <c r="EA47" s="35" t="s">
        <v>167</v>
      </c>
      <c r="EB47" s="35" t="s">
        <v>139</v>
      </c>
      <c r="EC47" s="36" t="s">
        <v>133</v>
      </c>
      <c r="ED47" s="35" t="s">
        <v>131</v>
      </c>
      <c r="EE47" s="35" t="s">
        <v>203</v>
      </c>
      <c r="EF47" s="35">
        <f t="shared" si="51"/>
        <v>1026</v>
      </c>
      <c r="EG47" s="35">
        <f t="shared" si="52"/>
        <v>1026</v>
      </c>
      <c r="EH47" s="47">
        <f t="shared" si="24"/>
        <v>21.19274242</v>
      </c>
    </row>
    <row r="48" ht="15.75" customHeight="1">
      <c r="A48" s="35" t="s">
        <v>281</v>
      </c>
      <c r="B48" s="36" t="s">
        <v>175</v>
      </c>
      <c r="C48" s="37">
        <v>45082.0</v>
      </c>
      <c r="D48" s="48">
        <v>60.0</v>
      </c>
      <c r="E48" s="35" t="s">
        <v>130</v>
      </c>
      <c r="F48" s="35">
        <v>168.0</v>
      </c>
      <c r="G48" s="39">
        <v>75.0</v>
      </c>
      <c r="H48" s="40" t="s">
        <v>131</v>
      </c>
      <c r="I48" s="35">
        <v>5.0</v>
      </c>
      <c r="J48" s="41">
        <v>44927.0</v>
      </c>
      <c r="K48" s="35" t="s">
        <v>131</v>
      </c>
      <c r="L48" s="35">
        <v>1.0</v>
      </c>
      <c r="M48" s="41">
        <v>44105.0</v>
      </c>
      <c r="N48" s="35">
        <v>0.0</v>
      </c>
      <c r="O48" s="41">
        <v>44105.0</v>
      </c>
      <c r="P48" s="35" t="s">
        <v>132</v>
      </c>
      <c r="Q48" s="36" t="s">
        <v>133</v>
      </c>
      <c r="R48" s="36" t="s">
        <v>133</v>
      </c>
      <c r="S48" s="36" t="s">
        <v>133</v>
      </c>
      <c r="T48" s="36" t="s">
        <v>133</v>
      </c>
      <c r="U48" s="36" t="s">
        <v>133</v>
      </c>
      <c r="V48" s="36" t="str">
        <f t="shared" si="2"/>
        <v>Paciente ambulatorio</v>
      </c>
      <c r="W48" s="35" t="s">
        <v>176</v>
      </c>
      <c r="X48" s="35" t="s">
        <v>132</v>
      </c>
      <c r="Y48" s="35">
        <v>3.0</v>
      </c>
      <c r="Z48" s="35">
        <v>1.0</v>
      </c>
      <c r="AA48" s="35">
        <v>2.0</v>
      </c>
      <c r="AB48" s="35">
        <v>3.0</v>
      </c>
      <c r="AC48" s="35">
        <v>3.0</v>
      </c>
      <c r="AD48" s="35">
        <v>1.0</v>
      </c>
      <c r="AE48" s="35">
        <v>1.0</v>
      </c>
      <c r="AF48" s="35">
        <v>1.0</v>
      </c>
      <c r="AG48" s="35">
        <v>1.0</v>
      </c>
      <c r="AH48" s="35">
        <v>1.0</v>
      </c>
      <c r="AI48" s="35">
        <v>1.0</v>
      </c>
      <c r="AJ48" s="35">
        <v>1.0</v>
      </c>
      <c r="AK48" s="36" t="s">
        <v>133</v>
      </c>
      <c r="AL48" s="40" t="s">
        <v>131</v>
      </c>
      <c r="AM48" s="35" t="s">
        <v>132</v>
      </c>
      <c r="AN48" s="35" t="s">
        <v>132</v>
      </c>
      <c r="AO48" s="35" t="s">
        <v>131</v>
      </c>
      <c r="AP48" s="35" t="s">
        <v>132</v>
      </c>
      <c r="AQ48" s="35" t="s">
        <v>132</v>
      </c>
      <c r="AR48" s="35" t="s">
        <v>132</v>
      </c>
      <c r="AS48" s="35" t="s">
        <v>131</v>
      </c>
      <c r="AT48" s="35" t="s">
        <v>132</v>
      </c>
      <c r="AU48" s="35" t="s">
        <v>132</v>
      </c>
      <c r="AV48" s="35" t="s">
        <v>132</v>
      </c>
      <c r="AW48" s="36" t="s">
        <v>133</v>
      </c>
      <c r="AX48" s="35" t="s">
        <v>165</v>
      </c>
      <c r="AY48" s="36" t="s">
        <v>133</v>
      </c>
      <c r="AZ48" s="36" t="s">
        <v>133</v>
      </c>
      <c r="BA48" s="36" t="s">
        <v>133</v>
      </c>
      <c r="BB48" s="35" t="s">
        <v>135</v>
      </c>
      <c r="BC48" s="39">
        <v>1.5</v>
      </c>
      <c r="BD48" s="40">
        <v>1.0</v>
      </c>
      <c r="BE48" s="35">
        <v>1.0</v>
      </c>
      <c r="BF48" s="35">
        <v>1.0</v>
      </c>
      <c r="BG48" s="35">
        <v>2.0</v>
      </c>
      <c r="BH48" s="35">
        <v>2.0</v>
      </c>
      <c r="BI48" s="44" t="str">
        <f t="shared" si="3"/>
        <v>11122</v>
      </c>
      <c r="BJ48" s="35">
        <v>70.0</v>
      </c>
      <c r="BK48" s="35">
        <v>3.0</v>
      </c>
      <c r="BL48" s="35">
        <v>3.0</v>
      </c>
      <c r="BM48" s="35">
        <v>5.0</v>
      </c>
      <c r="BN48" s="35">
        <v>2.0</v>
      </c>
      <c r="BO48" s="35">
        <v>3.0</v>
      </c>
      <c r="BP48" s="35">
        <v>5.0</v>
      </c>
      <c r="BQ48" s="35">
        <v>3.0</v>
      </c>
      <c r="BR48" s="35">
        <v>5.0</v>
      </c>
      <c r="BS48" s="35">
        <v>4.0</v>
      </c>
      <c r="BT48" s="35">
        <v>4.0</v>
      </c>
      <c r="BU48" s="44">
        <f t="shared" si="4"/>
        <v>4</v>
      </c>
      <c r="BV48" s="44">
        <f t="shared" si="5"/>
        <v>2</v>
      </c>
      <c r="BW48" s="44">
        <f t="shared" si="53"/>
        <v>37</v>
      </c>
      <c r="BX48" s="44" t="str">
        <f t="shared" si="7"/>
        <v>FATIGA EXTREMA</v>
      </c>
      <c r="BY48" s="35">
        <v>0.0</v>
      </c>
      <c r="BZ48" s="35">
        <v>0.0</v>
      </c>
      <c r="CA48" s="35">
        <v>0.0</v>
      </c>
      <c r="CB48" s="35">
        <v>0.0</v>
      </c>
      <c r="CC48" s="35">
        <v>0.0</v>
      </c>
      <c r="CD48" s="35">
        <v>0.0</v>
      </c>
      <c r="CE48" s="35">
        <v>7.0</v>
      </c>
      <c r="CF48" s="35">
        <v>0.0</v>
      </c>
      <c r="CG48" s="35">
        <v>15.0</v>
      </c>
      <c r="CH48" s="35">
        <v>6.0</v>
      </c>
      <c r="CI48" s="35">
        <v>0.0</v>
      </c>
      <c r="CJ48" s="44">
        <f t="shared" si="27"/>
        <v>346.5</v>
      </c>
      <c r="CK48" s="44">
        <f t="shared" si="28"/>
        <v>7</v>
      </c>
      <c r="CL48" s="44" t="b">
        <f t="shared" si="29"/>
        <v>0</v>
      </c>
      <c r="CM48" s="44" t="b">
        <f t="shared" si="30"/>
        <v>0</v>
      </c>
      <c r="CN48" s="45" t="str">
        <f t="shared" si="31"/>
        <v>Nivel de actividad física bajo</v>
      </c>
      <c r="CO48" s="35">
        <v>21.0</v>
      </c>
      <c r="CP48" s="35">
        <v>240.0</v>
      </c>
      <c r="CQ48" s="44">
        <f t="shared" si="32"/>
        <v>3</v>
      </c>
      <c r="CR48" s="35">
        <v>9.0</v>
      </c>
      <c r="CS48" s="35">
        <v>0.0</v>
      </c>
      <c r="CT48" s="35">
        <v>12.0</v>
      </c>
      <c r="CU48" s="35">
        <v>4.5</v>
      </c>
      <c r="CV48" s="35">
        <v>3.0</v>
      </c>
      <c r="CW48" s="35">
        <v>3.0</v>
      </c>
      <c r="CX48" s="35">
        <v>0.0</v>
      </c>
      <c r="CY48" s="35">
        <v>0.0</v>
      </c>
      <c r="CZ48" s="35">
        <v>3.0</v>
      </c>
      <c r="DA48" s="35">
        <v>0.0</v>
      </c>
      <c r="DB48" s="35">
        <v>3.0</v>
      </c>
      <c r="DC48" s="35">
        <v>0.0</v>
      </c>
      <c r="DD48" s="35">
        <v>3.0</v>
      </c>
      <c r="DE48" s="36" t="s">
        <v>133</v>
      </c>
      <c r="DF48" s="36" t="s">
        <v>133</v>
      </c>
      <c r="DG48" s="53">
        <f t="shared" si="55"/>
        <v>12</v>
      </c>
      <c r="DH48" s="35">
        <v>2.0</v>
      </c>
      <c r="DI48" s="35">
        <v>0.0</v>
      </c>
      <c r="DJ48" s="35">
        <v>3.0</v>
      </c>
      <c r="DK48" s="35">
        <v>3.0</v>
      </c>
      <c r="DL48" s="46">
        <f t="shared" si="34"/>
        <v>37.5</v>
      </c>
      <c r="DM48" s="44">
        <f t="shared" si="35"/>
        <v>3</v>
      </c>
      <c r="DN48" s="44">
        <f t="shared" si="36"/>
        <v>2</v>
      </c>
      <c r="DO48" s="44">
        <f t="shared" si="37"/>
        <v>3</v>
      </c>
      <c r="DP48" s="44">
        <f t="shared" si="38"/>
        <v>3</v>
      </c>
      <c r="DQ48" s="44">
        <f t="shared" si="39"/>
        <v>3</v>
      </c>
      <c r="DR48" s="44">
        <f t="shared" ref="DR48:DS48" si="87">(DH48)</f>
        <v>2</v>
      </c>
      <c r="DS48" s="44">
        <f t="shared" si="87"/>
        <v>0</v>
      </c>
      <c r="DT48" s="44">
        <f t="shared" si="41"/>
        <v>16</v>
      </c>
      <c r="DU48" s="44" t="str">
        <f t="shared" si="42"/>
        <v>poor sleep quality</v>
      </c>
      <c r="DV48" s="35">
        <v>0.0</v>
      </c>
      <c r="DW48" s="36" t="s">
        <v>133</v>
      </c>
      <c r="DX48" s="35" t="s">
        <v>146</v>
      </c>
      <c r="DY48" s="35">
        <v>2.0</v>
      </c>
      <c r="DZ48" s="35" t="s">
        <v>131</v>
      </c>
      <c r="EA48" s="35" t="s">
        <v>147</v>
      </c>
      <c r="EB48" s="35" t="s">
        <v>261</v>
      </c>
      <c r="EC48" s="35" t="s">
        <v>131</v>
      </c>
      <c r="ED48" s="35" t="s">
        <v>132</v>
      </c>
      <c r="EE48" s="35" t="s">
        <v>141</v>
      </c>
      <c r="EF48" s="35">
        <f t="shared" si="51"/>
        <v>977</v>
      </c>
      <c r="EG48" s="35">
        <f t="shared" si="52"/>
        <v>977</v>
      </c>
      <c r="EH48" s="47">
        <f t="shared" si="24"/>
        <v>26.57312925</v>
      </c>
    </row>
    <row r="49" ht="19.5" customHeight="1">
      <c r="A49" s="35" t="s">
        <v>282</v>
      </c>
      <c r="B49" s="36" t="s">
        <v>175</v>
      </c>
      <c r="C49" s="37">
        <v>45082.0</v>
      </c>
      <c r="D49" s="48">
        <v>60.0</v>
      </c>
      <c r="E49" s="35" t="s">
        <v>130</v>
      </c>
      <c r="F49" s="35">
        <v>156.0</v>
      </c>
      <c r="G49" s="39">
        <v>61.0</v>
      </c>
      <c r="H49" s="40" t="s">
        <v>131</v>
      </c>
      <c r="I49" s="35">
        <v>3.0</v>
      </c>
      <c r="J49" s="41">
        <v>44562.0</v>
      </c>
      <c r="K49" s="35" t="s">
        <v>131</v>
      </c>
      <c r="L49" s="35">
        <v>3.0</v>
      </c>
      <c r="M49" s="41">
        <v>44166.0</v>
      </c>
      <c r="N49" s="35">
        <v>2.0</v>
      </c>
      <c r="O49" s="41">
        <v>44593.0</v>
      </c>
      <c r="P49" s="35" t="s">
        <v>132</v>
      </c>
      <c r="Q49" s="36" t="s">
        <v>133</v>
      </c>
      <c r="R49" s="36" t="s">
        <v>133</v>
      </c>
      <c r="S49" s="36" t="s">
        <v>133</v>
      </c>
      <c r="T49" s="36" t="s">
        <v>133</v>
      </c>
      <c r="U49" s="36" t="s">
        <v>133</v>
      </c>
      <c r="V49" s="36" t="str">
        <f t="shared" si="2"/>
        <v>Paciente ambulatorio</v>
      </c>
      <c r="W49" s="35" t="s">
        <v>176</v>
      </c>
      <c r="X49" s="35" t="s">
        <v>132</v>
      </c>
      <c r="Y49" s="35">
        <v>2.0</v>
      </c>
      <c r="Z49" s="35">
        <v>1.0</v>
      </c>
      <c r="AA49" s="35">
        <v>3.0</v>
      </c>
      <c r="AB49" s="35">
        <v>3.0</v>
      </c>
      <c r="AC49" s="35">
        <v>2.0</v>
      </c>
      <c r="AD49" s="35">
        <v>1.0</v>
      </c>
      <c r="AE49" s="35">
        <v>1.0</v>
      </c>
      <c r="AF49" s="35">
        <v>1.0</v>
      </c>
      <c r="AG49" s="35">
        <v>1.0</v>
      </c>
      <c r="AH49" s="35">
        <v>1.0</v>
      </c>
      <c r="AI49" s="35">
        <v>3.0</v>
      </c>
      <c r="AJ49" s="35">
        <v>1.0</v>
      </c>
      <c r="AK49" s="36" t="s">
        <v>133</v>
      </c>
      <c r="AL49" s="40" t="s">
        <v>132</v>
      </c>
      <c r="AM49" s="35" t="s">
        <v>132</v>
      </c>
      <c r="AN49" s="35" t="s">
        <v>132</v>
      </c>
      <c r="AO49" s="35" t="s">
        <v>131</v>
      </c>
      <c r="AP49" s="35" t="s">
        <v>132</v>
      </c>
      <c r="AQ49" s="35" t="s">
        <v>132</v>
      </c>
      <c r="AR49" s="35" t="s">
        <v>132</v>
      </c>
      <c r="AS49" s="35" t="s">
        <v>132</v>
      </c>
      <c r="AT49" s="35" t="s">
        <v>132</v>
      </c>
      <c r="AU49" s="35" t="s">
        <v>132</v>
      </c>
      <c r="AV49" s="35" t="s">
        <v>132</v>
      </c>
      <c r="AW49" s="36" t="s">
        <v>133</v>
      </c>
      <c r="AX49" s="35" t="s">
        <v>131</v>
      </c>
      <c r="AY49" s="35">
        <v>12.5</v>
      </c>
      <c r="AZ49" s="35">
        <v>30.0</v>
      </c>
      <c r="BA49" s="36" t="s">
        <v>133</v>
      </c>
      <c r="BB49" s="35" t="s">
        <v>135</v>
      </c>
      <c r="BC49" s="39">
        <v>1.5</v>
      </c>
      <c r="BD49" s="40">
        <v>3.0</v>
      </c>
      <c r="BE49" s="35">
        <v>1.0</v>
      </c>
      <c r="BF49" s="35">
        <v>1.0</v>
      </c>
      <c r="BG49" s="35">
        <v>3.0</v>
      </c>
      <c r="BH49" s="35">
        <v>4.0</v>
      </c>
      <c r="BI49" s="44" t="str">
        <f t="shared" si="3"/>
        <v>31134</v>
      </c>
      <c r="BJ49" s="35">
        <v>65.0</v>
      </c>
      <c r="BK49" s="35">
        <v>5.0</v>
      </c>
      <c r="BL49" s="35">
        <v>5.0</v>
      </c>
      <c r="BM49" s="35">
        <v>5.0</v>
      </c>
      <c r="BN49" s="35">
        <v>2.0</v>
      </c>
      <c r="BO49" s="35">
        <v>5.0</v>
      </c>
      <c r="BP49" s="35">
        <v>5.0</v>
      </c>
      <c r="BQ49" s="35">
        <v>2.0</v>
      </c>
      <c r="BR49" s="35">
        <v>4.0</v>
      </c>
      <c r="BS49" s="35">
        <v>5.0</v>
      </c>
      <c r="BT49" s="35">
        <v>4.0</v>
      </c>
      <c r="BU49" s="44">
        <f t="shared" si="4"/>
        <v>4</v>
      </c>
      <c r="BV49" s="44">
        <f t="shared" si="5"/>
        <v>2</v>
      </c>
      <c r="BW49" s="44">
        <f t="shared" si="53"/>
        <v>42</v>
      </c>
      <c r="BX49" s="44" t="str">
        <f t="shared" si="7"/>
        <v>FATIGA EXTREMA</v>
      </c>
      <c r="BY49" s="35">
        <v>0.0</v>
      </c>
      <c r="BZ49" s="35">
        <v>0.0</v>
      </c>
      <c r="CA49" s="35">
        <v>0.0</v>
      </c>
      <c r="CB49" s="35">
        <v>0.0</v>
      </c>
      <c r="CC49" s="35">
        <v>0.0</v>
      </c>
      <c r="CD49" s="35">
        <v>0.0</v>
      </c>
      <c r="CE49" s="35">
        <v>2.0</v>
      </c>
      <c r="CF49" s="35">
        <v>0.0</v>
      </c>
      <c r="CG49" s="35">
        <v>10.0</v>
      </c>
      <c r="CH49" s="35">
        <v>10.0</v>
      </c>
      <c r="CI49" s="35">
        <v>0.0</v>
      </c>
      <c r="CJ49" s="44">
        <f t="shared" si="27"/>
        <v>66</v>
      </c>
      <c r="CK49" s="44">
        <f t="shared" si="28"/>
        <v>2</v>
      </c>
      <c r="CL49" s="44" t="b">
        <f t="shared" si="29"/>
        <v>0</v>
      </c>
      <c r="CM49" s="44" t="b">
        <f t="shared" si="30"/>
        <v>0</v>
      </c>
      <c r="CN49" s="45" t="str">
        <f t="shared" si="31"/>
        <v>Nivel de actividad física bajo</v>
      </c>
      <c r="CO49" s="35">
        <v>1.0</v>
      </c>
      <c r="CP49" s="35">
        <v>60.0</v>
      </c>
      <c r="CQ49" s="44">
        <f t="shared" si="32"/>
        <v>2</v>
      </c>
      <c r="CR49" s="35">
        <v>10.0</v>
      </c>
      <c r="CS49" s="35">
        <v>0.0</v>
      </c>
      <c r="CT49" s="35">
        <v>9.0</v>
      </c>
      <c r="CU49" s="35">
        <v>5.0</v>
      </c>
      <c r="CV49" s="35">
        <v>3.0</v>
      </c>
      <c r="CW49" s="35">
        <v>3.0</v>
      </c>
      <c r="CX49" s="35">
        <v>0.0</v>
      </c>
      <c r="CY49" s="35">
        <v>0.0</v>
      </c>
      <c r="CZ49" s="35">
        <v>1.0</v>
      </c>
      <c r="DA49" s="35">
        <v>3.0</v>
      </c>
      <c r="DB49" s="35">
        <v>2.0</v>
      </c>
      <c r="DC49" s="35">
        <v>3.0</v>
      </c>
      <c r="DD49" s="35">
        <v>3.0</v>
      </c>
      <c r="DE49" s="36" t="s">
        <v>133</v>
      </c>
      <c r="DF49" s="36" t="s">
        <v>133</v>
      </c>
      <c r="DG49" s="53">
        <f t="shared" si="55"/>
        <v>15</v>
      </c>
      <c r="DH49" s="35">
        <v>2.0</v>
      </c>
      <c r="DI49" s="35">
        <v>3.0</v>
      </c>
      <c r="DJ49" s="35">
        <v>3.0</v>
      </c>
      <c r="DK49" s="35">
        <v>3.0</v>
      </c>
      <c r="DL49" s="46">
        <f t="shared" si="34"/>
        <v>55.55555556</v>
      </c>
      <c r="DM49" s="44">
        <f t="shared" si="35"/>
        <v>2</v>
      </c>
      <c r="DN49" s="44">
        <f t="shared" si="36"/>
        <v>2</v>
      </c>
      <c r="DO49" s="44">
        <f t="shared" si="37"/>
        <v>3</v>
      </c>
      <c r="DP49" s="44">
        <f t="shared" si="38"/>
        <v>3</v>
      </c>
      <c r="DQ49" s="44">
        <f t="shared" si="39"/>
        <v>3</v>
      </c>
      <c r="DR49" s="44">
        <f t="shared" ref="DR49:DS49" si="88">(DH49)</f>
        <v>2</v>
      </c>
      <c r="DS49" s="44">
        <f t="shared" si="88"/>
        <v>3</v>
      </c>
      <c r="DT49" s="44">
        <f t="shared" si="41"/>
        <v>18</v>
      </c>
      <c r="DU49" s="44" t="str">
        <f t="shared" si="42"/>
        <v>poor sleep quality</v>
      </c>
      <c r="DV49" s="35">
        <v>1.0</v>
      </c>
      <c r="DW49" s="35" t="s">
        <v>155</v>
      </c>
      <c r="DX49" s="35" t="s">
        <v>146</v>
      </c>
      <c r="DY49" s="35">
        <v>1.0</v>
      </c>
      <c r="DZ49" s="35" t="s">
        <v>131</v>
      </c>
      <c r="EA49" s="35" t="s">
        <v>157</v>
      </c>
      <c r="EB49" s="35" t="s">
        <v>230</v>
      </c>
      <c r="EC49" s="35" t="s">
        <v>131</v>
      </c>
      <c r="ED49" s="35" t="s">
        <v>131</v>
      </c>
      <c r="EE49" s="35" t="s">
        <v>141</v>
      </c>
      <c r="EF49" s="35">
        <f t="shared" si="51"/>
        <v>916</v>
      </c>
      <c r="EG49" s="35">
        <f t="shared" si="52"/>
        <v>489</v>
      </c>
      <c r="EH49" s="47">
        <f t="shared" si="24"/>
        <v>25.06574622</v>
      </c>
    </row>
    <row r="50" ht="17.25" customHeight="1">
      <c r="A50" s="35" t="s">
        <v>283</v>
      </c>
      <c r="B50" s="36" t="s">
        <v>175</v>
      </c>
      <c r="C50" s="37">
        <v>45068.0</v>
      </c>
      <c r="D50" s="48">
        <v>51.0</v>
      </c>
      <c r="E50" s="35" t="s">
        <v>153</v>
      </c>
      <c r="F50" s="35">
        <v>173.0</v>
      </c>
      <c r="G50" s="39">
        <v>85.0</v>
      </c>
      <c r="H50" s="40" t="s">
        <v>131</v>
      </c>
      <c r="I50" s="35">
        <v>4.0</v>
      </c>
      <c r="J50" s="41">
        <v>44835.0</v>
      </c>
      <c r="K50" s="35" t="s">
        <v>131</v>
      </c>
      <c r="L50" s="35">
        <v>2.0</v>
      </c>
      <c r="M50" s="41">
        <v>44014.0</v>
      </c>
      <c r="N50" s="35">
        <v>0.0</v>
      </c>
      <c r="O50" s="41">
        <v>44593.0</v>
      </c>
      <c r="P50" s="35" t="s">
        <v>132</v>
      </c>
      <c r="Q50" s="36" t="s">
        <v>133</v>
      </c>
      <c r="R50" s="36" t="s">
        <v>133</v>
      </c>
      <c r="S50" s="36" t="s">
        <v>133</v>
      </c>
      <c r="T50" s="36" t="s">
        <v>133</v>
      </c>
      <c r="U50" s="36" t="s">
        <v>133</v>
      </c>
      <c r="V50" s="36" t="str">
        <f t="shared" si="2"/>
        <v>Paciente ambulatorio</v>
      </c>
      <c r="W50" s="35" t="s">
        <v>176</v>
      </c>
      <c r="X50" s="35" t="s">
        <v>132</v>
      </c>
      <c r="Y50" s="35">
        <v>2.0</v>
      </c>
      <c r="Z50" s="35">
        <v>2.0</v>
      </c>
      <c r="AA50" s="35">
        <v>3.0</v>
      </c>
      <c r="AB50" s="35">
        <v>3.0</v>
      </c>
      <c r="AC50" s="35">
        <v>3.0</v>
      </c>
      <c r="AD50" s="35">
        <v>2.0</v>
      </c>
      <c r="AE50" s="35">
        <v>2.0</v>
      </c>
      <c r="AF50" s="35">
        <v>1.0</v>
      </c>
      <c r="AG50" s="35">
        <v>1.0</v>
      </c>
      <c r="AH50" s="35">
        <v>3.0</v>
      </c>
      <c r="AI50" s="35">
        <v>1.0</v>
      </c>
      <c r="AJ50" s="35">
        <v>1.0</v>
      </c>
      <c r="AK50" s="36" t="s">
        <v>133</v>
      </c>
      <c r="AL50" s="40" t="s">
        <v>131</v>
      </c>
      <c r="AM50" s="35" t="s">
        <v>132</v>
      </c>
      <c r="AN50" s="35" t="s">
        <v>132</v>
      </c>
      <c r="AO50" s="35" t="s">
        <v>132</v>
      </c>
      <c r="AP50" s="35" t="s">
        <v>132</v>
      </c>
      <c r="AQ50" s="35" t="s">
        <v>132</v>
      </c>
      <c r="AR50" s="35" t="s">
        <v>132</v>
      </c>
      <c r="AS50" s="35" t="s">
        <v>131</v>
      </c>
      <c r="AT50" s="35" t="s">
        <v>132</v>
      </c>
      <c r="AU50" s="35" t="s">
        <v>132</v>
      </c>
      <c r="AV50" s="35" t="s">
        <v>131</v>
      </c>
      <c r="AW50" s="35" t="s">
        <v>284</v>
      </c>
      <c r="AX50" s="35" t="s">
        <v>132</v>
      </c>
      <c r="AY50" s="36" t="s">
        <v>133</v>
      </c>
      <c r="AZ50" s="36" t="s">
        <v>133</v>
      </c>
      <c r="BA50" s="36" t="s">
        <v>133</v>
      </c>
      <c r="BB50" s="35" t="s">
        <v>135</v>
      </c>
      <c r="BC50" s="39">
        <v>2.0</v>
      </c>
      <c r="BD50" s="40">
        <v>1.0</v>
      </c>
      <c r="BE50" s="35">
        <v>1.0</v>
      </c>
      <c r="BF50" s="35">
        <v>2.0</v>
      </c>
      <c r="BG50" s="35">
        <v>2.0</v>
      </c>
      <c r="BH50" s="35">
        <v>4.0</v>
      </c>
      <c r="BI50" s="44" t="str">
        <f t="shared" si="3"/>
        <v>11224</v>
      </c>
      <c r="BJ50" s="35">
        <v>60.0</v>
      </c>
      <c r="BK50" s="35">
        <v>2.0</v>
      </c>
      <c r="BL50" s="35">
        <v>2.0</v>
      </c>
      <c r="BM50" s="35">
        <v>5.0</v>
      </c>
      <c r="BN50" s="35">
        <v>4.0</v>
      </c>
      <c r="BO50" s="35">
        <v>2.0</v>
      </c>
      <c r="BP50" s="35">
        <v>2.0</v>
      </c>
      <c r="BQ50" s="35">
        <v>2.0</v>
      </c>
      <c r="BR50" s="35">
        <v>2.0</v>
      </c>
      <c r="BS50" s="35">
        <v>3.0</v>
      </c>
      <c r="BT50" s="35">
        <v>4.0</v>
      </c>
      <c r="BU50" s="44">
        <f t="shared" si="4"/>
        <v>2</v>
      </c>
      <c r="BV50" s="44">
        <f t="shared" si="5"/>
        <v>2</v>
      </c>
      <c r="BW50" s="44">
        <f t="shared" si="53"/>
        <v>26</v>
      </c>
      <c r="BX50" s="44" t="str">
        <f t="shared" si="7"/>
        <v>FATIGA</v>
      </c>
      <c r="BY50" s="35">
        <v>0.0</v>
      </c>
      <c r="BZ50" s="35">
        <v>0.0</v>
      </c>
      <c r="CA50" s="35">
        <v>0.0</v>
      </c>
      <c r="CB50" s="35">
        <v>0.0</v>
      </c>
      <c r="CC50" s="35">
        <v>0.0</v>
      </c>
      <c r="CD50" s="35">
        <v>0.0</v>
      </c>
      <c r="CE50" s="35">
        <v>3.0</v>
      </c>
      <c r="CF50" s="35">
        <v>0.0</v>
      </c>
      <c r="CG50" s="35">
        <v>15.0</v>
      </c>
      <c r="CH50" s="35">
        <v>10.0</v>
      </c>
      <c r="CI50" s="35">
        <v>0.0</v>
      </c>
      <c r="CJ50" s="44">
        <f t="shared" si="27"/>
        <v>148.5</v>
      </c>
      <c r="CK50" s="44">
        <f t="shared" si="28"/>
        <v>3</v>
      </c>
      <c r="CL50" s="44" t="b">
        <f t="shared" si="29"/>
        <v>0</v>
      </c>
      <c r="CM50" s="44" t="b">
        <f t="shared" si="30"/>
        <v>0</v>
      </c>
      <c r="CN50" s="45" t="str">
        <f t="shared" si="31"/>
        <v>Nivel de actividad física bajo</v>
      </c>
      <c r="CO50" s="51">
        <v>0.9791666666666666</v>
      </c>
      <c r="CP50" s="35">
        <v>30.0</v>
      </c>
      <c r="CQ50" s="44">
        <f t="shared" si="32"/>
        <v>1</v>
      </c>
      <c r="CR50" s="35">
        <v>7.0</v>
      </c>
      <c r="CS50" s="35">
        <v>30.0</v>
      </c>
      <c r="CT50" s="35">
        <v>8.0</v>
      </c>
      <c r="CU50" s="35">
        <v>5.0</v>
      </c>
      <c r="CV50" s="35">
        <v>3.0</v>
      </c>
      <c r="CW50" s="35">
        <v>3.0</v>
      </c>
      <c r="CX50" s="35">
        <v>3.0</v>
      </c>
      <c r="CY50" s="35">
        <v>3.0</v>
      </c>
      <c r="CZ50" s="35">
        <v>2.0</v>
      </c>
      <c r="DA50" s="35">
        <v>0.0</v>
      </c>
      <c r="DB50" s="35">
        <v>0.0</v>
      </c>
      <c r="DC50" s="35">
        <v>1.0</v>
      </c>
      <c r="DD50" s="35">
        <v>0.0</v>
      </c>
      <c r="DE50" s="35">
        <v>2.0</v>
      </c>
      <c r="DF50" s="35" t="s">
        <v>285</v>
      </c>
      <c r="DG50" s="53">
        <f t="shared" si="55"/>
        <v>14</v>
      </c>
      <c r="DH50" s="35">
        <v>2.0</v>
      </c>
      <c r="DI50" s="35">
        <v>3.0</v>
      </c>
      <c r="DJ50" s="35">
        <v>2.0</v>
      </c>
      <c r="DK50" s="35">
        <v>2.0</v>
      </c>
      <c r="DL50" s="46">
        <f t="shared" si="34"/>
        <v>62.5</v>
      </c>
      <c r="DM50" s="44">
        <f t="shared" si="35"/>
        <v>2</v>
      </c>
      <c r="DN50" s="44">
        <f t="shared" si="36"/>
        <v>2</v>
      </c>
      <c r="DO50" s="44">
        <f t="shared" si="37"/>
        <v>2</v>
      </c>
      <c r="DP50" s="44">
        <f t="shared" si="38"/>
        <v>2</v>
      </c>
      <c r="DQ50" s="44">
        <f t="shared" si="39"/>
        <v>3</v>
      </c>
      <c r="DR50" s="44">
        <f t="shared" ref="DR50:DS50" si="89">(DH50)</f>
        <v>2</v>
      </c>
      <c r="DS50" s="44">
        <f t="shared" si="89"/>
        <v>3</v>
      </c>
      <c r="DT50" s="44">
        <f t="shared" si="41"/>
        <v>16</v>
      </c>
      <c r="DU50" s="44" t="str">
        <f t="shared" si="42"/>
        <v>poor sleep quality</v>
      </c>
      <c r="DV50" s="35">
        <v>4.0</v>
      </c>
      <c r="DW50" s="35" t="s">
        <v>286</v>
      </c>
      <c r="DX50" s="35" t="s">
        <v>146</v>
      </c>
      <c r="DY50" s="35">
        <v>2.0</v>
      </c>
      <c r="DZ50" s="35" t="s">
        <v>131</v>
      </c>
      <c r="EA50" s="35" t="s">
        <v>157</v>
      </c>
      <c r="EB50" s="35" t="s">
        <v>287</v>
      </c>
      <c r="EC50" s="35" t="s">
        <v>131</v>
      </c>
      <c r="ED50" s="36" t="s">
        <v>133</v>
      </c>
      <c r="EE50" s="35" t="s">
        <v>141</v>
      </c>
      <c r="EF50" s="35">
        <f t="shared" si="51"/>
        <v>1054</v>
      </c>
      <c r="EG50" s="35">
        <f t="shared" si="52"/>
        <v>475</v>
      </c>
      <c r="EH50" s="47">
        <f t="shared" si="24"/>
        <v>28.40054796</v>
      </c>
    </row>
    <row r="51" ht="15.75" customHeight="1">
      <c r="A51" s="35" t="s">
        <v>288</v>
      </c>
      <c r="B51" s="36" t="s">
        <v>175</v>
      </c>
      <c r="C51" s="37">
        <v>45079.0</v>
      </c>
      <c r="D51" s="48">
        <v>59.0</v>
      </c>
      <c r="E51" s="35" t="s">
        <v>130</v>
      </c>
      <c r="F51" s="35">
        <v>164.0</v>
      </c>
      <c r="G51" s="39">
        <v>67.0</v>
      </c>
      <c r="H51" s="40" t="s">
        <v>131</v>
      </c>
      <c r="I51" s="35">
        <v>4.0</v>
      </c>
      <c r="J51" s="41">
        <v>44921.0</v>
      </c>
      <c r="K51" s="35" t="s">
        <v>131</v>
      </c>
      <c r="L51" s="35">
        <v>2.0</v>
      </c>
      <c r="M51" s="41">
        <v>44317.0</v>
      </c>
      <c r="N51" s="35">
        <v>0.0</v>
      </c>
      <c r="O51" s="41">
        <v>44562.0</v>
      </c>
      <c r="P51" s="35" t="s">
        <v>131</v>
      </c>
      <c r="Q51" s="56">
        <v>44317.0</v>
      </c>
      <c r="R51" s="56">
        <v>44713.0</v>
      </c>
      <c r="S51" s="35" t="s">
        <v>132</v>
      </c>
      <c r="T51" s="36" t="s">
        <v>133</v>
      </c>
      <c r="U51" s="35" t="s">
        <v>132</v>
      </c>
      <c r="V51" s="36" t="str">
        <f t="shared" si="2"/>
        <v>Internación moderada</v>
      </c>
      <c r="W51" s="35" t="s">
        <v>190</v>
      </c>
      <c r="X51" s="35" t="s">
        <v>131</v>
      </c>
      <c r="Y51" s="35">
        <v>3.0</v>
      </c>
      <c r="Z51" s="35">
        <v>1.0</v>
      </c>
      <c r="AA51" s="35">
        <v>3.0</v>
      </c>
      <c r="AB51" s="35">
        <v>3.0</v>
      </c>
      <c r="AC51" s="35">
        <v>2.0</v>
      </c>
      <c r="AD51" s="35">
        <v>3.0</v>
      </c>
      <c r="AE51" s="35">
        <v>3.0</v>
      </c>
      <c r="AF51" s="35">
        <v>1.0</v>
      </c>
      <c r="AG51" s="35">
        <v>1.0</v>
      </c>
      <c r="AH51" s="35">
        <v>3.0</v>
      </c>
      <c r="AI51" s="35">
        <v>1.0</v>
      </c>
      <c r="AJ51" s="35">
        <v>1.0</v>
      </c>
      <c r="AK51" s="35" t="s">
        <v>263</v>
      </c>
      <c r="AL51" s="40" t="s">
        <v>131</v>
      </c>
      <c r="AM51" s="35" t="s">
        <v>132</v>
      </c>
      <c r="AN51" s="35" t="s">
        <v>131</v>
      </c>
      <c r="AO51" s="35" t="s">
        <v>132</v>
      </c>
      <c r="AP51" s="35" t="s">
        <v>132</v>
      </c>
      <c r="AQ51" s="35" t="s">
        <v>132</v>
      </c>
      <c r="AR51" s="35" t="s">
        <v>132</v>
      </c>
      <c r="AS51" s="35" t="s">
        <v>131</v>
      </c>
      <c r="AT51" s="35" t="s">
        <v>132</v>
      </c>
      <c r="AU51" s="35" t="s">
        <v>132</v>
      </c>
      <c r="AV51" s="35" t="s">
        <v>131</v>
      </c>
      <c r="AW51" s="35" t="s">
        <v>289</v>
      </c>
      <c r="AX51" s="35" t="s">
        <v>132</v>
      </c>
      <c r="AY51" s="36" t="s">
        <v>133</v>
      </c>
      <c r="AZ51" s="36" t="s">
        <v>133</v>
      </c>
      <c r="BA51" s="36" t="s">
        <v>133</v>
      </c>
      <c r="BB51" s="35" t="s">
        <v>145</v>
      </c>
      <c r="BC51" s="36" t="s">
        <v>133</v>
      </c>
      <c r="BD51" s="40">
        <v>1.0</v>
      </c>
      <c r="BE51" s="35">
        <v>1.0</v>
      </c>
      <c r="BF51" s="35">
        <v>4.0</v>
      </c>
      <c r="BG51" s="35">
        <v>1.0</v>
      </c>
      <c r="BH51" s="35">
        <v>1.0</v>
      </c>
      <c r="BI51" s="44" t="str">
        <f t="shared" si="3"/>
        <v>11411</v>
      </c>
      <c r="BJ51" s="35">
        <v>40.0</v>
      </c>
      <c r="BK51" s="35">
        <v>4.0</v>
      </c>
      <c r="BL51" s="35">
        <v>2.0</v>
      </c>
      <c r="BM51" s="35">
        <v>2.0</v>
      </c>
      <c r="BN51" s="35">
        <v>2.0</v>
      </c>
      <c r="BO51" s="35">
        <v>4.0</v>
      </c>
      <c r="BP51" s="35">
        <v>4.0</v>
      </c>
      <c r="BQ51" s="35">
        <v>3.0</v>
      </c>
      <c r="BR51" s="35">
        <v>1.0</v>
      </c>
      <c r="BS51" s="35">
        <v>4.0</v>
      </c>
      <c r="BT51" s="35">
        <v>2.0</v>
      </c>
      <c r="BU51" s="44">
        <f t="shared" si="4"/>
        <v>4</v>
      </c>
      <c r="BV51" s="44">
        <f t="shared" si="5"/>
        <v>4</v>
      </c>
      <c r="BW51" s="44">
        <f t="shared" si="53"/>
        <v>30</v>
      </c>
      <c r="BX51" s="44" t="str">
        <f t="shared" si="7"/>
        <v>FATIGA</v>
      </c>
      <c r="BY51" s="35">
        <v>0.0</v>
      </c>
      <c r="BZ51" s="35">
        <v>0.0</v>
      </c>
      <c r="CA51" s="35">
        <v>0.0</v>
      </c>
      <c r="CB51" s="35">
        <v>0.0</v>
      </c>
      <c r="CC51" s="35">
        <v>0.0</v>
      </c>
      <c r="CD51" s="35">
        <v>0.0</v>
      </c>
      <c r="CE51" s="35">
        <v>5.0</v>
      </c>
      <c r="CF51" s="35">
        <v>1.0</v>
      </c>
      <c r="CG51" s="35">
        <v>0.0</v>
      </c>
      <c r="CH51" s="35">
        <v>6.0</v>
      </c>
      <c r="CI51" s="35">
        <v>0.0</v>
      </c>
      <c r="CJ51" s="44">
        <f t="shared" si="27"/>
        <v>990</v>
      </c>
      <c r="CK51" s="44">
        <f t="shared" si="28"/>
        <v>5</v>
      </c>
      <c r="CL51" s="44" t="b">
        <f t="shared" si="29"/>
        <v>0</v>
      </c>
      <c r="CM51" s="44" t="b">
        <f t="shared" si="30"/>
        <v>0</v>
      </c>
      <c r="CN51" s="45" t="str">
        <f t="shared" si="31"/>
        <v>Nivel de actividad física bajo</v>
      </c>
      <c r="CO51" s="51">
        <v>0.020833333333333332</v>
      </c>
      <c r="CP51" s="35">
        <v>10.0</v>
      </c>
      <c r="CQ51" s="44">
        <f t="shared" si="32"/>
        <v>0</v>
      </c>
      <c r="CR51" s="35">
        <v>9.0</v>
      </c>
      <c r="CS51" s="35">
        <v>30.0</v>
      </c>
      <c r="CT51" s="35">
        <v>9.0</v>
      </c>
      <c r="CU51" s="35">
        <v>8.5</v>
      </c>
      <c r="CV51" s="35">
        <v>0.0</v>
      </c>
      <c r="CW51" s="35">
        <v>2.0</v>
      </c>
      <c r="CX51" s="35">
        <v>2.0</v>
      </c>
      <c r="CY51" s="35">
        <v>0.0</v>
      </c>
      <c r="CZ51" s="35">
        <v>0.0</v>
      </c>
      <c r="DA51" s="35">
        <v>0.0</v>
      </c>
      <c r="DB51" s="35">
        <v>0.0</v>
      </c>
      <c r="DC51" s="35">
        <v>0.0</v>
      </c>
      <c r="DD51" s="35">
        <v>0.0</v>
      </c>
      <c r="DE51" s="35">
        <v>1.0</v>
      </c>
      <c r="DF51" s="35" t="s">
        <v>290</v>
      </c>
      <c r="DG51" s="53">
        <f t="shared" si="55"/>
        <v>5</v>
      </c>
      <c r="DH51" s="35">
        <v>0.0</v>
      </c>
      <c r="DI51" s="35">
        <v>0.0</v>
      </c>
      <c r="DJ51" s="35">
        <v>1.0</v>
      </c>
      <c r="DK51" s="35">
        <v>0.0</v>
      </c>
      <c r="DL51" s="46">
        <f t="shared" si="34"/>
        <v>94.44444444</v>
      </c>
      <c r="DM51" s="44">
        <f t="shared" si="35"/>
        <v>0</v>
      </c>
      <c r="DN51" s="44">
        <f t="shared" si="36"/>
        <v>1</v>
      </c>
      <c r="DO51" s="44">
        <f t="shared" si="37"/>
        <v>0</v>
      </c>
      <c r="DP51" s="44">
        <f t="shared" si="38"/>
        <v>1</v>
      </c>
      <c r="DQ51" s="44">
        <f t="shared" si="39"/>
        <v>0</v>
      </c>
      <c r="DR51" s="44">
        <f t="shared" ref="DR51:DS51" si="90">(DH51)</f>
        <v>0</v>
      </c>
      <c r="DS51" s="44">
        <f t="shared" si="90"/>
        <v>0</v>
      </c>
      <c r="DT51" s="44">
        <f t="shared" si="41"/>
        <v>2</v>
      </c>
      <c r="DU51" s="44" t="str">
        <f t="shared" si="42"/>
        <v>good sleep quality</v>
      </c>
      <c r="DV51" s="35">
        <v>0.0</v>
      </c>
      <c r="DW51" s="36" t="s">
        <v>133</v>
      </c>
      <c r="DX51" s="35" t="s">
        <v>146</v>
      </c>
      <c r="DY51" s="35">
        <v>1.0</v>
      </c>
      <c r="DZ51" s="35" t="s">
        <v>131</v>
      </c>
      <c r="EA51" s="35" t="s">
        <v>138</v>
      </c>
      <c r="EB51" s="35" t="s">
        <v>172</v>
      </c>
      <c r="EC51" s="35" t="s">
        <v>140</v>
      </c>
      <c r="ED51" s="35" t="s">
        <v>131</v>
      </c>
      <c r="EE51" s="35" t="s">
        <v>141</v>
      </c>
      <c r="EF51" s="35">
        <f t="shared" si="51"/>
        <v>762</v>
      </c>
      <c r="EG51" s="35">
        <f t="shared" si="52"/>
        <v>517</v>
      </c>
      <c r="EH51" s="47">
        <f t="shared" si="24"/>
        <v>24.9107674</v>
      </c>
    </row>
    <row r="52" ht="15.75" customHeight="1">
      <c r="A52" s="35" t="s">
        <v>291</v>
      </c>
      <c r="B52" s="36" t="s">
        <v>175</v>
      </c>
      <c r="C52" s="37">
        <v>45079.0</v>
      </c>
      <c r="D52" s="48">
        <v>52.0</v>
      </c>
      <c r="E52" s="35" t="s">
        <v>153</v>
      </c>
      <c r="F52" s="35">
        <v>180.0</v>
      </c>
      <c r="G52" s="39">
        <v>72.0</v>
      </c>
      <c r="H52" s="40" t="s">
        <v>131</v>
      </c>
      <c r="I52" s="35">
        <v>3.0</v>
      </c>
      <c r="J52" s="41">
        <v>44713.0</v>
      </c>
      <c r="K52" s="35" t="s">
        <v>131</v>
      </c>
      <c r="L52" s="35">
        <v>1.0</v>
      </c>
      <c r="M52" s="41">
        <v>44562.0</v>
      </c>
      <c r="N52" s="35">
        <v>2.0</v>
      </c>
      <c r="O52" s="41">
        <v>44562.0</v>
      </c>
      <c r="P52" s="35" t="s">
        <v>132</v>
      </c>
      <c r="Q52" s="36" t="s">
        <v>133</v>
      </c>
      <c r="R52" s="36" t="s">
        <v>133</v>
      </c>
      <c r="S52" s="36" t="s">
        <v>133</v>
      </c>
      <c r="T52" s="36" t="s">
        <v>133</v>
      </c>
      <c r="U52" s="36" t="s">
        <v>133</v>
      </c>
      <c r="V52" s="36" t="str">
        <f t="shared" si="2"/>
        <v>Paciente ambulatorio</v>
      </c>
      <c r="W52" s="35" t="s">
        <v>143</v>
      </c>
      <c r="X52" s="35" t="s">
        <v>132</v>
      </c>
      <c r="Y52" s="35">
        <v>1.0</v>
      </c>
      <c r="Z52" s="35">
        <v>2.0</v>
      </c>
      <c r="AA52" s="35">
        <v>3.0</v>
      </c>
      <c r="AB52" s="35">
        <v>3.0</v>
      </c>
      <c r="AC52" s="35">
        <v>3.0</v>
      </c>
      <c r="AD52" s="35">
        <v>2.0</v>
      </c>
      <c r="AE52" s="35">
        <v>2.0</v>
      </c>
      <c r="AF52" s="35">
        <v>3.0</v>
      </c>
      <c r="AG52" s="35">
        <v>3.0</v>
      </c>
      <c r="AH52" s="35">
        <v>1.0</v>
      </c>
      <c r="AI52" s="35">
        <v>3.0</v>
      </c>
      <c r="AJ52" s="35">
        <v>1.0</v>
      </c>
      <c r="AK52" s="39" t="s">
        <v>292</v>
      </c>
      <c r="AL52" s="40" t="s">
        <v>132</v>
      </c>
      <c r="AM52" s="35" t="s">
        <v>132</v>
      </c>
      <c r="AN52" s="35" t="s">
        <v>132</v>
      </c>
      <c r="AO52" s="35" t="s">
        <v>132</v>
      </c>
      <c r="AP52" s="35" t="s">
        <v>132</v>
      </c>
      <c r="AQ52" s="35" t="s">
        <v>132</v>
      </c>
      <c r="AR52" s="35" t="s">
        <v>132</v>
      </c>
      <c r="AS52" s="35" t="s">
        <v>132</v>
      </c>
      <c r="AT52" s="35" t="s">
        <v>132</v>
      </c>
      <c r="AU52" s="35" t="s">
        <v>132</v>
      </c>
      <c r="AV52" s="35" t="s">
        <v>132</v>
      </c>
      <c r="AW52" s="36" t="s">
        <v>133</v>
      </c>
      <c r="AX52" s="35" t="s">
        <v>132</v>
      </c>
      <c r="AY52" s="36" t="s">
        <v>133</v>
      </c>
      <c r="AZ52" s="36" t="s">
        <v>133</v>
      </c>
      <c r="BA52" s="36" t="s">
        <v>133</v>
      </c>
      <c r="BB52" s="35" t="s">
        <v>145</v>
      </c>
      <c r="BC52" s="36" t="s">
        <v>133</v>
      </c>
      <c r="BD52" s="40">
        <v>1.0</v>
      </c>
      <c r="BE52" s="35">
        <v>1.0</v>
      </c>
      <c r="BF52" s="35">
        <v>2.0</v>
      </c>
      <c r="BG52" s="35">
        <v>3.0</v>
      </c>
      <c r="BH52" s="35">
        <v>2.0</v>
      </c>
      <c r="BI52" s="44" t="str">
        <f t="shared" si="3"/>
        <v>11232</v>
      </c>
      <c r="BJ52" s="35">
        <v>70.0</v>
      </c>
      <c r="BK52" s="35">
        <v>1.0</v>
      </c>
      <c r="BL52" s="35">
        <v>2.0</v>
      </c>
      <c r="BM52" s="35">
        <v>3.0</v>
      </c>
      <c r="BN52" s="35">
        <v>4.0</v>
      </c>
      <c r="BO52" s="35">
        <v>2.0</v>
      </c>
      <c r="BP52" s="35">
        <v>2.0</v>
      </c>
      <c r="BQ52" s="35">
        <v>2.0</v>
      </c>
      <c r="BR52" s="35">
        <v>1.0</v>
      </c>
      <c r="BS52" s="35">
        <v>2.0</v>
      </c>
      <c r="BT52" s="35">
        <v>4.0</v>
      </c>
      <c r="BU52" s="44">
        <f t="shared" si="4"/>
        <v>2</v>
      </c>
      <c r="BV52" s="44">
        <f t="shared" si="5"/>
        <v>2</v>
      </c>
      <c r="BW52" s="44">
        <f t="shared" si="53"/>
        <v>21</v>
      </c>
      <c r="BX52" s="44" t="str">
        <f t="shared" si="7"/>
        <v>NO HAY FATIGA</v>
      </c>
      <c r="BY52" s="35">
        <v>0.0</v>
      </c>
      <c r="BZ52" s="35">
        <v>0.0</v>
      </c>
      <c r="CA52" s="35">
        <v>0.0</v>
      </c>
      <c r="CB52" s="35">
        <v>0.0</v>
      </c>
      <c r="CC52" s="35">
        <v>0.0</v>
      </c>
      <c r="CD52" s="35">
        <v>0.0</v>
      </c>
      <c r="CE52" s="35">
        <v>6.0</v>
      </c>
      <c r="CF52" s="35">
        <v>0.0</v>
      </c>
      <c r="CG52" s="35">
        <v>30.0</v>
      </c>
      <c r="CH52" s="35">
        <v>6.0</v>
      </c>
      <c r="CI52" s="35">
        <v>0.0</v>
      </c>
      <c r="CJ52" s="44">
        <f t="shared" si="27"/>
        <v>594</v>
      </c>
      <c r="CK52" s="44">
        <f t="shared" si="28"/>
        <v>6</v>
      </c>
      <c r="CL52" s="44" t="b">
        <f t="shared" si="29"/>
        <v>0</v>
      </c>
      <c r="CM52" s="44" t="b">
        <f t="shared" si="30"/>
        <v>0</v>
      </c>
      <c r="CN52" s="45" t="str">
        <f t="shared" si="31"/>
        <v>Nivel de actividad física bajo</v>
      </c>
      <c r="CO52" s="35">
        <v>0.0</v>
      </c>
      <c r="CP52" s="35">
        <v>90.0</v>
      </c>
      <c r="CQ52" s="44">
        <f t="shared" si="32"/>
        <v>3</v>
      </c>
      <c r="CR52" s="35">
        <v>9.0</v>
      </c>
      <c r="CS52" s="35">
        <v>0.0</v>
      </c>
      <c r="CT52" s="35">
        <v>9.0</v>
      </c>
      <c r="CU52" s="35">
        <v>6.0</v>
      </c>
      <c r="CV52" s="35">
        <v>3.0</v>
      </c>
      <c r="CW52" s="35">
        <v>2.0</v>
      </c>
      <c r="CX52" s="35">
        <v>2.0</v>
      </c>
      <c r="CY52" s="35">
        <v>1.0</v>
      </c>
      <c r="CZ52" s="35">
        <v>1.0</v>
      </c>
      <c r="DA52" s="35">
        <v>1.0</v>
      </c>
      <c r="DB52" s="35">
        <v>1.0</v>
      </c>
      <c r="DC52" s="35">
        <v>1.0</v>
      </c>
      <c r="DD52" s="35">
        <v>1.0</v>
      </c>
      <c r="DE52" s="35">
        <v>2.0</v>
      </c>
      <c r="DF52" s="35" t="s">
        <v>293</v>
      </c>
      <c r="DG52" s="53">
        <f t="shared" si="55"/>
        <v>12</v>
      </c>
      <c r="DH52" s="35">
        <v>2.0</v>
      </c>
      <c r="DI52" s="35">
        <v>0.0</v>
      </c>
      <c r="DJ52" s="35">
        <v>0.0</v>
      </c>
      <c r="DK52" s="35">
        <v>1.0</v>
      </c>
      <c r="DL52" s="46">
        <f t="shared" si="34"/>
        <v>66.66666667</v>
      </c>
      <c r="DM52" s="44">
        <f t="shared" si="35"/>
        <v>1</v>
      </c>
      <c r="DN52" s="44">
        <f t="shared" si="36"/>
        <v>2</v>
      </c>
      <c r="DO52" s="44">
        <f t="shared" si="37"/>
        <v>3</v>
      </c>
      <c r="DP52" s="44">
        <f t="shared" si="38"/>
        <v>1</v>
      </c>
      <c r="DQ52" s="44">
        <f t="shared" si="39"/>
        <v>2</v>
      </c>
      <c r="DR52" s="44">
        <f t="shared" ref="DR52:DS52" si="91">(DH52)</f>
        <v>2</v>
      </c>
      <c r="DS52" s="44">
        <f t="shared" si="91"/>
        <v>0</v>
      </c>
      <c r="DT52" s="44">
        <f t="shared" si="41"/>
        <v>11</v>
      </c>
      <c r="DU52" s="44" t="str">
        <f t="shared" si="42"/>
        <v>poor sleep quality</v>
      </c>
      <c r="DV52" s="35">
        <v>1.0</v>
      </c>
      <c r="DW52" s="35" t="s">
        <v>136</v>
      </c>
      <c r="DX52" s="35" t="s">
        <v>146</v>
      </c>
      <c r="DY52" s="35">
        <v>1.0</v>
      </c>
      <c r="DZ52" s="35" t="s">
        <v>131</v>
      </c>
      <c r="EA52" s="35" t="s">
        <v>167</v>
      </c>
      <c r="EB52" s="35" t="s">
        <v>172</v>
      </c>
      <c r="EC52" s="36" t="s">
        <v>133</v>
      </c>
      <c r="ED52" s="35" t="s">
        <v>132</v>
      </c>
      <c r="EE52" s="35" t="s">
        <v>151</v>
      </c>
      <c r="EF52" s="35">
        <f t="shared" si="51"/>
        <v>517</v>
      </c>
      <c r="EG52" s="35">
        <f t="shared" si="52"/>
        <v>517</v>
      </c>
      <c r="EH52" s="47">
        <f t="shared" si="24"/>
        <v>22.22222222</v>
      </c>
    </row>
    <row r="53" ht="15.75" customHeight="1">
      <c r="A53" s="35" t="s">
        <v>294</v>
      </c>
      <c r="B53" s="36" t="s">
        <v>175</v>
      </c>
      <c r="C53" s="37">
        <v>45093.0</v>
      </c>
      <c r="D53" s="48">
        <v>41.0</v>
      </c>
      <c r="E53" s="35" t="s">
        <v>130</v>
      </c>
      <c r="F53" s="35">
        <v>163.0</v>
      </c>
      <c r="G53" s="39">
        <v>95.0</v>
      </c>
      <c r="H53" s="40" t="s">
        <v>131</v>
      </c>
      <c r="I53" s="35">
        <v>3.0</v>
      </c>
      <c r="J53" s="41">
        <v>44593.0</v>
      </c>
      <c r="K53" s="35" t="s">
        <v>131</v>
      </c>
      <c r="L53" s="35">
        <v>2.0</v>
      </c>
      <c r="M53" s="41">
        <v>44409.0</v>
      </c>
      <c r="N53" s="35">
        <v>2.0</v>
      </c>
      <c r="O53" s="41">
        <v>44531.0</v>
      </c>
      <c r="P53" s="35" t="s">
        <v>132</v>
      </c>
      <c r="Q53" s="36" t="s">
        <v>133</v>
      </c>
      <c r="R53" s="36" t="s">
        <v>133</v>
      </c>
      <c r="S53" s="36" t="s">
        <v>133</v>
      </c>
      <c r="T53" s="36" t="s">
        <v>133</v>
      </c>
      <c r="U53" s="36" t="s">
        <v>133</v>
      </c>
      <c r="V53" s="36" t="str">
        <f t="shared" si="2"/>
        <v>Paciente ambulatorio</v>
      </c>
      <c r="W53" s="35" t="s">
        <v>176</v>
      </c>
      <c r="X53" s="35" t="s">
        <v>132</v>
      </c>
      <c r="Y53" s="35">
        <v>2.0</v>
      </c>
      <c r="Z53" s="35">
        <v>1.0</v>
      </c>
      <c r="AA53" s="35">
        <v>1.0</v>
      </c>
      <c r="AB53" s="35">
        <v>2.0</v>
      </c>
      <c r="AC53" s="35">
        <v>1.0</v>
      </c>
      <c r="AD53" s="35">
        <v>1.0</v>
      </c>
      <c r="AE53" s="35">
        <v>2.0</v>
      </c>
      <c r="AF53" s="35">
        <v>1.0</v>
      </c>
      <c r="AG53" s="35">
        <v>1.0</v>
      </c>
      <c r="AH53" s="35">
        <v>1.0</v>
      </c>
      <c r="AI53" s="35">
        <v>1.0</v>
      </c>
      <c r="AJ53" s="35">
        <v>1.0</v>
      </c>
      <c r="AK53" s="39" t="s">
        <v>295</v>
      </c>
      <c r="AL53" s="40" t="s">
        <v>132</v>
      </c>
      <c r="AM53" s="35" t="s">
        <v>132</v>
      </c>
      <c r="AN53" s="35" t="s">
        <v>132</v>
      </c>
      <c r="AO53" s="35" t="s">
        <v>131</v>
      </c>
      <c r="AP53" s="35" t="s">
        <v>132</v>
      </c>
      <c r="AQ53" s="35" t="s">
        <v>132</v>
      </c>
      <c r="AR53" s="35" t="s">
        <v>132</v>
      </c>
      <c r="AS53" s="35" t="s">
        <v>132</v>
      </c>
      <c r="AT53" s="35" t="s">
        <v>132</v>
      </c>
      <c r="AU53" s="35" t="s">
        <v>132</v>
      </c>
      <c r="AV53" s="35" t="s">
        <v>131</v>
      </c>
      <c r="AW53" s="35" t="s">
        <v>296</v>
      </c>
      <c r="AX53" s="35" t="s">
        <v>132</v>
      </c>
      <c r="AY53" s="36" t="s">
        <v>133</v>
      </c>
      <c r="AZ53" s="36" t="s">
        <v>133</v>
      </c>
      <c r="BA53" s="36" t="s">
        <v>133</v>
      </c>
      <c r="BB53" s="35" t="s">
        <v>145</v>
      </c>
      <c r="BC53" s="36" t="s">
        <v>133</v>
      </c>
      <c r="BD53" s="40">
        <v>1.0</v>
      </c>
      <c r="BE53" s="35">
        <v>1.0</v>
      </c>
      <c r="BF53" s="35">
        <v>1.0</v>
      </c>
      <c r="BG53" s="35">
        <v>2.0</v>
      </c>
      <c r="BH53" s="35">
        <v>2.0</v>
      </c>
      <c r="BI53" s="44" t="str">
        <f t="shared" si="3"/>
        <v>11122</v>
      </c>
      <c r="BJ53" s="35">
        <v>65.0</v>
      </c>
      <c r="BK53" s="35">
        <v>2.0</v>
      </c>
      <c r="BL53" s="35">
        <v>2.0</v>
      </c>
      <c r="BM53" s="35">
        <v>4.0</v>
      </c>
      <c r="BN53" s="35">
        <v>2.0</v>
      </c>
      <c r="BO53" s="35">
        <v>4.0</v>
      </c>
      <c r="BP53" s="35">
        <v>4.0</v>
      </c>
      <c r="BQ53" s="35">
        <v>2.0</v>
      </c>
      <c r="BR53" s="35">
        <v>2.0</v>
      </c>
      <c r="BS53" s="35">
        <v>3.0</v>
      </c>
      <c r="BT53" s="35">
        <v>2.0</v>
      </c>
      <c r="BU53" s="44">
        <f t="shared" si="4"/>
        <v>4</v>
      </c>
      <c r="BV53" s="44">
        <f t="shared" si="5"/>
        <v>4</v>
      </c>
      <c r="BW53" s="44">
        <f t="shared" si="53"/>
        <v>29</v>
      </c>
      <c r="BX53" s="44" t="str">
        <f t="shared" si="7"/>
        <v>FATIGA</v>
      </c>
      <c r="BY53" s="35">
        <v>0.0</v>
      </c>
      <c r="BZ53" s="35">
        <v>0.0</v>
      </c>
      <c r="CA53" s="35">
        <v>0.0</v>
      </c>
      <c r="CB53" s="35">
        <v>0.0</v>
      </c>
      <c r="CC53" s="35">
        <v>0.0</v>
      </c>
      <c r="CD53" s="35">
        <v>0.0</v>
      </c>
      <c r="CE53" s="35">
        <v>3.0</v>
      </c>
      <c r="CF53" s="35">
        <v>0.0</v>
      </c>
      <c r="CG53" s="35">
        <v>40.0</v>
      </c>
      <c r="CH53" s="35">
        <v>5.0</v>
      </c>
      <c r="CI53" s="35">
        <v>0.0</v>
      </c>
      <c r="CJ53" s="44">
        <f t="shared" si="27"/>
        <v>396</v>
      </c>
      <c r="CK53" s="44">
        <f t="shared" si="28"/>
        <v>3</v>
      </c>
      <c r="CL53" s="44" t="b">
        <f t="shared" si="29"/>
        <v>0</v>
      </c>
      <c r="CM53" s="44" t="b">
        <f t="shared" si="30"/>
        <v>0</v>
      </c>
      <c r="CN53" s="45" t="str">
        <f t="shared" si="31"/>
        <v>Nivel de actividad física bajo</v>
      </c>
      <c r="CO53" s="35">
        <v>23.0</v>
      </c>
      <c r="CP53" s="35">
        <v>40.0</v>
      </c>
      <c r="CQ53" s="44">
        <f t="shared" si="32"/>
        <v>2</v>
      </c>
      <c r="CR53" s="35">
        <v>5.0</v>
      </c>
      <c r="CS53" s="35">
        <v>15.0</v>
      </c>
      <c r="CT53" s="35">
        <v>6.25</v>
      </c>
      <c r="CU53" s="35">
        <v>4.0</v>
      </c>
      <c r="CV53" s="35">
        <v>3.0</v>
      </c>
      <c r="CW53" s="35">
        <v>3.0</v>
      </c>
      <c r="CX53" s="35">
        <v>3.0</v>
      </c>
      <c r="CY53" s="35">
        <v>0.0</v>
      </c>
      <c r="CZ53" s="35">
        <v>0.0</v>
      </c>
      <c r="DA53" s="35">
        <v>1.0</v>
      </c>
      <c r="DB53" s="35">
        <v>1.0</v>
      </c>
      <c r="DC53" s="35">
        <v>2.0</v>
      </c>
      <c r="DD53" s="35">
        <v>0.0</v>
      </c>
      <c r="DE53" s="35">
        <v>1.0</v>
      </c>
      <c r="DF53" s="35" t="s">
        <v>297</v>
      </c>
      <c r="DG53" s="53">
        <f t="shared" si="55"/>
        <v>11</v>
      </c>
      <c r="DH53" s="35">
        <v>2.0</v>
      </c>
      <c r="DI53" s="35">
        <v>0.0</v>
      </c>
      <c r="DJ53" s="35">
        <v>3.0</v>
      </c>
      <c r="DK53" s="35">
        <v>1.0</v>
      </c>
      <c r="DL53" s="46">
        <f t="shared" si="34"/>
        <v>64</v>
      </c>
      <c r="DM53" s="44">
        <f t="shared" si="35"/>
        <v>3</v>
      </c>
      <c r="DN53" s="44">
        <f t="shared" si="36"/>
        <v>2</v>
      </c>
      <c r="DO53" s="44">
        <f t="shared" si="37"/>
        <v>3</v>
      </c>
      <c r="DP53" s="44">
        <f t="shared" si="38"/>
        <v>2</v>
      </c>
      <c r="DQ53" s="44">
        <f t="shared" si="39"/>
        <v>3</v>
      </c>
      <c r="DR53" s="44">
        <f t="shared" ref="DR53:DS53" si="92">(DH53)</f>
        <v>2</v>
      </c>
      <c r="DS53" s="44">
        <f t="shared" si="92"/>
        <v>0</v>
      </c>
      <c r="DT53" s="44">
        <f t="shared" si="41"/>
        <v>15</v>
      </c>
      <c r="DU53" s="44" t="str">
        <f t="shared" si="42"/>
        <v>poor sleep quality</v>
      </c>
      <c r="DV53" s="35">
        <v>1.0</v>
      </c>
      <c r="DW53" s="35" t="s">
        <v>136</v>
      </c>
      <c r="DX53" s="35" t="s">
        <v>146</v>
      </c>
      <c r="DY53" s="35">
        <v>1.0</v>
      </c>
      <c r="DZ53" s="35" t="s">
        <v>131</v>
      </c>
      <c r="EA53" s="35" t="s">
        <v>147</v>
      </c>
      <c r="EB53" s="35" t="s">
        <v>139</v>
      </c>
      <c r="EC53" s="36" t="s">
        <v>133</v>
      </c>
      <c r="ED53" s="35" t="s">
        <v>132</v>
      </c>
      <c r="EE53" s="35" t="s">
        <v>141</v>
      </c>
      <c r="EF53" s="35">
        <f t="shared" si="51"/>
        <v>684</v>
      </c>
      <c r="EG53" s="35">
        <f t="shared" si="52"/>
        <v>562</v>
      </c>
      <c r="EH53" s="47">
        <f t="shared" si="24"/>
        <v>35.75595619</v>
      </c>
    </row>
    <row r="54" ht="15.75" customHeight="1">
      <c r="A54" s="35" t="s">
        <v>298</v>
      </c>
      <c r="B54" s="36" t="s">
        <v>175</v>
      </c>
      <c r="C54" s="37">
        <v>45093.0</v>
      </c>
      <c r="D54" s="48">
        <v>50.0</v>
      </c>
      <c r="E54" s="35" t="s">
        <v>130</v>
      </c>
      <c r="F54" s="35">
        <v>156.0</v>
      </c>
      <c r="G54" s="39">
        <v>60.0</v>
      </c>
      <c r="H54" s="40" t="s">
        <v>131</v>
      </c>
      <c r="I54" s="35">
        <v>5.0</v>
      </c>
      <c r="J54" s="55">
        <v>44228.0</v>
      </c>
      <c r="K54" s="35" t="s">
        <v>131</v>
      </c>
      <c r="L54" s="35">
        <v>1.0</v>
      </c>
      <c r="M54" s="41">
        <v>44287.0</v>
      </c>
      <c r="N54" s="35">
        <v>0.0</v>
      </c>
      <c r="O54" s="41">
        <v>44287.0</v>
      </c>
      <c r="P54" s="35" t="s">
        <v>132</v>
      </c>
      <c r="Q54" s="36" t="s">
        <v>133</v>
      </c>
      <c r="R54" s="36" t="s">
        <v>133</v>
      </c>
      <c r="S54" s="36" t="s">
        <v>133</v>
      </c>
      <c r="T54" s="36" t="s">
        <v>133</v>
      </c>
      <c r="U54" s="36" t="s">
        <v>133</v>
      </c>
      <c r="V54" s="36" t="str">
        <f t="shared" si="2"/>
        <v>Paciente ambulatorio</v>
      </c>
      <c r="W54" s="35" t="s">
        <v>176</v>
      </c>
      <c r="X54" s="35" t="s">
        <v>131</v>
      </c>
      <c r="Y54" s="35">
        <v>2.0</v>
      </c>
      <c r="Z54" s="35">
        <v>2.0</v>
      </c>
      <c r="AA54" s="35">
        <v>3.0</v>
      </c>
      <c r="AB54" s="35">
        <v>3.0</v>
      </c>
      <c r="AC54" s="35">
        <v>2.0</v>
      </c>
      <c r="AD54" s="35">
        <v>1.0</v>
      </c>
      <c r="AE54" s="35">
        <v>3.0</v>
      </c>
      <c r="AF54" s="35">
        <v>1.0</v>
      </c>
      <c r="AG54" s="35">
        <v>3.0</v>
      </c>
      <c r="AH54" s="35">
        <v>1.0</v>
      </c>
      <c r="AI54" s="35">
        <v>3.0</v>
      </c>
      <c r="AJ54" s="35">
        <v>1.0</v>
      </c>
      <c r="AK54" s="39" t="s">
        <v>299</v>
      </c>
      <c r="AL54" s="40" t="s">
        <v>132</v>
      </c>
      <c r="AM54" s="35" t="s">
        <v>132</v>
      </c>
      <c r="AN54" s="35" t="s">
        <v>132</v>
      </c>
      <c r="AO54" s="35" t="s">
        <v>131</v>
      </c>
      <c r="AP54" s="35" t="s">
        <v>132</v>
      </c>
      <c r="AQ54" s="35" t="s">
        <v>132</v>
      </c>
      <c r="AR54" s="35" t="s">
        <v>132</v>
      </c>
      <c r="AS54" s="35" t="s">
        <v>132</v>
      </c>
      <c r="AT54" s="35" t="s">
        <v>132</v>
      </c>
      <c r="AU54" s="35" t="s">
        <v>132</v>
      </c>
      <c r="AV54" s="35" t="s">
        <v>131</v>
      </c>
      <c r="AW54" s="35" t="s">
        <v>296</v>
      </c>
      <c r="AX54" s="35" t="s">
        <v>132</v>
      </c>
      <c r="AY54" s="36" t="s">
        <v>133</v>
      </c>
      <c r="AZ54" s="36" t="s">
        <v>133</v>
      </c>
      <c r="BA54" s="36" t="s">
        <v>133</v>
      </c>
      <c r="BB54" s="35" t="s">
        <v>145</v>
      </c>
      <c r="BC54" s="36" t="s">
        <v>133</v>
      </c>
      <c r="BD54" s="40">
        <v>1.0</v>
      </c>
      <c r="BE54" s="35">
        <v>1.0</v>
      </c>
      <c r="BF54" s="35">
        <v>1.0</v>
      </c>
      <c r="BG54" s="35">
        <v>2.0</v>
      </c>
      <c r="BH54" s="35">
        <v>3.0</v>
      </c>
      <c r="BI54" s="44" t="str">
        <f t="shared" si="3"/>
        <v>11123</v>
      </c>
      <c r="BJ54" s="35">
        <v>65.0</v>
      </c>
      <c r="BK54" s="35">
        <v>2.0</v>
      </c>
      <c r="BL54" s="35">
        <v>2.0</v>
      </c>
      <c r="BM54" s="35">
        <v>3.0</v>
      </c>
      <c r="BN54" s="35">
        <v>2.0</v>
      </c>
      <c r="BO54" s="35">
        <v>4.0</v>
      </c>
      <c r="BP54" s="35">
        <v>2.0</v>
      </c>
      <c r="BQ54" s="35">
        <v>1.0</v>
      </c>
      <c r="BR54" s="35">
        <v>2.0</v>
      </c>
      <c r="BS54" s="35">
        <v>2.0</v>
      </c>
      <c r="BT54" s="35">
        <v>2.0</v>
      </c>
      <c r="BU54" s="44">
        <f t="shared" si="4"/>
        <v>4</v>
      </c>
      <c r="BV54" s="44">
        <f t="shared" si="5"/>
        <v>4</v>
      </c>
      <c r="BW54" s="44">
        <f t="shared" si="53"/>
        <v>24</v>
      </c>
      <c r="BX54" s="44" t="str">
        <f t="shared" si="7"/>
        <v>FATIGA</v>
      </c>
      <c r="BY54" s="35">
        <v>0.0</v>
      </c>
      <c r="BZ54" s="35">
        <v>0.0</v>
      </c>
      <c r="CA54" s="35">
        <v>0.0</v>
      </c>
      <c r="CB54" s="35">
        <v>0.0</v>
      </c>
      <c r="CC54" s="35">
        <v>0.0</v>
      </c>
      <c r="CD54" s="35">
        <v>0.0</v>
      </c>
      <c r="CE54" s="35">
        <v>7.0</v>
      </c>
      <c r="CF54" s="35">
        <v>0.0</v>
      </c>
      <c r="CG54" s="35">
        <v>45.0</v>
      </c>
      <c r="CH54" s="35">
        <v>12.0</v>
      </c>
      <c r="CI54" s="35">
        <v>0.0</v>
      </c>
      <c r="CJ54" s="44">
        <f t="shared" si="27"/>
        <v>1039.5</v>
      </c>
      <c r="CK54" s="44">
        <f t="shared" si="28"/>
        <v>7</v>
      </c>
      <c r="CL54" s="44" t="b">
        <f t="shared" si="29"/>
        <v>0</v>
      </c>
      <c r="CM54" s="44" t="str">
        <f t="shared" si="30"/>
        <v>Nivel de actividad física moderado</v>
      </c>
      <c r="CN54" s="45" t="str">
        <f t="shared" si="31"/>
        <v>Nivel de actividad física moderado</v>
      </c>
      <c r="CO54" s="35">
        <v>23.0</v>
      </c>
      <c r="CP54" s="35">
        <v>15.0</v>
      </c>
      <c r="CQ54" s="44">
        <f t="shared" si="32"/>
        <v>0</v>
      </c>
      <c r="CR54" s="35">
        <v>5.0</v>
      </c>
      <c r="CS54" s="35">
        <v>45.0</v>
      </c>
      <c r="CT54" s="35">
        <v>6.75</v>
      </c>
      <c r="CU54" s="35">
        <v>7.0</v>
      </c>
      <c r="CV54" s="35">
        <v>0.0</v>
      </c>
      <c r="CW54" s="35">
        <v>0.0</v>
      </c>
      <c r="CX54" s="35">
        <v>0.0</v>
      </c>
      <c r="CY54" s="35">
        <v>0.0</v>
      </c>
      <c r="CZ54" s="35">
        <v>3.0</v>
      </c>
      <c r="DA54" s="35">
        <v>0.0</v>
      </c>
      <c r="DB54" s="35">
        <v>0.0</v>
      </c>
      <c r="DC54" s="35">
        <v>0.0</v>
      </c>
      <c r="DD54" s="35">
        <v>0.0</v>
      </c>
      <c r="DE54" s="35">
        <v>0.0</v>
      </c>
      <c r="DF54" s="36" t="s">
        <v>133</v>
      </c>
      <c r="DG54" s="53">
        <f t="shared" si="55"/>
        <v>3</v>
      </c>
      <c r="DH54" s="35">
        <v>0.0</v>
      </c>
      <c r="DI54" s="35">
        <v>0.0</v>
      </c>
      <c r="DJ54" s="35">
        <v>3.0</v>
      </c>
      <c r="DK54" s="35">
        <v>2.0</v>
      </c>
      <c r="DL54" s="46">
        <f t="shared" si="34"/>
        <v>103.7037037</v>
      </c>
      <c r="DM54" s="44">
        <f t="shared" si="35"/>
        <v>0</v>
      </c>
      <c r="DN54" s="44">
        <f t="shared" si="36"/>
        <v>1</v>
      </c>
      <c r="DO54" s="44">
        <f t="shared" si="37"/>
        <v>0</v>
      </c>
      <c r="DP54" s="44">
        <f t="shared" si="38"/>
        <v>3</v>
      </c>
      <c r="DQ54" s="44">
        <f t="shared" si="39"/>
        <v>0</v>
      </c>
      <c r="DR54" s="44">
        <f t="shared" ref="DR54:DS54" si="93">(DH54)</f>
        <v>0</v>
      </c>
      <c r="DS54" s="44">
        <f t="shared" si="93"/>
        <v>0</v>
      </c>
      <c r="DT54" s="44">
        <f t="shared" si="41"/>
        <v>4</v>
      </c>
      <c r="DU54" s="44" t="str">
        <f t="shared" si="42"/>
        <v>good sleep quality</v>
      </c>
      <c r="DV54" s="35">
        <v>1.0</v>
      </c>
      <c r="DW54" s="35" t="s">
        <v>155</v>
      </c>
      <c r="DX54" s="35" t="s">
        <v>146</v>
      </c>
      <c r="DY54" s="35">
        <v>2.0</v>
      </c>
      <c r="DZ54" s="35" t="s">
        <v>131</v>
      </c>
      <c r="EA54" s="35" t="s">
        <v>138</v>
      </c>
      <c r="EB54" s="35" t="s">
        <v>139</v>
      </c>
      <c r="EC54" s="36" t="s">
        <v>133</v>
      </c>
      <c r="ED54" s="35" t="s">
        <v>131</v>
      </c>
      <c r="EE54" s="35" t="s">
        <v>141</v>
      </c>
      <c r="EF54" s="35">
        <f t="shared" si="51"/>
        <v>806</v>
      </c>
      <c r="EG54" s="35">
        <f t="shared" si="52"/>
        <v>806</v>
      </c>
      <c r="EH54" s="47">
        <f t="shared" si="24"/>
        <v>24.65483235</v>
      </c>
    </row>
    <row r="55" ht="15.75" customHeight="1">
      <c r="A55" s="35" t="s">
        <v>300</v>
      </c>
      <c r="B55" s="36" t="s">
        <v>175</v>
      </c>
      <c r="C55" s="37">
        <v>45089.0</v>
      </c>
      <c r="D55" s="48">
        <v>69.0</v>
      </c>
      <c r="E55" s="35" t="s">
        <v>153</v>
      </c>
      <c r="F55" s="35">
        <v>173.0</v>
      </c>
      <c r="G55" s="39">
        <v>84.0</v>
      </c>
      <c r="H55" s="40" t="s">
        <v>131</v>
      </c>
      <c r="I55" s="35">
        <v>2.0</v>
      </c>
      <c r="J55" s="41">
        <v>44454.0</v>
      </c>
      <c r="K55" s="35" t="s">
        <v>131</v>
      </c>
      <c r="L55" s="35">
        <v>3.0</v>
      </c>
      <c r="M55" s="41">
        <v>44013.0</v>
      </c>
      <c r="N55" s="35">
        <v>0.0</v>
      </c>
      <c r="O55" s="41">
        <v>44562.0</v>
      </c>
      <c r="P55" s="35" t="s">
        <v>131</v>
      </c>
      <c r="Q55" s="35">
        <v>2021.0</v>
      </c>
      <c r="R55" s="35">
        <v>2021.0</v>
      </c>
      <c r="S55" s="35" t="s">
        <v>132</v>
      </c>
      <c r="T55" s="36" t="s">
        <v>133</v>
      </c>
      <c r="U55" s="35" t="s">
        <v>132</v>
      </c>
      <c r="V55" s="36" t="str">
        <f t="shared" si="2"/>
        <v>Internación moderada</v>
      </c>
      <c r="W55" s="35" t="s">
        <v>183</v>
      </c>
      <c r="X55" s="35" t="s">
        <v>132</v>
      </c>
      <c r="Y55" s="35">
        <v>2.0</v>
      </c>
      <c r="Z55" s="35">
        <v>1.0</v>
      </c>
      <c r="AA55" s="35">
        <v>3.0</v>
      </c>
      <c r="AB55" s="35">
        <v>3.0</v>
      </c>
      <c r="AC55" s="35">
        <v>3.0</v>
      </c>
      <c r="AD55" s="35">
        <v>3.0</v>
      </c>
      <c r="AE55" s="35">
        <v>3.0</v>
      </c>
      <c r="AF55" s="35">
        <v>3.0</v>
      </c>
      <c r="AG55" s="35">
        <v>3.0</v>
      </c>
      <c r="AH55" s="35">
        <v>3.0</v>
      </c>
      <c r="AI55" s="35">
        <v>1.0</v>
      </c>
      <c r="AJ55" s="35">
        <v>3.0</v>
      </c>
      <c r="AK55" s="36" t="s">
        <v>133</v>
      </c>
      <c r="AL55" s="40" t="s">
        <v>131</v>
      </c>
      <c r="AM55" s="35" t="s">
        <v>131</v>
      </c>
      <c r="AN55" s="35" t="s">
        <v>132</v>
      </c>
      <c r="AO55" s="35" t="s">
        <v>131</v>
      </c>
      <c r="AP55" s="35" t="s">
        <v>132</v>
      </c>
      <c r="AQ55" s="35" t="s">
        <v>132</v>
      </c>
      <c r="AR55" s="35" t="s">
        <v>132</v>
      </c>
      <c r="AS55" s="35" t="s">
        <v>131</v>
      </c>
      <c r="AT55" s="35" t="s">
        <v>132</v>
      </c>
      <c r="AU55" s="35" t="s">
        <v>132</v>
      </c>
      <c r="AV55" s="35" t="s">
        <v>132</v>
      </c>
      <c r="AW55" s="36" t="s">
        <v>133</v>
      </c>
      <c r="AX55" s="35" t="s">
        <v>165</v>
      </c>
      <c r="AY55" s="36" t="s">
        <v>133</v>
      </c>
      <c r="AZ55" s="36" t="s">
        <v>133</v>
      </c>
      <c r="BA55" s="35">
        <v>10.0</v>
      </c>
      <c r="BB55" s="35" t="s">
        <v>192</v>
      </c>
      <c r="BC55" s="39">
        <v>0.5</v>
      </c>
      <c r="BD55" s="40">
        <v>1.0</v>
      </c>
      <c r="BE55" s="35">
        <v>1.0</v>
      </c>
      <c r="BF55" s="35">
        <v>1.0</v>
      </c>
      <c r="BG55" s="35">
        <v>1.0</v>
      </c>
      <c r="BH55" s="35">
        <v>1.0</v>
      </c>
      <c r="BI55" s="44" t="str">
        <f t="shared" si="3"/>
        <v>11111</v>
      </c>
      <c r="BJ55" s="35">
        <v>75.0</v>
      </c>
      <c r="BK55" s="35">
        <v>2.0</v>
      </c>
      <c r="BL55" s="35">
        <v>1.0</v>
      </c>
      <c r="BM55" s="35">
        <v>5.0</v>
      </c>
      <c r="BN55" s="35">
        <v>5.0</v>
      </c>
      <c r="BO55" s="35">
        <v>2.0</v>
      </c>
      <c r="BP55" s="35">
        <v>1.0</v>
      </c>
      <c r="BQ55" s="35">
        <v>1.0</v>
      </c>
      <c r="BR55" s="35">
        <v>1.0</v>
      </c>
      <c r="BS55" s="35">
        <v>2.0</v>
      </c>
      <c r="BT55" s="35">
        <v>5.0</v>
      </c>
      <c r="BU55" s="44">
        <f t="shared" si="4"/>
        <v>1</v>
      </c>
      <c r="BV55" s="44">
        <f t="shared" si="5"/>
        <v>1</v>
      </c>
      <c r="BW55" s="44">
        <f t="shared" si="53"/>
        <v>21</v>
      </c>
      <c r="BX55" s="44" t="str">
        <f t="shared" si="7"/>
        <v>NO HAY FATIGA</v>
      </c>
      <c r="BY55" s="35">
        <v>0.0</v>
      </c>
      <c r="BZ55" s="35">
        <v>0.0</v>
      </c>
      <c r="CA55" s="35">
        <v>0.0</v>
      </c>
      <c r="CB55" s="35">
        <v>0.0</v>
      </c>
      <c r="CC55" s="35">
        <v>0.0</v>
      </c>
      <c r="CD55" s="35">
        <v>0.0</v>
      </c>
      <c r="CE55" s="35">
        <v>1.0</v>
      </c>
      <c r="CF55" s="35">
        <v>0.0</v>
      </c>
      <c r="CG55" s="35">
        <v>20.0</v>
      </c>
      <c r="CH55" s="35">
        <v>6.0</v>
      </c>
      <c r="CI55" s="35">
        <v>20.0</v>
      </c>
      <c r="CJ55" s="44">
        <f t="shared" si="27"/>
        <v>66</v>
      </c>
      <c r="CK55" s="44">
        <f t="shared" si="28"/>
        <v>1</v>
      </c>
      <c r="CL55" s="44" t="b">
        <f t="shared" si="29"/>
        <v>0</v>
      </c>
      <c r="CM55" s="44" t="b">
        <f t="shared" si="30"/>
        <v>0</v>
      </c>
      <c r="CN55" s="45" t="str">
        <f t="shared" si="31"/>
        <v>Nivel de actividad física bajo</v>
      </c>
      <c r="CO55" s="51">
        <v>0.0625</v>
      </c>
      <c r="CP55" s="35">
        <v>5.0</v>
      </c>
      <c r="CQ55" s="44">
        <f t="shared" si="32"/>
        <v>0</v>
      </c>
      <c r="CR55" s="35">
        <v>7.0</v>
      </c>
      <c r="CS55" s="35">
        <v>0.0</v>
      </c>
      <c r="CT55" s="35">
        <v>5.5</v>
      </c>
      <c r="CU55" s="35">
        <v>5.0</v>
      </c>
      <c r="CV55" s="35">
        <v>0.0</v>
      </c>
      <c r="CW55" s="35">
        <v>2.0</v>
      </c>
      <c r="CX55" s="35">
        <v>2.0</v>
      </c>
      <c r="CY55" s="35">
        <v>0.0</v>
      </c>
      <c r="CZ55" s="35">
        <v>1.0</v>
      </c>
      <c r="DA55" s="35">
        <v>2.0</v>
      </c>
      <c r="DB55" s="35">
        <v>0.0</v>
      </c>
      <c r="DC55" s="35">
        <v>0.0</v>
      </c>
      <c r="DD55" s="35">
        <v>0.0</v>
      </c>
      <c r="DE55" s="36" t="s">
        <v>133</v>
      </c>
      <c r="DF55" s="36" t="s">
        <v>133</v>
      </c>
      <c r="DG55" s="53">
        <f t="shared" si="55"/>
        <v>7</v>
      </c>
      <c r="DH55" s="35">
        <v>1.0</v>
      </c>
      <c r="DI55" s="35">
        <v>3.0</v>
      </c>
      <c r="DJ55" s="35">
        <v>2.0</v>
      </c>
      <c r="DK55" s="35">
        <v>1.0</v>
      </c>
      <c r="DL55" s="46">
        <f t="shared" si="34"/>
        <v>90.90909091</v>
      </c>
      <c r="DM55" s="44">
        <f t="shared" si="35"/>
        <v>2</v>
      </c>
      <c r="DN55" s="44">
        <f t="shared" si="36"/>
        <v>1</v>
      </c>
      <c r="DO55" s="44">
        <f t="shared" si="37"/>
        <v>0</v>
      </c>
      <c r="DP55" s="44">
        <f t="shared" si="38"/>
        <v>2</v>
      </c>
      <c r="DQ55" s="44">
        <f t="shared" si="39"/>
        <v>0</v>
      </c>
      <c r="DR55" s="44">
        <f t="shared" ref="DR55:DS55" si="94">(DH55)</f>
        <v>1</v>
      </c>
      <c r="DS55" s="44">
        <f t="shared" si="94"/>
        <v>3</v>
      </c>
      <c r="DT55" s="44">
        <f t="shared" si="41"/>
        <v>9</v>
      </c>
      <c r="DU55" s="44" t="str">
        <f t="shared" si="42"/>
        <v>poor sleep quality</v>
      </c>
      <c r="DV55" s="35">
        <v>2.0</v>
      </c>
      <c r="DW55" s="35" t="s">
        <v>136</v>
      </c>
      <c r="DX55" s="35" t="s">
        <v>137</v>
      </c>
      <c r="DY55" s="35">
        <v>1.0</v>
      </c>
      <c r="DZ55" s="35" t="s">
        <v>131</v>
      </c>
      <c r="EA55" s="35" t="s">
        <v>167</v>
      </c>
      <c r="EB55" s="35" t="s">
        <v>139</v>
      </c>
      <c r="EC55" s="35" t="s">
        <v>131</v>
      </c>
      <c r="ED55" s="35" t="s">
        <v>132</v>
      </c>
      <c r="EE55" s="35" t="s">
        <v>203</v>
      </c>
      <c r="EF55" s="35">
        <f t="shared" si="51"/>
        <v>1076</v>
      </c>
      <c r="EG55" s="35">
        <f t="shared" si="52"/>
        <v>527</v>
      </c>
      <c r="EH55" s="47">
        <f t="shared" si="24"/>
        <v>28.06642387</v>
      </c>
    </row>
    <row r="56" ht="15.75" customHeight="1">
      <c r="A56" s="35" t="s">
        <v>301</v>
      </c>
      <c r="B56" s="36" t="s">
        <v>175</v>
      </c>
      <c r="C56" s="37">
        <v>45089.0</v>
      </c>
      <c r="D56" s="48">
        <v>62.0</v>
      </c>
      <c r="E56" s="35" t="s">
        <v>153</v>
      </c>
      <c r="F56" s="35">
        <v>170.0</v>
      </c>
      <c r="G56" s="39">
        <v>120.0</v>
      </c>
      <c r="H56" s="40" t="s">
        <v>131</v>
      </c>
      <c r="I56" s="35">
        <v>3.0</v>
      </c>
      <c r="J56" s="41">
        <v>44593.0</v>
      </c>
      <c r="K56" s="35" t="s">
        <v>131</v>
      </c>
      <c r="L56" s="35">
        <v>1.0</v>
      </c>
      <c r="M56" s="41">
        <v>44562.0</v>
      </c>
      <c r="N56" s="36" t="s">
        <v>133</v>
      </c>
      <c r="O56" s="41">
        <v>44562.0</v>
      </c>
      <c r="P56" s="35" t="s">
        <v>131</v>
      </c>
      <c r="Q56" s="56">
        <v>44567.0</v>
      </c>
      <c r="R56" s="56">
        <v>44575.0</v>
      </c>
      <c r="S56" s="35" t="s">
        <v>132</v>
      </c>
      <c r="T56" s="36" t="s">
        <v>133</v>
      </c>
      <c r="U56" s="35" t="s">
        <v>132</v>
      </c>
      <c r="V56" s="36" t="str">
        <f t="shared" si="2"/>
        <v>Internación moderada</v>
      </c>
      <c r="W56" s="35" t="s">
        <v>183</v>
      </c>
      <c r="X56" s="35" t="s">
        <v>132</v>
      </c>
      <c r="Y56" s="35">
        <v>2.0</v>
      </c>
      <c r="Z56" s="35">
        <v>1.0</v>
      </c>
      <c r="AA56" s="35">
        <v>1.0</v>
      </c>
      <c r="AB56" s="35">
        <v>3.0</v>
      </c>
      <c r="AC56" s="35">
        <v>3.0</v>
      </c>
      <c r="AD56" s="35">
        <v>3.0</v>
      </c>
      <c r="AE56" s="35">
        <v>1.0</v>
      </c>
      <c r="AF56" s="35">
        <v>1.0</v>
      </c>
      <c r="AG56" s="35">
        <v>1.0</v>
      </c>
      <c r="AH56" s="35">
        <v>3.0</v>
      </c>
      <c r="AI56" s="35">
        <v>1.0</v>
      </c>
      <c r="AJ56" s="35">
        <v>1.0</v>
      </c>
      <c r="AK56" s="36" t="s">
        <v>133</v>
      </c>
      <c r="AL56" s="40" t="s">
        <v>131</v>
      </c>
      <c r="AM56" s="35" t="s">
        <v>132</v>
      </c>
      <c r="AN56" s="35" t="s">
        <v>132</v>
      </c>
      <c r="AO56" s="35" t="s">
        <v>131</v>
      </c>
      <c r="AP56" s="35" t="s">
        <v>132</v>
      </c>
      <c r="AQ56" s="35" t="s">
        <v>132</v>
      </c>
      <c r="AR56" s="35" t="s">
        <v>132</v>
      </c>
      <c r="AS56" s="35" t="s">
        <v>131</v>
      </c>
      <c r="AT56" s="35" t="s">
        <v>131</v>
      </c>
      <c r="AU56" s="35" t="s">
        <v>132</v>
      </c>
      <c r="AV56" s="35" t="s">
        <v>132</v>
      </c>
      <c r="AW56" s="36" t="s">
        <v>133</v>
      </c>
      <c r="AX56" s="35" t="s">
        <v>132</v>
      </c>
      <c r="AY56" s="36" t="s">
        <v>133</v>
      </c>
      <c r="AZ56" s="36" t="s">
        <v>133</v>
      </c>
      <c r="BA56" s="36" t="s">
        <v>133</v>
      </c>
      <c r="BB56" s="35" t="s">
        <v>145</v>
      </c>
      <c r="BC56" s="36" t="s">
        <v>133</v>
      </c>
      <c r="BD56" s="40">
        <v>2.0</v>
      </c>
      <c r="BE56" s="35">
        <v>1.0</v>
      </c>
      <c r="BF56" s="35">
        <v>1.0</v>
      </c>
      <c r="BG56" s="35">
        <v>2.0</v>
      </c>
      <c r="BH56" s="35">
        <v>3.0</v>
      </c>
      <c r="BI56" s="44" t="str">
        <f t="shared" si="3"/>
        <v>21123</v>
      </c>
      <c r="BJ56" s="35">
        <v>65.0</v>
      </c>
      <c r="BK56" s="35">
        <v>2.0</v>
      </c>
      <c r="BL56" s="35">
        <v>4.0</v>
      </c>
      <c r="BM56" s="35">
        <v>5.0</v>
      </c>
      <c r="BN56" s="35">
        <v>2.0</v>
      </c>
      <c r="BO56" s="35">
        <v>5.0</v>
      </c>
      <c r="BP56" s="35">
        <v>5.0</v>
      </c>
      <c r="BQ56" s="35">
        <v>2.0</v>
      </c>
      <c r="BR56" s="35">
        <v>5.0</v>
      </c>
      <c r="BS56" s="35">
        <v>5.0</v>
      </c>
      <c r="BT56" s="35">
        <v>5.0</v>
      </c>
      <c r="BU56" s="44">
        <f t="shared" si="4"/>
        <v>4</v>
      </c>
      <c r="BV56" s="44">
        <f t="shared" si="5"/>
        <v>1</v>
      </c>
      <c r="BW56" s="44">
        <f t="shared" si="53"/>
        <v>39</v>
      </c>
      <c r="BX56" s="44" t="str">
        <f t="shared" si="7"/>
        <v>FATIGA EXTREMA</v>
      </c>
      <c r="BY56" s="35">
        <v>0.0</v>
      </c>
      <c r="BZ56" s="35">
        <v>0.0</v>
      </c>
      <c r="CA56" s="35">
        <v>0.0</v>
      </c>
      <c r="CB56" s="35">
        <v>0.0</v>
      </c>
      <c r="CC56" s="35">
        <v>0.0</v>
      </c>
      <c r="CD56" s="35">
        <v>0.0</v>
      </c>
      <c r="CE56" s="35">
        <v>0.0</v>
      </c>
      <c r="CF56" s="35">
        <v>0.0</v>
      </c>
      <c r="CG56" s="35">
        <v>0.0</v>
      </c>
      <c r="CH56" s="35">
        <v>10.0</v>
      </c>
      <c r="CI56" s="35">
        <v>0.0</v>
      </c>
      <c r="CJ56" s="44">
        <f t="shared" si="27"/>
        <v>0</v>
      </c>
      <c r="CK56" s="44">
        <f t="shared" si="28"/>
        <v>0</v>
      </c>
      <c r="CL56" s="44" t="b">
        <f t="shared" si="29"/>
        <v>0</v>
      </c>
      <c r="CM56" s="44" t="b">
        <f t="shared" si="30"/>
        <v>0</v>
      </c>
      <c r="CN56" s="45" t="str">
        <f t="shared" si="31"/>
        <v>Nivel de actividad física bajo</v>
      </c>
      <c r="CO56" s="35">
        <v>1.0</v>
      </c>
      <c r="CP56" s="35">
        <v>10.0</v>
      </c>
      <c r="CQ56" s="44">
        <f t="shared" si="32"/>
        <v>0</v>
      </c>
      <c r="CR56" s="35">
        <v>5.0</v>
      </c>
      <c r="CS56" s="35">
        <v>45.0</v>
      </c>
      <c r="CT56" s="35">
        <v>4.8</v>
      </c>
      <c r="CU56" s="35">
        <v>4.0</v>
      </c>
      <c r="CV56" s="35">
        <v>0.0</v>
      </c>
      <c r="CW56" s="35">
        <v>2.0</v>
      </c>
      <c r="CX56" s="35">
        <v>3.0</v>
      </c>
      <c r="CY56" s="35">
        <v>0.0</v>
      </c>
      <c r="CZ56" s="35">
        <v>3.0</v>
      </c>
      <c r="DA56" s="35">
        <v>0.0</v>
      </c>
      <c r="DB56" s="35">
        <v>3.0</v>
      </c>
      <c r="DC56" s="35">
        <v>0.0</v>
      </c>
      <c r="DD56" s="35">
        <v>0.0</v>
      </c>
      <c r="DE56" s="36" t="s">
        <v>133</v>
      </c>
      <c r="DF56" s="36" t="s">
        <v>133</v>
      </c>
      <c r="DG56" s="53">
        <f t="shared" si="55"/>
        <v>11</v>
      </c>
      <c r="DH56" s="35">
        <v>1.0</v>
      </c>
      <c r="DI56" s="35">
        <v>0.0</v>
      </c>
      <c r="DJ56" s="35">
        <v>3.0</v>
      </c>
      <c r="DK56" s="35">
        <v>2.0</v>
      </c>
      <c r="DL56" s="46">
        <f t="shared" si="34"/>
        <v>83.33333333</v>
      </c>
      <c r="DM56" s="44">
        <f t="shared" si="35"/>
        <v>3</v>
      </c>
      <c r="DN56" s="44">
        <f t="shared" si="36"/>
        <v>2</v>
      </c>
      <c r="DO56" s="44">
        <f t="shared" si="37"/>
        <v>0</v>
      </c>
      <c r="DP56" s="44">
        <f t="shared" si="38"/>
        <v>3</v>
      </c>
      <c r="DQ56" s="44">
        <f t="shared" si="39"/>
        <v>1</v>
      </c>
      <c r="DR56" s="44">
        <f t="shared" ref="DR56:DS56" si="95">(DH56)</f>
        <v>1</v>
      </c>
      <c r="DS56" s="44">
        <f t="shared" si="95"/>
        <v>0</v>
      </c>
      <c r="DT56" s="44">
        <f t="shared" si="41"/>
        <v>10</v>
      </c>
      <c r="DU56" s="44" t="str">
        <f t="shared" si="42"/>
        <v>poor sleep quality</v>
      </c>
      <c r="DV56" s="35">
        <v>3.0</v>
      </c>
      <c r="DW56" s="35" t="s">
        <v>149</v>
      </c>
      <c r="DX56" s="35" t="s">
        <v>146</v>
      </c>
      <c r="DY56" s="35">
        <v>1.0</v>
      </c>
      <c r="DZ56" s="35" t="s">
        <v>131</v>
      </c>
      <c r="EA56" s="35" t="s">
        <v>162</v>
      </c>
      <c r="EB56" s="35" t="s">
        <v>139</v>
      </c>
      <c r="EC56" s="36" t="s">
        <v>133</v>
      </c>
      <c r="ED56" s="36" t="s">
        <v>133</v>
      </c>
      <c r="EE56" s="35" t="s">
        <v>141</v>
      </c>
      <c r="EF56" s="35">
        <f t="shared" si="51"/>
        <v>527</v>
      </c>
      <c r="EG56" s="35">
        <f t="shared" si="52"/>
        <v>527</v>
      </c>
      <c r="EH56" s="47">
        <f t="shared" si="24"/>
        <v>41.52249135</v>
      </c>
    </row>
    <row r="57" ht="18.75" customHeight="1">
      <c r="A57" s="35" t="s">
        <v>302</v>
      </c>
      <c r="B57" s="36" t="s">
        <v>175</v>
      </c>
      <c r="C57" s="37">
        <v>45093.0</v>
      </c>
      <c r="D57" s="48">
        <v>39.0</v>
      </c>
      <c r="E57" s="35" t="s">
        <v>153</v>
      </c>
      <c r="F57" s="35">
        <v>176.0</v>
      </c>
      <c r="G57" s="39">
        <v>83.0</v>
      </c>
      <c r="H57" s="40" t="s">
        <v>131</v>
      </c>
      <c r="I57" s="35">
        <v>2.0</v>
      </c>
      <c r="J57" s="41">
        <v>44490.0</v>
      </c>
      <c r="K57" s="35" t="s">
        <v>131</v>
      </c>
      <c r="L57" s="35">
        <v>1.0</v>
      </c>
      <c r="M57" s="41">
        <v>44013.0</v>
      </c>
      <c r="N57" s="35">
        <v>0.0</v>
      </c>
      <c r="O57" s="41">
        <v>44013.0</v>
      </c>
      <c r="P57" s="35" t="s">
        <v>132</v>
      </c>
      <c r="Q57" s="36" t="s">
        <v>133</v>
      </c>
      <c r="R57" s="36" t="s">
        <v>133</v>
      </c>
      <c r="S57" s="36" t="s">
        <v>133</v>
      </c>
      <c r="T57" s="36" t="s">
        <v>133</v>
      </c>
      <c r="U57" s="36" t="s">
        <v>133</v>
      </c>
      <c r="V57" s="36" t="str">
        <f t="shared" si="2"/>
        <v>Paciente ambulatorio</v>
      </c>
      <c r="W57" s="35" t="s">
        <v>176</v>
      </c>
      <c r="X57" s="35" t="s">
        <v>132</v>
      </c>
      <c r="Y57" s="35">
        <v>1.0</v>
      </c>
      <c r="Z57" s="35">
        <v>1.0</v>
      </c>
      <c r="AA57" s="35">
        <v>2.0</v>
      </c>
      <c r="AB57" s="35">
        <v>2.0</v>
      </c>
      <c r="AC57" s="35">
        <v>1.0</v>
      </c>
      <c r="AD57" s="35">
        <v>1.0</v>
      </c>
      <c r="AE57" s="35">
        <v>1.0</v>
      </c>
      <c r="AF57" s="35">
        <v>1.0</v>
      </c>
      <c r="AG57" s="35">
        <v>3.0</v>
      </c>
      <c r="AH57" s="35">
        <v>1.0</v>
      </c>
      <c r="AI57" s="35">
        <v>1.0</v>
      </c>
      <c r="AJ57" s="35">
        <v>1.0</v>
      </c>
      <c r="AK57" s="39" t="s">
        <v>303</v>
      </c>
      <c r="AL57" s="40" t="s">
        <v>132</v>
      </c>
      <c r="AM57" s="35" t="s">
        <v>132</v>
      </c>
      <c r="AN57" s="35" t="s">
        <v>132</v>
      </c>
      <c r="AO57" s="35" t="s">
        <v>132</v>
      </c>
      <c r="AP57" s="35" t="s">
        <v>132</v>
      </c>
      <c r="AQ57" s="35" t="s">
        <v>132</v>
      </c>
      <c r="AR57" s="35" t="s">
        <v>132</v>
      </c>
      <c r="AS57" s="35" t="s">
        <v>132</v>
      </c>
      <c r="AT57" s="35" t="s">
        <v>132</v>
      </c>
      <c r="AU57" s="35" t="s">
        <v>132</v>
      </c>
      <c r="AV57" s="35" t="s">
        <v>132</v>
      </c>
      <c r="AW57" s="36" t="s">
        <v>133</v>
      </c>
      <c r="AX57" s="35" t="s">
        <v>165</v>
      </c>
      <c r="AY57" s="35">
        <v>20.0</v>
      </c>
      <c r="AZ57" s="36" t="s">
        <v>133</v>
      </c>
      <c r="BA57" s="35">
        <v>12.0</v>
      </c>
      <c r="BB57" s="35" t="s">
        <v>135</v>
      </c>
      <c r="BC57" s="39">
        <v>10.0</v>
      </c>
      <c r="BD57" s="40">
        <v>1.0</v>
      </c>
      <c r="BE57" s="35">
        <v>1.0</v>
      </c>
      <c r="BF57" s="35">
        <v>2.0</v>
      </c>
      <c r="BG57" s="35">
        <v>3.0</v>
      </c>
      <c r="BH57" s="35">
        <v>4.0</v>
      </c>
      <c r="BI57" s="44" t="str">
        <f t="shared" si="3"/>
        <v>11234</v>
      </c>
      <c r="BJ57" s="35">
        <v>90.0</v>
      </c>
      <c r="BK57" s="35">
        <v>3.0</v>
      </c>
      <c r="BL57" s="35">
        <v>4.0</v>
      </c>
      <c r="BM57" s="35">
        <v>3.0</v>
      </c>
      <c r="BN57" s="35">
        <v>2.0</v>
      </c>
      <c r="BO57" s="35">
        <v>4.0</v>
      </c>
      <c r="BP57" s="35">
        <v>4.0</v>
      </c>
      <c r="BQ57" s="35">
        <v>3.0</v>
      </c>
      <c r="BR57" s="35">
        <v>2.0</v>
      </c>
      <c r="BS57" s="35">
        <v>4.0</v>
      </c>
      <c r="BT57" s="35">
        <v>2.0</v>
      </c>
      <c r="BU57" s="44">
        <f t="shared" si="4"/>
        <v>4</v>
      </c>
      <c r="BV57" s="44">
        <f t="shared" si="5"/>
        <v>4</v>
      </c>
      <c r="BW57" s="44">
        <f t="shared" si="53"/>
        <v>33</v>
      </c>
      <c r="BX57" s="44" t="str">
        <f t="shared" si="7"/>
        <v>FATIGA</v>
      </c>
      <c r="BY57" s="35">
        <v>1.0</v>
      </c>
      <c r="BZ57" s="35">
        <v>15.0</v>
      </c>
      <c r="CA57" s="35">
        <v>0.0</v>
      </c>
      <c r="CB57" s="35">
        <v>0.0</v>
      </c>
      <c r="CC57" s="35">
        <v>0.0</v>
      </c>
      <c r="CD57" s="35">
        <v>0.0</v>
      </c>
      <c r="CE57" s="35">
        <v>1.0</v>
      </c>
      <c r="CF57" s="35">
        <v>0.0</v>
      </c>
      <c r="CG57" s="35">
        <v>20.0</v>
      </c>
      <c r="CH57" s="35">
        <v>7.0</v>
      </c>
      <c r="CI57" s="35">
        <v>0.0</v>
      </c>
      <c r="CJ57" s="44">
        <f t="shared" si="27"/>
        <v>7266</v>
      </c>
      <c r="CK57" s="44">
        <f t="shared" si="28"/>
        <v>2</v>
      </c>
      <c r="CL57" s="44" t="b">
        <f t="shared" si="29"/>
        <v>0</v>
      </c>
      <c r="CM57" s="44" t="b">
        <f t="shared" si="30"/>
        <v>0</v>
      </c>
      <c r="CN57" s="45" t="str">
        <f t="shared" si="31"/>
        <v>Nivel de actividad física bajo</v>
      </c>
      <c r="CO57" s="51">
        <v>0.9375</v>
      </c>
      <c r="CP57" s="35">
        <v>60.0</v>
      </c>
      <c r="CQ57" s="44">
        <f t="shared" si="32"/>
        <v>2</v>
      </c>
      <c r="CR57" s="35">
        <v>4.0</v>
      </c>
      <c r="CS57" s="35">
        <v>30.0</v>
      </c>
      <c r="CT57" s="35">
        <v>6.0</v>
      </c>
      <c r="CU57" s="35">
        <v>4.0</v>
      </c>
      <c r="CV57" s="35">
        <v>3.0</v>
      </c>
      <c r="CW57" s="35">
        <v>3.0</v>
      </c>
      <c r="CX57" s="35">
        <v>2.0</v>
      </c>
      <c r="CY57" s="35">
        <v>1.0</v>
      </c>
      <c r="CZ57" s="35">
        <v>2.0</v>
      </c>
      <c r="DA57" s="35">
        <v>1.0</v>
      </c>
      <c r="DB57" s="35">
        <v>2.0</v>
      </c>
      <c r="DC57" s="35">
        <v>1.0</v>
      </c>
      <c r="DD57" s="35">
        <v>1.0</v>
      </c>
      <c r="DE57" s="36" t="s">
        <v>133</v>
      </c>
      <c r="DF57" s="35" t="s">
        <v>304</v>
      </c>
      <c r="DG57" s="53">
        <f t="shared" si="55"/>
        <v>13</v>
      </c>
      <c r="DH57" s="35">
        <v>2.0</v>
      </c>
      <c r="DI57" s="35">
        <v>0.0</v>
      </c>
      <c r="DJ57" s="35">
        <v>0.0</v>
      </c>
      <c r="DK57" s="35">
        <v>3.0</v>
      </c>
      <c r="DL57" s="46">
        <f t="shared" si="34"/>
        <v>66.66666667</v>
      </c>
      <c r="DM57" s="44">
        <f t="shared" si="35"/>
        <v>3</v>
      </c>
      <c r="DN57" s="44">
        <f t="shared" si="36"/>
        <v>2</v>
      </c>
      <c r="DO57" s="44">
        <f t="shared" si="37"/>
        <v>3</v>
      </c>
      <c r="DP57" s="44">
        <f t="shared" si="38"/>
        <v>2</v>
      </c>
      <c r="DQ57" s="44">
        <f t="shared" si="39"/>
        <v>2</v>
      </c>
      <c r="DR57" s="44">
        <f t="shared" ref="DR57:DS57" si="96">(DH57)</f>
        <v>2</v>
      </c>
      <c r="DS57" s="44">
        <f t="shared" si="96"/>
        <v>0</v>
      </c>
      <c r="DT57" s="44">
        <f t="shared" si="41"/>
        <v>14</v>
      </c>
      <c r="DU57" s="44" t="str">
        <f t="shared" si="42"/>
        <v>poor sleep quality</v>
      </c>
      <c r="DV57" s="35">
        <v>3.0</v>
      </c>
      <c r="DW57" s="35" t="s">
        <v>149</v>
      </c>
      <c r="DX57" s="35" t="s">
        <v>146</v>
      </c>
      <c r="DY57" s="35">
        <v>2.0</v>
      </c>
      <c r="DZ57" s="35" t="s">
        <v>131</v>
      </c>
      <c r="EA57" s="35" t="s">
        <v>202</v>
      </c>
      <c r="EB57" s="35" t="s">
        <v>139</v>
      </c>
      <c r="EC57" s="36" t="s">
        <v>133</v>
      </c>
      <c r="ED57" s="35" t="s">
        <v>131</v>
      </c>
      <c r="EE57" s="35" t="s">
        <v>141</v>
      </c>
      <c r="EF57" s="35">
        <f t="shared" si="51"/>
        <v>1080</v>
      </c>
      <c r="EG57" s="35">
        <f t="shared" si="52"/>
        <v>1080</v>
      </c>
      <c r="EH57" s="47">
        <f t="shared" si="24"/>
        <v>26.79493802</v>
      </c>
    </row>
    <row r="58" ht="18.75" customHeight="1">
      <c r="A58" s="35" t="s">
        <v>305</v>
      </c>
      <c r="B58" s="36" t="s">
        <v>175</v>
      </c>
      <c r="C58" s="37">
        <v>45234.0</v>
      </c>
      <c r="D58" s="48">
        <v>54.0</v>
      </c>
      <c r="E58" s="35" t="s">
        <v>130</v>
      </c>
      <c r="F58" s="35">
        <v>172.0</v>
      </c>
      <c r="G58" s="39">
        <v>89.0</v>
      </c>
      <c r="H58" s="40" t="s">
        <v>131</v>
      </c>
      <c r="I58" s="35">
        <v>3.0</v>
      </c>
      <c r="J58" s="41">
        <v>44593.0</v>
      </c>
      <c r="K58" s="35" t="s">
        <v>131</v>
      </c>
      <c r="L58" s="35">
        <v>2.0</v>
      </c>
      <c r="M58" s="41">
        <v>43922.0</v>
      </c>
      <c r="N58" s="35">
        <v>0.0</v>
      </c>
      <c r="O58" s="41">
        <v>44866.0</v>
      </c>
      <c r="P58" s="35" t="s">
        <v>132</v>
      </c>
      <c r="Q58" s="36" t="s">
        <v>133</v>
      </c>
      <c r="R58" s="36" t="s">
        <v>133</v>
      </c>
      <c r="S58" s="36" t="s">
        <v>133</v>
      </c>
      <c r="T58" s="36" t="s">
        <v>133</v>
      </c>
      <c r="U58" s="36" t="s">
        <v>133</v>
      </c>
      <c r="V58" s="36" t="str">
        <f t="shared" si="2"/>
        <v>Paciente ambulatorio</v>
      </c>
      <c r="W58" s="35" t="s">
        <v>190</v>
      </c>
      <c r="X58" s="35" t="s">
        <v>132</v>
      </c>
      <c r="Y58" s="35">
        <v>1.0</v>
      </c>
      <c r="Z58" s="35">
        <v>1.0</v>
      </c>
      <c r="AA58" s="35">
        <v>1.0</v>
      </c>
      <c r="AB58" s="35">
        <v>1.0</v>
      </c>
      <c r="AC58" s="35">
        <v>1.0</v>
      </c>
      <c r="AD58" s="35">
        <v>1.0</v>
      </c>
      <c r="AE58" s="35">
        <v>1.0</v>
      </c>
      <c r="AF58" s="35">
        <v>3.0</v>
      </c>
      <c r="AG58" s="35">
        <v>3.0</v>
      </c>
      <c r="AH58" s="35">
        <v>1.0</v>
      </c>
      <c r="AI58" s="35">
        <v>1.0</v>
      </c>
      <c r="AJ58" s="35">
        <v>1.0</v>
      </c>
      <c r="AK58" s="39" t="s">
        <v>306</v>
      </c>
      <c r="AL58" s="40" t="s">
        <v>132</v>
      </c>
      <c r="AM58" s="35" t="s">
        <v>132</v>
      </c>
      <c r="AN58" s="35" t="s">
        <v>132</v>
      </c>
      <c r="AO58" s="35" t="s">
        <v>132</v>
      </c>
      <c r="AP58" s="35" t="s">
        <v>132</v>
      </c>
      <c r="AQ58" s="35" t="s">
        <v>132</v>
      </c>
      <c r="AR58" s="35" t="s">
        <v>132</v>
      </c>
      <c r="AS58" s="35" t="s">
        <v>132</v>
      </c>
      <c r="AT58" s="35" t="s">
        <v>132</v>
      </c>
      <c r="AU58" s="35" t="s">
        <v>132</v>
      </c>
      <c r="AV58" s="35" t="s">
        <v>131</v>
      </c>
      <c r="AW58" s="35" t="s">
        <v>307</v>
      </c>
      <c r="AX58" s="35" t="s">
        <v>131</v>
      </c>
      <c r="AY58" s="35">
        <v>10.0</v>
      </c>
      <c r="AZ58" s="35">
        <v>2.0</v>
      </c>
      <c r="BA58" s="36" t="s">
        <v>133</v>
      </c>
      <c r="BB58" s="35" t="s">
        <v>135</v>
      </c>
      <c r="BC58" s="39">
        <v>6.0</v>
      </c>
      <c r="BD58" s="40">
        <v>2.0</v>
      </c>
      <c r="BE58" s="35">
        <v>1.0</v>
      </c>
      <c r="BF58" s="35">
        <v>2.0</v>
      </c>
      <c r="BG58" s="35">
        <v>2.0</v>
      </c>
      <c r="BH58" s="35">
        <v>2.0</v>
      </c>
      <c r="BI58" s="44" t="str">
        <f t="shared" si="3"/>
        <v>21222</v>
      </c>
      <c r="BJ58" s="35">
        <v>60.0</v>
      </c>
      <c r="BK58" s="35">
        <v>2.0</v>
      </c>
      <c r="BL58" s="35">
        <v>2.0</v>
      </c>
      <c r="BM58" s="35">
        <v>2.0</v>
      </c>
      <c r="BN58" s="35">
        <v>2.0</v>
      </c>
      <c r="BO58" s="35">
        <v>3.0</v>
      </c>
      <c r="BP58" s="35">
        <v>3.0</v>
      </c>
      <c r="BQ58" s="35">
        <v>2.0</v>
      </c>
      <c r="BR58" s="35">
        <v>3.0</v>
      </c>
      <c r="BS58" s="35">
        <v>2.0</v>
      </c>
      <c r="BT58" s="35">
        <v>3.0</v>
      </c>
      <c r="BU58" s="44">
        <f t="shared" si="4"/>
        <v>4</v>
      </c>
      <c r="BV58" s="44">
        <f t="shared" si="5"/>
        <v>3</v>
      </c>
      <c r="BW58" s="44">
        <f t="shared" si="53"/>
        <v>25</v>
      </c>
      <c r="BX58" s="44" t="str">
        <f t="shared" si="7"/>
        <v>FATIGA</v>
      </c>
      <c r="BY58" s="35">
        <v>1.0</v>
      </c>
      <c r="BZ58" s="35">
        <v>0.0</v>
      </c>
      <c r="CA58" s="35">
        <v>40.0</v>
      </c>
      <c r="CB58" s="35">
        <v>0.0</v>
      </c>
      <c r="CC58" s="35">
        <v>0.0</v>
      </c>
      <c r="CD58" s="35">
        <v>0.0</v>
      </c>
      <c r="CE58" s="35">
        <v>2.0</v>
      </c>
      <c r="CF58" s="35">
        <v>8.0</v>
      </c>
      <c r="CG58" s="35">
        <v>0.0</v>
      </c>
      <c r="CH58" s="35">
        <v>0.0</v>
      </c>
      <c r="CI58" s="35">
        <v>20.0</v>
      </c>
      <c r="CJ58" s="44">
        <f t="shared" si="27"/>
        <v>3488</v>
      </c>
      <c r="CK58" s="44">
        <f t="shared" si="28"/>
        <v>3</v>
      </c>
      <c r="CL58" s="44" t="b">
        <f t="shared" si="29"/>
        <v>0</v>
      </c>
      <c r="CM58" s="44" t="b">
        <f t="shared" si="30"/>
        <v>0</v>
      </c>
      <c r="CN58" s="45" t="str">
        <f t="shared" si="31"/>
        <v>Nivel de actividad física bajo</v>
      </c>
      <c r="CO58" s="51">
        <v>0.9375</v>
      </c>
      <c r="CP58" s="35">
        <v>30.0</v>
      </c>
      <c r="CQ58" s="44">
        <f t="shared" si="32"/>
        <v>1</v>
      </c>
      <c r="CR58" s="35">
        <v>6.0</v>
      </c>
      <c r="CS58" s="35">
        <v>30.0</v>
      </c>
      <c r="CT58" s="35">
        <v>8.0</v>
      </c>
      <c r="CU58" s="35">
        <v>3.0</v>
      </c>
      <c r="CV58" s="35">
        <v>3.0</v>
      </c>
      <c r="CW58" s="35">
        <v>3.0</v>
      </c>
      <c r="CX58" s="35">
        <v>3.0</v>
      </c>
      <c r="CY58" s="35">
        <v>2.0</v>
      </c>
      <c r="CZ58" s="35">
        <v>0.0</v>
      </c>
      <c r="DA58" s="35">
        <v>0.0</v>
      </c>
      <c r="DB58" s="35">
        <v>3.0</v>
      </c>
      <c r="DC58" s="35">
        <v>0.0</v>
      </c>
      <c r="DD58" s="35">
        <v>2.0</v>
      </c>
      <c r="DE58" s="35">
        <v>3.0</v>
      </c>
      <c r="DF58" s="35" t="s">
        <v>193</v>
      </c>
      <c r="DG58" s="53">
        <f t="shared" si="55"/>
        <v>16</v>
      </c>
      <c r="DH58" s="35">
        <v>2.0</v>
      </c>
      <c r="DI58" s="35">
        <v>3.0</v>
      </c>
      <c r="DJ58" s="35">
        <v>2.0</v>
      </c>
      <c r="DK58" s="35">
        <v>2.0</v>
      </c>
      <c r="DL58" s="46">
        <f t="shared" si="34"/>
        <v>37.5</v>
      </c>
      <c r="DM58" s="44">
        <f t="shared" si="35"/>
        <v>3</v>
      </c>
      <c r="DN58" s="44">
        <f t="shared" si="36"/>
        <v>2</v>
      </c>
      <c r="DO58" s="44">
        <f t="shared" si="37"/>
        <v>2</v>
      </c>
      <c r="DP58" s="44">
        <f t="shared" si="38"/>
        <v>2</v>
      </c>
      <c r="DQ58" s="44">
        <f t="shared" si="39"/>
        <v>3</v>
      </c>
      <c r="DR58" s="44">
        <f t="shared" ref="DR58:DS58" si="97">(DH58)</f>
        <v>2</v>
      </c>
      <c r="DS58" s="44">
        <f t="shared" si="97"/>
        <v>3</v>
      </c>
      <c r="DT58" s="44">
        <f t="shared" si="41"/>
        <v>17</v>
      </c>
      <c r="DU58" s="44" t="str">
        <f t="shared" si="42"/>
        <v>poor sleep quality</v>
      </c>
      <c r="DV58" s="36" t="s">
        <v>133</v>
      </c>
      <c r="DW58" s="35" t="s">
        <v>308</v>
      </c>
      <c r="DX58" s="35" t="s">
        <v>146</v>
      </c>
      <c r="DY58" s="35">
        <v>1.0</v>
      </c>
      <c r="DZ58" s="35" t="s">
        <v>131</v>
      </c>
      <c r="EA58" s="35" t="s">
        <v>162</v>
      </c>
      <c r="EB58" s="35" t="s">
        <v>139</v>
      </c>
      <c r="EC58" s="36" t="s">
        <v>133</v>
      </c>
      <c r="ED58" s="35" t="s">
        <v>131</v>
      </c>
      <c r="EE58" s="35" t="s">
        <v>158</v>
      </c>
      <c r="EF58" s="35">
        <f t="shared" si="51"/>
        <v>1312</v>
      </c>
      <c r="EG58" s="35">
        <f t="shared" si="52"/>
        <v>368</v>
      </c>
      <c r="EH58" s="47">
        <f t="shared" si="24"/>
        <v>30.0838291</v>
      </c>
    </row>
    <row r="59" ht="17.25" customHeight="1">
      <c r="A59" s="35" t="s">
        <v>309</v>
      </c>
      <c r="B59" s="36" t="s">
        <v>175</v>
      </c>
      <c r="C59" s="37">
        <v>45093.0</v>
      </c>
      <c r="D59" s="48">
        <v>52.0</v>
      </c>
      <c r="E59" s="35" t="s">
        <v>130</v>
      </c>
      <c r="F59" s="35">
        <v>170.0</v>
      </c>
      <c r="G59" s="39">
        <v>75.0</v>
      </c>
      <c r="H59" s="40" t="s">
        <v>131</v>
      </c>
      <c r="I59" s="35">
        <v>4.0</v>
      </c>
      <c r="J59" s="41">
        <v>44896.0</v>
      </c>
      <c r="K59" s="35" t="s">
        <v>131</v>
      </c>
      <c r="L59" s="35">
        <v>1.0</v>
      </c>
      <c r="M59" s="41">
        <v>44682.0</v>
      </c>
      <c r="N59" s="35">
        <v>3.0</v>
      </c>
      <c r="O59" s="41">
        <v>44682.0</v>
      </c>
      <c r="P59" s="35" t="s">
        <v>132</v>
      </c>
      <c r="Q59" s="36" t="s">
        <v>133</v>
      </c>
      <c r="R59" s="36" t="s">
        <v>133</v>
      </c>
      <c r="S59" s="36" t="s">
        <v>133</v>
      </c>
      <c r="T59" s="36" t="s">
        <v>133</v>
      </c>
      <c r="U59" s="36" t="s">
        <v>133</v>
      </c>
      <c r="V59" s="36" t="str">
        <f t="shared" si="2"/>
        <v>Paciente ambulatorio</v>
      </c>
      <c r="W59" s="35" t="s">
        <v>183</v>
      </c>
      <c r="X59" s="35" t="s">
        <v>132</v>
      </c>
      <c r="Y59" s="35">
        <v>1.0</v>
      </c>
      <c r="Z59" s="35">
        <v>1.0</v>
      </c>
      <c r="AA59" s="35">
        <v>2.0</v>
      </c>
      <c r="AB59" s="35">
        <v>3.0</v>
      </c>
      <c r="AC59" s="35">
        <v>3.0</v>
      </c>
      <c r="AD59" s="35">
        <v>1.0</v>
      </c>
      <c r="AE59" s="35">
        <v>2.0</v>
      </c>
      <c r="AF59" s="35">
        <v>1.0</v>
      </c>
      <c r="AG59" s="35">
        <v>1.0</v>
      </c>
      <c r="AH59" s="35">
        <v>3.0</v>
      </c>
      <c r="AI59" s="35">
        <v>1.0</v>
      </c>
      <c r="AJ59" s="35">
        <v>1.0</v>
      </c>
      <c r="AK59" s="39" t="s">
        <v>306</v>
      </c>
      <c r="AL59" s="40" t="s">
        <v>132</v>
      </c>
      <c r="AM59" s="35" t="s">
        <v>132</v>
      </c>
      <c r="AN59" s="35" t="s">
        <v>132</v>
      </c>
      <c r="AO59" s="35" t="s">
        <v>132</v>
      </c>
      <c r="AP59" s="35" t="s">
        <v>132</v>
      </c>
      <c r="AQ59" s="35" t="s">
        <v>132</v>
      </c>
      <c r="AR59" s="35" t="s">
        <v>132</v>
      </c>
      <c r="AS59" s="35" t="s">
        <v>132</v>
      </c>
      <c r="AT59" s="35" t="s">
        <v>132</v>
      </c>
      <c r="AU59" s="35" t="s">
        <v>132</v>
      </c>
      <c r="AV59" s="35" t="s">
        <v>131</v>
      </c>
      <c r="AW59" s="35" t="s">
        <v>209</v>
      </c>
      <c r="AX59" s="35" t="s">
        <v>132</v>
      </c>
      <c r="AY59" s="36" t="s">
        <v>133</v>
      </c>
      <c r="AZ59" s="36" t="s">
        <v>133</v>
      </c>
      <c r="BA59" s="36" t="s">
        <v>133</v>
      </c>
      <c r="BB59" s="35" t="s">
        <v>145</v>
      </c>
      <c r="BC59" s="36" t="s">
        <v>133</v>
      </c>
      <c r="BD59" s="40">
        <v>1.0</v>
      </c>
      <c r="BE59" s="35">
        <v>1.0</v>
      </c>
      <c r="BF59" s="35">
        <v>2.0</v>
      </c>
      <c r="BG59" s="35">
        <v>2.0</v>
      </c>
      <c r="BH59" s="35">
        <v>2.0</v>
      </c>
      <c r="BI59" s="44" t="str">
        <f t="shared" si="3"/>
        <v>11222</v>
      </c>
      <c r="BJ59" s="35">
        <v>70.0</v>
      </c>
      <c r="BK59" s="35">
        <v>4.0</v>
      </c>
      <c r="BL59" s="35">
        <v>3.0</v>
      </c>
      <c r="BM59" s="35">
        <v>2.0</v>
      </c>
      <c r="BN59" s="35">
        <v>4.0</v>
      </c>
      <c r="BO59" s="35">
        <v>4.0</v>
      </c>
      <c r="BP59" s="35">
        <v>2.0</v>
      </c>
      <c r="BQ59" s="35">
        <v>2.0</v>
      </c>
      <c r="BR59" s="35">
        <v>1.0</v>
      </c>
      <c r="BS59" s="35">
        <v>2.0</v>
      </c>
      <c r="BT59" s="35">
        <v>3.0</v>
      </c>
      <c r="BU59" s="44">
        <f t="shared" si="4"/>
        <v>2</v>
      </c>
      <c r="BV59" s="44">
        <f t="shared" si="5"/>
        <v>3</v>
      </c>
      <c r="BW59" s="44">
        <f t="shared" si="53"/>
        <v>26</v>
      </c>
      <c r="BX59" s="44" t="str">
        <f t="shared" si="7"/>
        <v>FATIGA</v>
      </c>
      <c r="BY59" s="35">
        <v>0.0</v>
      </c>
      <c r="BZ59" s="35">
        <v>0.0</v>
      </c>
      <c r="CA59" s="35">
        <v>0.0</v>
      </c>
      <c r="CB59" s="35">
        <v>0.0</v>
      </c>
      <c r="CC59" s="35">
        <v>0.0</v>
      </c>
      <c r="CD59" s="35">
        <v>0.0</v>
      </c>
      <c r="CE59" s="35">
        <v>7.0</v>
      </c>
      <c r="CF59" s="35">
        <v>0.0</v>
      </c>
      <c r="CG59" s="35">
        <v>30.0</v>
      </c>
      <c r="CH59" s="35">
        <v>3.0</v>
      </c>
      <c r="CI59" s="35">
        <v>0.0</v>
      </c>
      <c r="CJ59" s="44">
        <f t="shared" si="27"/>
        <v>693</v>
      </c>
      <c r="CK59" s="44">
        <f t="shared" si="28"/>
        <v>7</v>
      </c>
      <c r="CL59" s="44" t="b">
        <f t="shared" si="29"/>
        <v>0</v>
      </c>
      <c r="CM59" s="44" t="b">
        <f t="shared" si="30"/>
        <v>0</v>
      </c>
      <c r="CN59" s="45" t="str">
        <f t="shared" si="31"/>
        <v>Nivel de actividad física bajo</v>
      </c>
      <c r="CO59" s="51">
        <v>0.9791666666666666</v>
      </c>
      <c r="CP59" s="35">
        <v>15.0</v>
      </c>
      <c r="CQ59" s="44">
        <f t="shared" si="32"/>
        <v>0</v>
      </c>
      <c r="CR59" s="35">
        <v>7.0</v>
      </c>
      <c r="CS59" s="35">
        <v>0.0</v>
      </c>
      <c r="CT59" s="35">
        <v>7.5</v>
      </c>
      <c r="CU59" s="35">
        <v>7.0</v>
      </c>
      <c r="CV59" s="35">
        <v>0.0</v>
      </c>
      <c r="CW59" s="35">
        <v>0.0</v>
      </c>
      <c r="CX59" s="35">
        <v>2.0</v>
      </c>
      <c r="CY59" s="35">
        <v>0.0</v>
      </c>
      <c r="CZ59" s="35">
        <v>0.0</v>
      </c>
      <c r="DA59" s="35">
        <v>1.0</v>
      </c>
      <c r="DB59" s="35">
        <v>0.0</v>
      </c>
      <c r="DC59" s="35">
        <v>0.0</v>
      </c>
      <c r="DD59" s="35">
        <v>0.0</v>
      </c>
      <c r="DE59" s="35">
        <v>3.0</v>
      </c>
      <c r="DF59" s="35" t="s">
        <v>310</v>
      </c>
      <c r="DG59" s="53">
        <f t="shared" si="55"/>
        <v>6</v>
      </c>
      <c r="DH59" s="35">
        <v>1.0</v>
      </c>
      <c r="DI59" s="35">
        <v>0.0</v>
      </c>
      <c r="DJ59" s="35">
        <v>2.0</v>
      </c>
      <c r="DK59" s="35">
        <v>1.0</v>
      </c>
      <c r="DL59" s="46">
        <f t="shared" si="34"/>
        <v>93.33333333</v>
      </c>
      <c r="DM59" s="44">
        <f t="shared" si="35"/>
        <v>0</v>
      </c>
      <c r="DN59" s="44">
        <f t="shared" si="36"/>
        <v>1</v>
      </c>
      <c r="DO59" s="44">
        <f t="shared" si="37"/>
        <v>0</v>
      </c>
      <c r="DP59" s="44">
        <f t="shared" si="38"/>
        <v>2</v>
      </c>
      <c r="DQ59" s="44">
        <f t="shared" si="39"/>
        <v>0</v>
      </c>
      <c r="DR59" s="44">
        <f t="shared" ref="DR59:DS59" si="98">(DH59)</f>
        <v>1</v>
      </c>
      <c r="DS59" s="44">
        <f t="shared" si="98"/>
        <v>0</v>
      </c>
      <c r="DT59" s="44">
        <f t="shared" si="41"/>
        <v>4</v>
      </c>
      <c r="DU59" s="44" t="str">
        <f t="shared" si="42"/>
        <v>good sleep quality</v>
      </c>
      <c r="DV59" s="35">
        <v>2.0</v>
      </c>
      <c r="DW59" s="35" t="s">
        <v>149</v>
      </c>
      <c r="DX59" s="35" t="s">
        <v>146</v>
      </c>
      <c r="DY59" s="35">
        <v>2.0</v>
      </c>
      <c r="DZ59" s="35" t="s">
        <v>132</v>
      </c>
      <c r="EA59" s="35" t="s">
        <v>157</v>
      </c>
      <c r="EB59" s="35" t="s">
        <v>139</v>
      </c>
      <c r="EC59" s="36" t="s">
        <v>133</v>
      </c>
      <c r="ED59" s="35" t="s">
        <v>132</v>
      </c>
      <c r="EE59" s="35" t="s">
        <v>141</v>
      </c>
      <c r="EF59" s="35">
        <f t="shared" si="51"/>
        <v>411</v>
      </c>
      <c r="EG59" s="35">
        <f t="shared" si="52"/>
        <v>411</v>
      </c>
      <c r="EH59" s="47">
        <f t="shared" si="24"/>
        <v>25.95155709</v>
      </c>
    </row>
    <row r="60" ht="15.75" customHeight="1">
      <c r="A60" s="35" t="s">
        <v>311</v>
      </c>
      <c r="B60" s="36" t="s">
        <v>175</v>
      </c>
      <c r="C60" s="37">
        <v>45108.0</v>
      </c>
      <c r="D60" s="48">
        <v>40.0</v>
      </c>
      <c r="E60" s="35" t="s">
        <v>153</v>
      </c>
      <c r="F60" s="35">
        <v>158.0</v>
      </c>
      <c r="G60" s="39">
        <v>70.0</v>
      </c>
      <c r="H60" s="40" t="s">
        <v>131</v>
      </c>
      <c r="I60" s="35">
        <v>3.0</v>
      </c>
      <c r="J60" s="41">
        <v>44669.0</v>
      </c>
      <c r="K60" s="35" t="s">
        <v>131</v>
      </c>
      <c r="L60" s="35">
        <v>2.0</v>
      </c>
      <c r="M60" s="41">
        <v>44136.0</v>
      </c>
      <c r="N60" s="35">
        <v>0.0</v>
      </c>
      <c r="O60" s="41">
        <v>44565.0</v>
      </c>
      <c r="P60" s="35" t="s">
        <v>132</v>
      </c>
      <c r="Q60" s="36" t="s">
        <v>133</v>
      </c>
      <c r="R60" s="36" t="s">
        <v>133</v>
      </c>
      <c r="S60" s="36" t="s">
        <v>133</v>
      </c>
      <c r="T60" s="36" t="s">
        <v>133</v>
      </c>
      <c r="U60" s="36" t="s">
        <v>133</v>
      </c>
      <c r="V60" s="36" t="str">
        <f t="shared" si="2"/>
        <v>Paciente ambulatorio</v>
      </c>
      <c r="W60" s="35" t="s">
        <v>176</v>
      </c>
      <c r="X60" s="35" t="s">
        <v>132</v>
      </c>
      <c r="Y60" s="35">
        <v>1.0</v>
      </c>
      <c r="Z60" s="35">
        <v>2.0</v>
      </c>
      <c r="AA60" s="35">
        <v>2.0</v>
      </c>
      <c r="AB60" s="35">
        <v>1.0</v>
      </c>
      <c r="AC60" s="35">
        <v>2.0</v>
      </c>
      <c r="AD60" s="35">
        <v>1.0</v>
      </c>
      <c r="AE60" s="35">
        <v>1.0</v>
      </c>
      <c r="AF60" s="35">
        <v>3.0</v>
      </c>
      <c r="AG60" s="35">
        <v>3.0</v>
      </c>
      <c r="AH60" s="35">
        <v>3.0</v>
      </c>
      <c r="AI60" s="35">
        <v>1.0</v>
      </c>
      <c r="AJ60" s="35">
        <v>1.0</v>
      </c>
      <c r="AK60" s="39" t="s">
        <v>312</v>
      </c>
      <c r="AL60" s="40" t="s">
        <v>131</v>
      </c>
      <c r="AM60" s="35" t="s">
        <v>132</v>
      </c>
      <c r="AN60" s="35" t="s">
        <v>132</v>
      </c>
      <c r="AO60" s="35" t="s">
        <v>132</v>
      </c>
      <c r="AP60" s="35" t="s">
        <v>132</v>
      </c>
      <c r="AQ60" s="35" t="s">
        <v>132</v>
      </c>
      <c r="AR60" s="35" t="s">
        <v>132</v>
      </c>
      <c r="AS60" s="35" t="s">
        <v>131</v>
      </c>
      <c r="AT60" s="35" t="s">
        <v>132</v>
      </c>
      <c r="AU60" s="35" t="s">
        <v>132</v>
      </c>
      <c r="AV60" s="35" t="s">
        <v>132</v>
      </c>
      <c r="AW60" s="36" t="s">
        <v>133</v>
      </c>
      <c r="AX60" s="35" t="s">
        <v>165</v>
      </c>
      <c r="AY60" s="36" t="s">
        <v>133</v>
      </c>
      <c r="AZ60" s="36" t="s">
        <v>133</v>
      </c>
      <c r="BA60" s="35">
        <v>13.0</v>
      </c>
      <c r="BB60" s="35" t="s">
        <v>145</v>
      </c>
      <c r="BC60" s="36" t="s">
        <v>133</v>
      </c>
      <c r="BD60" s="40">
        <v>1.0</v>
      </c>
      <c r="BE60" s="35">
        <v>1.0</v>
      </c>
      <c r="BF60" s="35">
        <v>1.0</v>
      </c>
      <c r="BG60" s="35">
        <v>1.0</v>
      </c>
      <c r="BH60" s="35">
        <v>2.0</v>
      </c>
      <c r="BI60" s="44" t="str">
        <f t="shared" si="3"/>
        <v>11112</v>
      </c>
      <c r="BJ60" s="35">
        <v>75.0</v>
      </c>
      <c r="BK60" s="35">
        <v>1.0</v>
      </c>
      <c r="BL60" s="35">
        <v>2.0</v>
      </c>
      <c r="BM60" s="35">
        <v>1.0</v>
      </c>
      <c r="BN60" s="35">
        <v>2.0</v>
      </c>
      <c r="BO60" s="35">
        <v>2.0</v>
      </c>
      <c r="BP60" s="35">
        <v>2.0</v>
      </c>
      <c r="BQ60" s="35">
        <v>1.0</v>
      </c>
      <c r="BR60" s="35">
        <v>2.0</v>
      </c>
      <c r="BS60" s="35">
        <v>2.0</v>
      </c>
      <c r="BT60" s="35">
        <v>4.0</v>
      </c>
      <c r="BU60" s="44">
        <f t="shared" si="4"/>
        <v>4</v>
      </c>
      <c r="BV60" s="44">
        <f t="shared" si="5"/>
        <v>2</v>
      </c>
      <c r="BW60" s="44">
        <f t="shared" si="53"/>
        <v>19</v>
      </c>
      <c r="BX60" s="44" t="str">
        <f t="shared" si="7"/>
        <v>NO HAY FATIGA</v>
      </c>
      <c r="BY60" s="35">
        <v>0.0</v>
      </c>
      <c r="BZ60" s="35">
        <v>0.0</v>
      </c>
      <c r="CA60" s="35">
        <v>0.0</v>
      </c>
      <c r="CB60" s="35">
        <v>0.0</v>
      </c>
      <c r="CC60" s="35">
        <v>0.0</v>
      </c>
      <c r="CD60" s="35">
        <v>0.0</v>
      </c>
      <c r="CE60" s="35">
        <v>7.0</v>
      </c>
      <c r="CF60" s="35">
        <v>0.0</v>
      </c>
      <c r="CG60" s="35">
        <v>30.0</v>
      </c>
      <c r="CH60" s="35">
        <v>2.0</v>
      </c>
      <c r="CI60" s="35">
        <v>0.0</v>
      </c>
      <c r="CJ60" s="44">
        <f t="shared" si="27"/>
        <v>693</v>
      </c>
      <c r="CK60" s="44">
        <f t="shared" si="28"/>
        <v>7</v>
      </c>
      <c r="CL60" s="44" t="b">
        <f t="shared" si="29"/>
        <v>0</v>
      </c>
      <c r="CM60" s="44" t="b">
        <f t="shared" si="30"/>
        <v>0</v>
      </c>
      <c r="CN60" s="45" t="str">
        <f t="shared" si="31"/>
        <v>Nivel de actividad física bajo</v>
      </c>
      <c r="CO60" s="35">
        <v>23.0</v>
      </c>
      <c r="CP60" s="35">
        <v>15.0</v>
      </c>
      <c r="CQ60" s="44">
        <f t="shared" si="32"/>
        <v>0</v>
      </c>
      <c r="CR60" s="35">
        <v>5.0</v>
      </c>
      <c r="CS60" s="35">
        <v>0.0</v>
      </c>
      <c r="CT60" s="35">
        <v>6.0</v>
      </c>
      <c r="CU60" s="35">
        <v>5.0</v>
      </c>
      <c r="CV60" s="35">
        <v>0.0</v>
      </c>
      <c r="CW60" s="35">
        <v>2.0</v>
      </c>
      <c r="CX60" s="35">
        <v>2.0</v>
      </c>
      <c r="CY60" s="35">
        <v>0.0</v>
      </c>
      <c r="CZ60" s="35">
        <v>0.0</v>
      </c>
      <c r="DA60" s="35">
        <v>2.0</v>
      </c>
      <c r="DB60" s="35">
        <v>0.0</v>
      </c>
      <c r="DC60" s="35">
        <v>0.0</v>
      </c>
      <c r="DD60" s="35">
        <v>0.0</v>
      </c>
      <c r="DE60" s="35">
        <v>0.0</v>
      </c>
      <c r="DF60" s="36" t="s">
        <v>133</v>
      </c>
      <c r="DG60" s="53">
        <f t="shared" si="55"/>
        <v>6</v>
      </c>
      <c r="DH60" s="35">
        <v>2.0</v>
      </c>
      <c r="DI60" s="35">
        <v>0.0</v>
      </c>
      <c r="DJ60" s="35">
        <v>3.0</v>
      </c>
      <c r="DK60" s="35">
        <v>0.0</v>
      </c>
      <c r="DL60" s="46">
        <f t="shared" si="34"/>
        <v>83.33333333</v>
      </c>
      <c r="DM60" s="44">
        <f t="shared" si="35"/>
        <v>2</v>
      </c>
      <c r="DN60" s="44">
        <f t="shared" si="36"/>
        <v>1</v>
      </c>
      <c r="DO60" s="44">
        <f t="shared" si="37"/>
        <v>0</v>
      </c>
      <c r="DP60" s="44">
        <f t="shared" si="38"/>
        <v>2</v>
      </c>
      <c r="DQ60" s="44">
        <f t="shared" si="39"/>
        <v>1</v>
      </c>
      <c r="DR60" s="44">
        <f t="shared" ref="DR60:DS60" si="99">(DH60)</f>
        <v>2</v>
      </c>
      <c r="DS60" s="44">
        <f t="shared" si="99"/>
        <v>0</v>
      </c>
      <c r="DT60" s="44">
        <f t="shared" si="41"/>
        <v>8</v>
      </c>
      <c r="DU60" s="44" t="str">
        <f t="shared" si="42"/>
        <v>poor sleep quality</v>
      </c>
      <c r="DV60" s="35">
        <v>3.0</v>
      </c>
      <c r="DW60" s="35" t="s">
        <v>149</v>
      </c>
      <c r="DX60" s="35" t="s">
        <v>146</v>
      </c>
      <c r="DY60" s="35">
        <v>1.0</v>
      </c>
      <c r="DZ60" s="35" t="s">
        <v>131</v>
      </c>
      <c r="EA60" s="35" t="s">
        <v>167</v>
      </c>
      <c r="EB60" s="35" t="s">
        <v>219</v>
      </c>
      <c r="EC60" s="35" t="s">
        <v>131</v>
      </c>
      <c r="ED60" s="35" t="s">
        <v>132</v>
      </c>
      <c r="EE60" s="35" t="s">
        <v>158</v>
      </c>
      <c r="EF60" s="35">
        <f t="shared" si="51"/>
        <v>972</v>
      </c>
      <c r="EG60" s="35">
        <f t="shared" si="52"/>
        <v>543</v>
      </c>
      <c r="EH60" s="47">
        <f t="shared" si="24"/>
        <v>28.04037814</v>
      </c>
    </row>
    <row r="61" ht="15.75" customHeight="1">
      <c r="A61" s="35" t="s">
        <v>313</v>
      </c>
      <c r="B61" s="36" t="s">
        <v>175</v>
      </c>
      <c r="C61" s="37">
        <v>45107.0</v>
      </c>
      <c r="D61" s="48">
        <v>37.0</v>
      </c>
      <c r="E61" s="36" t="s">
        <v>153</v>
      </c>
      <c r="F61" s="36">
        <v>172.0</v>
      </c>
      <c r="G61" s="58">
        <v>88.0</v>
      </c>
      <c r="H61" s="36" t="s">
        <v>131</v>
      </c>
      <c r="I61" s="36">
        <v>2.0</v>
      </c>
      <c r="J61" s="42">
        <v>44378.0</v>
      </c>
      <c r="K61" s="36" t="s">
        <v>131</v>
      </c>
      <c r="L61" s="36">
        <v>1.0</v>
      </c>
      <c r="M61" s="42">
        <v>44470.0</v>
      </c>
      <c r="N61" s="36">
        <v>2.0</v>
      </c>
      <c r="O61" s="42">
        <v>44470.0</v>
      </c>
      <c r="P61" s="36" t="s">
        <v>132</v>
      </c>
      <c r="Q61" s="36" t="s">
        <v>133</v>
      </c>
      <c r="R61" s="36" t="s">
        <v>133</v>
      </c>
      <c r="S61" s="36" t="s">
        <v>133</v>
      </c>
      <c r="T61" s="36" t="s">
        <v>133</v>
      </c>
      <c r="U61" s="36" t="s">
        <v>133</v>
      </c>
      <c r="V61" s="36" t="str">
        <f t="shared" si="2"/>
        <v>Paciente ambulatorio</v>
      </c>
      <c r="W61" s="35" t="s">
        <v>176</v>
      </c>
      <c r="X61" s="35" t="s">
        <v>132</v>
      </c>
      <c r="Y61" s="35">
        <v>2.0</v>
      </c>
      <c r="Z61" s="35">
        <v>1.0</v>
      </c>
      <c r="AA61" s="35">
        <v>3.0</v>
      </c>
      <c r="AB61" s="35">
        <v>3.0</v>
      </c>
      <c r="AC61" s="35">
        <v>2.0</v>
      </c>
      <c r="AD61" s="35">
        <v>1.0</v>
      </c>
      <c r="AE61" s="35">
        <v>3.0</v>
      </c>
      <c r="AF61" s="35">
        <v>3.0</v>
      </c>
      <c r="AG61" s="35">
        <v>3.0</v>
      </c>
      <c r="AH61" s="35">
        <v>3.0</v>
      </c>
      <c r="AI61" s="35">
        <v>1.0</v>
      </c>
      <c r="AJ61" s="35">
        <v>3.0</v>
      </c>
      <c r="AK61" s="36" t="s">
        <v>133</v>
      </c>
      <c r="AL61" s="40" t="s">
        <v>132</v>
      </c>
      <c r="AM61" s="35" t="s">
        <v>132</v>
      </c>
      <c r="AN61" s="35" t="s">
        <v>132</v>
      </c>
      <c r="AO61" s="35" t="s">
        <v>132</v>
      </c>
      <c r="AP61" s="35" t="s">
        <v>132</v>
      </c>
      <c r="AQ61" s="35" t="s">
        <v>132</v>
      </c>
      <c r="AR61" s="35" t="s">
        <v>132</v>
      </c>
      <c r="AS61" s="35" t="s">
        <v>132</v>
      </c>
      <c r="AT61" s="35" t="s">
        <v>132</v>
      </c>
      <c r="AU61" s="35" t="s">
        <v>132</v>
      </c>
      <c r="AV61" s="35" t="s">
        <v>132</v>
      </c>
      <c r="AW61" s="36" t="s">
        <v>133</v>
      </c>
      <c r="AX61" s="35" t="s">
        <v>131</v>
      </c>
      <c r="AY61" s="35">
        <v>10.0</v>
      </c>
      <c r="AZ61" s="35">
        <v>20.0</v>
      </c>
      <c r="BA61" s="36" t="s">
        <v>133</v>
      </c>
      <c r="BB61" s="35" t="s">
        <v>135</v>
      </c>
      <c r="BC61" s="39">
        <v>10.0</v>
      </c>
      <c r="BD61" s="40">
        <v>1.0</v>
      </c>
      <c r="BE61" s="35">
        <v>1.0</v>
      </c>
      <c r="BF61" s="35">
        <v>1.0</v>
      </c>
      <c r="BG61" s="35">
        <v>1.0</v>
      </c>
      <c r="BH61" s="35">
        <v>2.0</v>
      </c>
      <c r="BI61" s="44" t="str">
        <f t="shared" si="3"/>
        <v>11112</v>
      </c>
      <c r="BJ61" s="35">
        <v>90.0</v>
      </c>
      <c r="BK61" s="35">
        <v>2.0</v>
      </c>
      <c r="BL61" s="35">
        <v>2.0</v>
      </c>
      <c r="BM61" s="35">
        <v>2.0</v>
      </c>
      <c r="BN61" s="35">
        <v>4.0</v>
      </c>
      <c r="BO61" s="35">
        <v>2.0</v>
      </c>
      <c r="BP61" s="35">
        <v>2.0</v>
      </c>
      <c r="BQ61" s="35">
        <v>2.0</v>
      </c>
      <c r="BR61" s="35">
        <v>2.0</v>
      </c>
      <c r="BS61" s="35">
        <v>2.0</v>
      </c>
      <c r="BT61" s="35">
        <v>4.0</v>
      </c>
      <c r="BU61" s="44">
        <f t="shared" si="4"/>
        <v>2</v>
      </c>
      <c r="BV61" s="44">
        <f t="shared" si="5"/>
        <v>2</v>
      </c>
      <c r="BW61" s="44">
        <f t="shared" si="53"/>
        <v>22</v>
      </c>
      <c r="BX61" s="44" t="str">
        <f t="shared" si="7"/>
        <v>FATIGA</v>
      </c>
      <c r="BY61" s="35">
        <v>0.0</v>
      </c>
      <c r="BZ61" s="35">
        <v>0.0</v>
      </c>
      <c r="CA61" s="35">
        <v>0.0</v>
      </c>
      <c r="CB61" s="35">
        <v>4.0</v>
      </c>
      <c r="CC61" s="35">
        <v>0.0</v>
      </c>
      <c r="CD61" s="35">
        <v>30.0</v>
      </c>
      <c r="CE61" s="35">
        <v>5.0</v>
      </c>
      <c r="CF61" s="35">
        <v>0.0</v>
      </c>
      <c r="CG61" s="35">
        <v>40.0</v>
      </c>
      <c r="CH61" s="35">
        <v>1.0</v>
      </c>
      <c r="CI61" s="35">
        <v>30.0</v>
      </c>
      <c r="CJ61" s="44">
        <f t="shared" si="27"/>
        <v>1140</v>
      </c>
      <c r="CK61" s="44">
        <f t="shared" si="28"/>
        <v>9</v>
      </c>
      <c r="CL61" s="44" t="b">
        <f t="shared" si="29"/>
        <v>0</v>
      </c>
      <c r="CM61" s="44" t="str">
        <f t="shared" si="30"/>
        <v>Nivel de actividad física moderado</v>
      </c>
      <c r="CN61" s="45" t="str">
        <f t="shared" si="31"/>
        <v>Nivel de actividad física moderado</v>
      </c>
      <c r="CO61" s="35">
        <v>23.0</v>
      </c>
      <c r="CP61" s="35">
        <v>40.0</v>
      </c>
      <c r="CQ61" s="44">
        <f t="shared" si="32"/>
        <v>2</v>
      </c>
      <c r="CR61" s="35">
        <v>8.0</v>
      </c>
      <c r="CS61" s="35">
        <v>0.0</v>
      </c>
      <c r="CT61" s="35">
        <v>9.0</v>
      </c>
      <c r="CU61" s="35">
        <v>6.0</v>
      </c>
      <c r="CV61" s="35">
        <v>3.0</v>
      </c>
      <c r="CW61" s="35">
        <v>3.0</v>
      </c>
      <c r="CX61" s="35">
        <v>1.0</v>
      </c>
      <c r="CY61" s="35">
        <v>0.0</v>
      </c>
      <c r="CZ61" s="35">
        <v>0.0</v>
      </c>
      <c r="DA61" s="35">
        <v>0.0</v>
      </c>
      <c r="DB61" s="35">
        <v>3.0</v>
      </c>
      <c r="DC61" s="35">
        <v>3.0</v>
      </c>
      <c r="DD61" s="35">
        <v>0.0</v>
      </c>
      <c r="DE61" s="35">
        <v>2.0</v>
      </c>
      <c r="DF61" s="35" t="s">
        <v>193</v>
      </c>
      <c r="DG61" s="53">
        <f t="shared" si="55"/>
        <v>12</v>
      </c>
      <c r="DH61" s="35">
        <v>1.0</v>
      </c>
      <c r="DI61" s="35">
        <v>0.0</v>
      </c>
      <c r="DJ61" s="35">
        <v>0.0</v>
      </c>
      <c r="DK61" s="35">
        <v>0.0</v>
      </c>
      <c r="DL61" s="46">
        <f t="shared" si="34"/>
        <v>66.66666667</v>
      </c>
      <c r="DM61" s="44">
        <f t="shared" si="35"/>
        <v>1</v>
      </c>
      <c r="DN61" s="44">
        <f t="shared" si="36"/>
        <v>2</v>
      </c>
      <c r="DO61" s="44">
        <f t="shared" si="37"/>
        <v>3</v>
      </c>
      <c r="DP61" s="44">
        <f t="shared" si="38"/>
        <v>0</v>
      </c>
      <c r="DQ61" s="44">
        <f t="shared" si="39"/>
        <v>2</v>
      </c>
      <c r="DR61" s="44">
        <f t="shared" ref="DR61:DS61" si="100">(DH61)</f>
        <v>1</v>
      </c>
      <c r="DS61" s="44">
        <f t="shared" si="100"/>
        <v>0</v>
      </c>
      <c r="DT61" s="44">
        <f t="shared" si="41"/>
        <v>9</v>
      </c>
      <c r="DU61" s="44" t="str">
        <f t="shared" si="42"/>
        <v>poor sleep quality</v>
      </c>
      <c r="DV61" s="35">
        <v>1.0</v>
      </c>
      <c r="DW61" s="35" t="s">
        <v>314</v>
      </c>
      <c r="DX61" s="35" t="s">
        <v>137</v>
      </c>
      <c r="DY61" s="35">
        <v>1.0</v>
      </c>
      <c r="DZ61" s="35" t="s">
        <v>131</v>
      </c>
      <c r="EA61" s="35" t="s">
        <v>157</v>
      </c>
      <c r="EB61" s="35" t="s">
        <v>248</v>
      </c>
      <c r="EC61" s="36" t="s">
        <v>133</v>
      </c>
      <c r="ED61" s="35" t="s">
        <v>131</v>
      </c>
      <c r="EE61" s="35" t="s">
        <v>141</v>
      </c>
      <c r="EF61" s="35">
        <f t="shared" si="51"/>
        <v>637</v>
      </c>
      <c r="EG61" s="35">
        <f t="shared" si="52"/>
        <v>637</v>
      </c>
      <c r="EH61" s="47">
        <f t="shared" si="24"/>
        <v>29.74580855</v>
      </c>
    </row>
    <row r="62" ht="15.75" customHeight="1">
      <c r="A62" s="35" t="s">
        <v>315</v>
      </c>
      <c r="B62" s="36" t="s">
        <v>175</v>
      </c>
      <c r="C62" s="37">
        <v>45094.0</v>
      </c>
      <c r="D62" s="48">
        <v>48.0</v>
      </c>
      <c r="E62" s="35" t="s">
        <v>130</v>
      </c>
      <c r="F62" s="35">
        <v>152.0</v>
      </c>
      <c r="G62" s="39">
        <v>48.0</v>
      </c>
      <c r="H62" s="40" t="s">
        <v>131</v>
      </c>
      <c r="I62" s="35">
        <v>3.0</v>
      </c>
      <c r="J62" s="41">
        <v>44562.0</v>
      </c>
      <c r="K62" s="35" t="s">
        <v>131</v>
      </c>
      <c r="L62" s="35">
        <v>2.0</v>
      </c>
      <c r="M62" s="41">
        <v>44013.0</v>
      </c>
      <c r="N62" s="35">
        <v>0.0</v>
      </c>
      <c r="O62" s="41">
        <v>44409.0</v>
      </c>
      <c r="P62" s="35" t="s">
        <v>132</v>
      </c>
      <c r="Q62" s="36" t="s">
        <v>133</v>
      </c>
      <c r="R62" s="36" t="s">
        <v>133</v>
      </c>
      <c r="S62" s="36" t="s">
        <v>133</v>
      </c>
      <c r="T62" s="36" t="s">
        <v>133</v>
      </c>
      <c r="U62" s="36" t="s">
        <v>133</v>
      </c>
      <c r="V62" s="36" t="str">
        <f t="shared" si="2"/>
        <v>Paciente ambulatorio</v>
      </c>
      <c r="W62" s="35" t="s">
        <v>176</v>
      </c>
      <c r="X62" s="35" t="s">
        <v>132</v>
      </c>
      <c r="Y62" s="35">
        <v>1.0</v>
      </c>
      <c r="Z62" s="35">
        <v>1.0</v>
      </c>
      <c r="AA62" s="35">
        <v>1.0</v>
      </c>
      <c r="AB62" s="35">
        <v>3.0</v>
      </c>
      <c r="AC62" s="35">
        <v>1.0</v>
      </c>
      <c r="AD62" s="35">
        <v>1.0</v>
      </c>
      <c r="AE62" s="35">
        <v>3.0</v>
      </c>
      <c r="AF62" s="35">
        <v>1.0</v>
      </c>
      <c r="AG62" s="35">
        <v>3.0</v>
      </c>
      <c r="AH62" s="35">
        <v>1.0</v>
      </c>
      <c r="AI62" s="35">
        <v>3.0</v>
      </c>
      <c r="AJ62" s="35">
        <v>1.0</v>
      </c>
      <c r="AK62" s="39" t="s">
        <v>316</v>
      </c>
      <c r="AL62" s="40" t="s">
        <v>132</v>
      </c>
      <c r="AM62" s="35" t="s">
        <v>132</v>
      </c>
      <c r="AN62" s="35" t="s">
        <v>132</v>
      </c>
      <c r="AO62" s="35" t="s">
        <v>132</v>
      </c>
      <c r="AP62" s="35" t="s">
        <v>132</v>
      </c>
      <c r="AQ62" s="35" t="s">
        <v>132</v>
      </c>
      <c r="AR62" s="35" t="s">
        <v>132</v>
      </c>
      <c r="AS62" s="35" t="s">
        <v>132</v>
      </c>
      <c r="AT62" s="35" t="s">
        <v>132</v>
      </c>
      <c r="AU62" s="35" t="s">
        <v>132</v>
      </c>
      <c r="AV62" s="35" t="s">
        <v>132</v>
      </c>
      <c r="AW62" s="36" t="s">
        <v>133</v>
      </c>
      <c r="AX62" s="35" t="s">
        <v>132</v>
      </c>
      <c r="AY62" s="36" t="s">
        <v>133</v>
      </c>
      <c r="AZ62" s="36" t="s">
        <v>133</v>
      </c>
      <c r="BA62" s="36" t="s">
        <v>133</v>
      </c>
      <c r="BB62" s="35" t="s">
        <v>135</v>
      </c>
      <c r="BC62" s="39">
        <v>3.0</v>
      </c>
      <c r="BD62" s="40">
        <v>1.0</v>
      </c>
      <c r="BE62" s="35">
        <v>1.0</v>
      </c>
      <c r="BF62" s="35">
        <v>1.0</v>
      </c>
      <c r="BG62" s="35">
        <v>1.0</v>
      </c>
      <c r="BH62" s="35">
        <v>3.0</v>
      </c>
      <c r="BI62" s="44" t="str">
        <f t="shared" si="3"/>
        <v>11113</v>
      </c>
      <c r="BJ62" s="35">
        <v>85.0</v>
      </c>
      <c r="BK62" s="35">
        <v>3.0</v>
      </c>
      <c r="BL62" s="35">
        <v>4.0</v>
      </c>
      <c r="BM62" s="35">
        <v>2.0</v>
      </c>
      <c r="BN62" s="35">
        <v>2.0</v>
      </c>
      <c r="BO62" s="35">
        <v>4.0</v>
      </c>
      <c r="BP62" s="35">
        <v>2.0</v>
      </c>
      <c r="BQ62" s="35">
        <v>4.0</v>
      </c>
      <c r="BR62" s="35">
        <v>3.0</v>
      </c>
      <c r="BS62" s="35">
        <v>4.0</v>
      </c>
      <c r="BT62" s="35">
        <v>2.0</v>
      </c>
      <c r="BU62" s="44">
        <f t="shared" si="4"/>
        <v>4</v>
      </c>
      <c r="BV62" s="44">
        <f t="shared" si="5"/>
        <v>4</v>
      </c>
      <c r="BW62" s="44">
        <f t="shared" si="53"/>
        <v>32</v>
      </c>
      <c r="BX62" s="44" t="str">
        <f t="shared" si="7"/>
        <v>FATIGA</v>
      </c>
      <c r="BY62" s="35">
        <v>0.0</v>
      </c>
      <c r="BZ62" s="35">
        <v>0.0</v>
      </c>
      <c r="CA62" s="35">
        <v>0.0</v>
      </c>
      <c r="CB62" s="35">
        <v>0.0</v>
      </c>
      <c r="CC62" s="35">
        <v>0.0</v>
      </c>
      <c r="CD62" s="35">
        <v>0.0</v>
      </c>
      <c r="CE62" s="35">
        <v>7.0</v>
      </c>
      <c r="CF62" s="35">
        <v>0.0</v>
      </c>
      <c r="CG62" s="35">
        <v>40.0</v>
      </c>
      <c r="CH62" s="35">
        <v>6.0</v>
      </c>
      <c r="CI62" s="35">
        <v>0.0</v>
      </c>
      <c r="CJ62" s="44">
        <f t="shared" si="27"/>
        <v>924</v>
      </c>
      <c r="CK62" s="44">
        <f t="shared" si="28"/>
        <v>7</v>
      </c>
      <c r="CL62" s="44" t="b">
        <f t="shared" si="29"/>
        <v>0</v>
      </c>
      <c r="CM62" s="44" t="str">
        <f t="shared" si="30"/>
        <v>Nivel de actividad física moderado</v>
      </c>
      <c r="CN62" s="45" t="str">
        <f t="shared" si="31"/>
        <v>Nivel de actividad física moderado</v>
      </c>
      <c r="CO62" s="35">
        <v>21.0</v>
      </c>
      <c r="CP62" s="35">
        <v>15.0</v>
      </c>
      <c r="CQ62" s="44">
        <f t="shared" si="32"/>
        <v>0</v>
      </c>
      <c r="CR62" s="35">
        <v>6.0</v>
      </c>
      <c r="CS62" s="35">
        <v>0.0</v>
      </c>
      <c r="CT62" s="35">
        <v>9.0</v>
      </c>
      <c r="CU62" s="35">
        <v>4.0</v>
      </c>
      <c r="CV62" s="35">
        <v>0.0</v>
      </c>
      <c r="CW62" s="35">
        <v>3.0</v>
      </c>
      <c r="CX62" s="35">
        <v>0.0</v>
      </c>
      <c r="CY62" s="35">
        <v>3.0</v>
      </c>
      <c r="CZ62" s="35">
        <v>0.0</v>
      </c>
      <c r="DA62" s="35">
        <v>0.0</v>
      </c>
      <c r="DB62" s="35">
        <v>3.0</v>
      </c>
      <c r="DC62" s="35">
        <v>0.0</v>
      </c>
      <c r="DD62" s="35">
        <v>0.0</v>
      </c>
      <c r="DE62" s="35">
        <v>0.0</v>
      </c>
      <c r="DF62" s="36" t="s">
        <v>133</v>
      </c>
      <c r="DG62" s="53">
        <f t="shared" si="55"/>
        <v>9</v>
      </c>
      <c r="DH62" s="35">
        <v>2.0</v>
      </c>
      <c r="DI62" s="35">
        <v>0.0</v>
      </c>
      <c r="DJ62" s="35">
        <v>3.0</v>
      </c>
      <c r="DK62" s="35">
        <v>1.0</v>
      </c>
      <c r="DL62" s="46">
        <f t="shared" si="34"/>
        <v>44.44444444</v>
      </c>
      <c r="DM62" s="44">
        <f t="shared" si="35"/>
        <v>3</v>
      </c>
      <c r="DN62" s="44">
        <f t="shared" si="36"/>
        <v>1</v>
      </c>
      <c r="DO62" s="44">
        <f t="shared" si="37"/>
        <v>0</v>
      </c>
      <c r="DP62" s="44">
        <f t="shared" si="38"/>
        <v>2</v>
      </c>
      <c r="DQ62" s="44">
        <f t="shared" si="39"/>
        <v>3</v>
      </c>
      <c r="DR62" s="44">
        <f t="shared" ref="DR62:DS62" si="101">(DH62)</f>
        <v>2</v>
      </c>
      <c r="DS62" s="44">
        <f t="shared" si="101"/>
        <v>0</v>
      </c>
      <c r="DT62" s="44">
        <f t="shared" si="41"/>
        <v>11</v>
      </c>
      <c r="DU62" s="44" t="str">
        <f t="shared" si="42"/>
        <v>poor sleep quality</v>
      </c>
      <c r="DV62" s="35">
        <v>1.0</v>
      </c>
      <c r="DW62" s="35" t="s">
        <v>155</v>
      </c>
      <c r="DX62" s="35" t="s">
        <v>146</v>
      </c>
      <c r="DY62" s="35">
        <v>1.0</v>
      </c>
      <c r="DZ62" s="35" t="s">
        <v>131</v>
      </c>
      <c r="EA62" s="35" t="s">
        <v>167</v>
      </c>
      <c r="EB62" s="35" t="s">
        <v>139</v>
      </c>
      <c r="EC62" s="36" t="s">
        <v>133</v>
      </c>
      <c r="ED62" s="35" t="s">
        <v>132</v>
      </c>
      <c r="EE62" s="35" t="s">
        <v>141</v>
      </c>
      <c r="EF62" s="35">
        <f t="shared" si="51"/>
        <v>1081</v>
      </c>
      <c r="EG62" s="35">
        <f t="shared" si="52"/>
        <v>685</v>
      </c>
      <c r="EH62" s="47">
        <f t="shared" si="24"/>
        <v>20.77562327</v>
      </c>
    </row>
    <row r="63" ht="15.75" customHeight="1">
      <c r="A63" s="35" t="s">
        <v>317</v>
      </c>
      <c r="B63" s="36" t="s">
        <v>175</v>
      </c>
      <c r="C63" s="37">
        <v>45103.0</v>
      </c>
      <c r="D63" s="48">
        <v>41.0</v>
      </c>
      <c r="E63" s="35" t="s">
        <v>153</v>
      </c>
      <c r="F63" s="35">
        <v>168.0</v>
      </c>
      <c r="G63" s="39">
        <v>60.9</v>
      </c>
      <c r="H63" s="40" t="s">
        <v>131</v>
      </c>
      <c r="I63" s="35">
        <v>2.0</v>
      </c>
      <c r="J63" s="41">
        <v>44469.0</v>
      </c>
      <c r="K63" s="35" t="s">
        <v>131</v>
      </c>
      <c r="L63" s="35">
        <v>3.0</v>
      </c>
      <c r="M63" s="41">
        <v>43922.0</v>
      </c>
      <c r="N63" s="35">
        <v>0.0</v>
      </c>
      <c r="O63" s="55">
        <v>44911.0</v>
      </c>
      <c r="P63" s="35" t="s">
        <v>132</v>
      </c>
      <c r="Q63" s="36" t="s">
        <v>133</v>
      </c>
      <c r="R63" s="36" t="s">
        <v>133</v>
      </c>
      <c r="S63" s="36" t="s">
        <v>133</v>
      </c>
      <c r="T63" s="36" t="s">
        <v>133</v>
      </c>
      <c r="U63" s="36" t="s">
        <v>133</v>
      </c>
      <c r="V63" s="36" t="str">
        <f t="shared" si="2"/>
        <v>Paciente ambulatorio</v>
      </c>
      <c r="W63" s="35" t="s">
        <v>176</v>
      </c>
      <c r="X63" s="35" t="s">
        <v>132</v>
      </c>
      <c r="Y63" s="35">
        <v>2.0</v>
      </c>
      <c r="Z63" s="35">
        <v>2.0</v>
      </c>
      <c r="AA63" s="35">
        <v>2.0</v>
      </c>
      <c r="AB63" s="35">
        <v>2.0</v>
      </c>
      <c r="AC63" s="35">
        <v>2.0</v>
      </c>
      <c r="AD63" s="35">
        <v>1.0</v>
      </c>
      <c r="AE63" s="35">
        <v>2.0</v>
      </c>
      <c r="AF63" s="35">
        <v>1.0</v>
      </c>
      <c r="AG63" s="35">
        <v>1.0</v>
      </c>
      <c r="AH63" s="35">
        <v>1.0</v>
      </c>
      <c r="AI63" s="35">
        <v>1.0</v>
      </c>
      <c r="AJ63" s="35">
        <v>1.0</v>
      </c>
      <c r="AK63" s="39" t="s">
        <v>318</v>
      </c>
      <c r="AL63" s="40" t="s">
        <v>131</v>
      </c>
      <c r="AM63" s="35" t="s">
        <v>132</v>
      </c>
      <c r="AN63" s="35" t="s">
        <v>132</v>
      </c>
      <c r="AO63" s="35" t="s">
        <v>132</v>
      </c>
      <c r="AP63" s="35" t="s">
        <v>132</v>
      </c>
      <c r="AQ63" s="35" t="s">
        <v>132</v>
      </c>
      <c r="AR63" s="35" t="s">
        <v>132</v>
      </c>
      <c r="AS63" s="35" t="s">
        <v>132</v>
      </c>
      <c r="AT63" s="35" t="s">
        <v>132</v>
      </c>
      <c r="AU63" s="35" t="s">
        <v>132</v>
      </c>
      <c r="AV63" s="35" t="s">
        <v>132</v>
      </c>
      <c r="AW63" s="36" t="s">
        <v>133</v>
      </c>
      <c r="AX63" s="35" t="s">
        <v>131</v>
      </c>
      <c r="AY63" s="35">
        <v>3.0</v>
      </c>
      <c r="AZ63" s="35">
        <v>20.0</v>
      </c>
      <c r="BA63" s="36" t="s">
        <v>133</v>
      </c>
      <c r="BB63" s="35" t="s">
        <v>192</v>
      </c>
      <c r="BC63" s="39">
        <v>1.0</v>
      </c>
      <c r="BD63" s="40">
        <v>2.0</v>
      </c>
      <c r="BE63" s="35">
        <v>1.0</v>
      </c>
      <c r="BF63" s="35">
        <v>2.0</v>
      </c>
      <c r="BG63" s="35">
        <v>2.0</v>
      </c>
      <c r="BH63" s="35">
        <v>4.0</v>
      </c>
      <c r="BI63" s="44" t="str">
        <f t="shared" si="3"/>
        <v>21224</v>
      </c>
      <c r="BJ63" s="35">
        <v>70.0</v>
      </c>
      <c r="BK63" s="35">
        <v>3.0</v>
      </c>
      <c r="BL63" s="35">
        <v>2.0</v>
      </c>
      <c r="BM63" s="35">
        <v>1.0</v>
      </c>
      <c r="BN63" s="35">
        <v>5.0</v>
      </c>
      <c r="BO63" s="35">
        <v>3.0</v>
      </c>
      <c r="BP63" s="35">
        <v>2.0</v>
      </c>
      <c r="BQ63" s="35">
        <v>4.0</v>
      </c>
      <c r="BR63" s="35">
        <v>3.0</v>
      </c>
      <c r="BS63" s="35">
        <v>2.0</v>
      </c>
      <c r="BT63" s="35">
        <v>3.0</v>
      </c>
      <c r="BU63" s="44">
        <f t="shared" si="4"/>
        <v>1</v>
      </c>
      <c r="BV63" s="44">
        <f t="shared" si="5"/>
        <v>3</v>
      </c>
      <c r="BW63" s="44">
        <f t="shared" si="53"/>
        <v>26</v>
      </c>
      <c r="BX63" s="44" t="str">
        <f t="shared" si="7"/>
        <v>FATIGA</v>
      </c>
      <c r="BY63" s="35">
        <v>7.0</v>
      </c>
      <c r="BZ63" s="35">
        <v>4.0</v>
      </c>
      <c r="CA63" s="35">
        <v>0.0</v>
      </c>
      <c r="CB63" s="35">
        <v>0.0</v>
      </c>
      <c r="CC63" s="35">
        <v>0.0</v>
      </c>
      <c r="CD63" s="35">
        <v>0.0</v>
      </c>
      <c r="CE63" s="35">
        <v>0.0</v>
      </c>
      <c r="CF63" s="35">
        <v>0.0</v>
      </c>
      <c r="CG63" s="35">
        <v>0.0</v>
      </c>
      <c r="CH63" s="35">
        <v>3.0</v>
      </c>
      <c r="CI63" s="35">
        <v>0.0</v>
      </c>
      <c r="CJ63" s="44">
        <f t="shared" si="27"/>
        <v>13440</v>
      </c>
      <c r="CK63" s="44">
        <f t="shared" si="28"/>
        <v>7</v>
      </c>
      <c r="CL63" s="44" t="str">
        <f t="shared" si="29"/>
        <v>Nivel de actividad física alto</v>
      </c>
      <c r="CM63" s="44" t="str">
        <f t="shared" si="30"/>
        <v>Nivel de actividad física moderado</v>
      </c>
      <c r="CN63" s="45" t="str">
        <f t="shared" si="31"/>
        <v>Nivel de actividad física alto</v>
      </c>
      <c r="CO63" s="35">
        <v>23.0</v>
      </c>
      <c r="CP63" s="35">
        <v>5.0</v>
      </c>
      <c r="CQ63" s="44">
        <f t="shared" si="32"/>
        <v>0</v>
      </c>
      <c r="CR63" s="35">
        <v>8.0</v>
      </c>
      <c r="CS63" s="35">
        <v>0.0</v>
      </c>
      <c r="CT63" s="35">
        <v>9.0</v>
      </c>
      <c r="CU63" s="35">
        <v>5.0</v>
      </c>
      <c r="CV63" s="35">
        <v>0.0</v>
      </c>
      <c r="CW63" s="35">
        <v>3.0</v>
      </c>
      <c r="CX63" s="35">
        <v>0.0</v>
      </c>
      <c r="CY63" s="35">
        <v>3.0</v>
      </c>
      <c r="CZ63" s="35">
        <v>3.0</v>
      </c>
      <c r="DA63" s="35">
        <v>0.0</v>
      </c>
      <c r="DB63" s="35">
        <v>0.0</v>
      </c>
      <c r="DC63" s="35">
        <v>0.0</v>
      </c>
      <c r="DD63" s="35">
        <v>0.0</v>
      </c>
      <c r="DE63" s="35">
        <v>0.0</v>
      </c>
      <c r="DF63" s="36" t="s">
        <v>133</v>
      </c>
      <c r="DG63" s="53">
        <f t="shared" si="55"/>
        <v>9</v>
      </c>
      <c r="DH63" s="35">
        <v>2.0</v>
      </c>
      <c r="DI63" s="35">
        <v>0.0</v>
      </c>
      <c r="DJ63" s="35">
        <v>3.0</v>
      </c>
      <c r="DK63" s="35">
        <v>3.0</v>
      </c>
      <c r="DL63" s="46">
        <f t="shared" si="34"/>
        <v>55.55555556</v>
      </c>
      <c r="DM63" s="44">
        <f t="shared" si="35"/>
        <v>2</v>
      </c>
      <c r="DN63" s="44">
        <f t="shared" si="36"/>
        <v>1</v>
      </c>
      <c r="DO63" s="44">
        <f t="shared" si="37"/>
        <v>0</v>
      </c>
      <c r="DP63" s="44">
        <f t="shared" si="38"/>
        <v>3</v>
      </c>
      <c r="DQ63" s="44">
        <f t="shared" si="39"/>
        <v>3</v>
      </c>
      <c r="DR63" s="44">
        <f t="shared" ref="DR63:DS63" si="102">(DH63)</f>
        <v>2</v>
      </c>
      <c r="DS63" s="44">
        <f t="shared" si="102"/>
        <v>0</v>
      </c>
      <c r="DT63" s="44">
        <f t="shared" si="41"/>
        <v>11</v>
      </c>
      <c r="DU63" s="44" t="str">
        <f t="shared" si="42"/>
        <v>poor sleep quality</v>
      </c>
      <c r="DV63" s="35">
        <v>1.0</v>
      </c>
      <c r="DW63" s="35" t="s">
        <v>314</v>
      </c>
      <c r="DX63" s="35" t="s">
        <v>146</v>
      </c>
      <c r="DY63" s="35">
        <v>1.0</v>
      </c>
      <c r="DZ63" s="35" t="s">
        <v>131</v>
      </c>
      <c r="EA63" s="35" t="s">
        <v>178</v>
      </c>
      <c r="EB63" s="35" t="s">
        <v>172</v>
      </c>
      <c r="EC63" s="36" t="s">
        <v>133</v>
      </c>
      <c r="ED63" s="35" t="s">
        <v>132</v>
      </c>
      <c r="EE63" s="35" t="s">
        <v>151</v>
      </c>
      <c r="EF63" s="35">
        <f t="shared" si="51"/>
        <v>1181</v>
      </c>
      <c r="EG63" s="35">
        <f t="shared" si="52"/>
        <v>192</v>
      </c>
      <c r="EH63" s="47">
        <f t="shared" si="24"/>
        <v>21.57738095</v>
      </c>
    </row>
    <row r="64" ht="15.75" customHeight="1">
      <c r="A64" s="35" t="s">
        <v>319</v>
      </c>
      <c r="B64" s="36" t="s">
        <v>175</v>
      </c>
      <c r="C64" s="37">
        <v>45094.0</v>
      </c>
      <c r="D64" s="48">
        <v>45.0</v>
      </c>
      <c r="E64" s="35" t="s">
        <v>130</v>
      </c>
      <c r="F64" s="35">
        <v>165.0</v>
      </c>
      <c r="G64" s="39">
        <v>56.0</v>
      </c>
      <c r="H64" s="40" t="s">
        <v>131</v>
      </c>
      <c r="I64" s="35">
        <v>2.0</v>
      </c>
      <c r="J64" s="41">
        <v>44348.0</v>
      </c>
      <c r="K64" s="35" t="s">
        <v>131</v>
      </c>
      <c r="L64" s="35">
        <v>3.0</v>
      </c>
      <c r="M64" s="41">
        <v>44402.0</v>
      </c>
      <c r="N64" s="35">
        <v>0.0</v>
      </c>
      <c r="O64" s="41">
        <v>44560.0</v>
      </c>
      <c r="P64" s="35" t="s">
        <v>132</v>
      </c>
      <c r="Q64" s="36" t="s">
        <v>133</v>
      </c>
      <c r="R64" s="36" t="s">
        <v>133</v>
      </c>
      <c r="S64" s="36" t="s">
        <v>133</v>
      </c>
      <c r="T64" s="36" t="s">
        <v>133</v>
      </c>
      <c r="U64" s="36" t="s">
        <v>133</v>
      </c>
      <c r="V64" s="36" t="str">
        <f t="shared" si="2"/>
        <v>Paciente ambulatorio</v>
      </c>
      <c r="W64" s="35" t="s">
        <v>190</v>
      </c>
      <c r="X64" s="35" t="s">
        <v>131</v>
      </c>
      <c r="Y64" s="35">
        <v>1.0</v>
      </c>
      <c r="Z64" s="35">
        <v>1.0</v>
      </c>
      <c r="AA64" s="35">
        <v>3.0</v>
      </c>
      <c r="AB64" s="35">
        <v>3.0</v>
      </c>
      <c r="AC64" s="35">
        <v>2.0</v>
      </c>
      <c r="AD64" s="35">
        <v>1.0</v>
      </c>
      <c r="AE64" s="35">
        <v>1.0</v>
      </c>
      <c r="AF64" s="35">
        <v>1.0</v>
      </c>
      <c r="AG64" s="35">
        <v>3.0</v>
      </c>
      <c r="AH64" s="35">
        <v>1.0</v>
      </c>
      <c r="AI64" s="35">
        <v>1.0</v>
      </c>
      <c r="AJ64" s="35">
        <v>1.0</v>
      </c>
      <c r="AK64" s="39" t="s">
        <v>320</v>
      </c>
      <c r="AL64" s="40" t="s">
        <v>132</v>
      </c>
      <c r="AM64" s="35" t="s">
        <v>132</v>
      </c>
      <c r="AN64" s="35" t="s">
        <v>132</v>
      </c>
      <c r="AO64" s="35" t="s">
        <v>132</v>
      </c>
      <c r="AP64" s="35" t="s">
        <v>132</v>
      </c>
      <c r="AQ64" s="35" t="s">
        <v>132</v>
      </c>
      <c r="AR64" s="35" t="s">
        <v>132</v>
      </c>
      <c r="AS64" s="35" t="s">
        <v>132</v>
      </c>
      <c r="AT64" s="35" t="s">
        <v>132</v>
      </c>
      <c r="AU64" s="35" t="s">
        <v>132</v>
      </c>
      <c r="AV64" s="35" t="s">
        <v>131</v>
      </c>
      <c r="AW64" s="35" t="s">
        <v>321</v>
      </c>
      <c r="AX64" s="35" t="s">
        <v>165</v>
      </c>
      <c r="AY64" s="36" t="s">
        <v>133</v>
      </c>
      <c r="AZ64" s="36" t="s">
        <v>133</v>
      </c>
      <c r="BA64" s="35">
        <v>22.0</v>
      </c>
      <c r="BB64" s="35" t="s">
        <v>145</v>
      </c>
      <c r="BC64" s="36" t="s">
        <v>133</v>
      </c>
      <c r="BD64" s="40">
        <v>3.0</v>
      </c>
      <c r="BE64" s="35">
        <v>2.0</v>
      </c>
      <c r="BF64" s="35">
        <v>5.0</v>
      </c>
      <c r="BG64" s="35">
        <v>5.0</v>
      </c>
      <c r="BH64" s="35">
        <v>4.0</v>
      </c>
      <c r="BI64" s="44" t="str">
        <f t="shared" si="3"/>
        <v>32554</v>
      </c>
      <c r="BJ64" s="35">
        <v>0.0</v>
      </c>
      <c r="BK64" s="35">
        <v>5.0</v>
      </c>
      <c r="BL64" s="35">
        <v>5.0</v>
      </c>
      <c r="BM64" s="35">
        <v>0.0</v>
      </c>
      <c r="BN64" s="35">
        <v>0.0</v>
      </c>
      <c r="BO64" s="35">
        <v>5.0</v>
      </c>
      <c r="BP64" s="35">
        <v>5.0</v>
      </c>
      <c r="BQ64" s="35">
        <v>1.0</v>
      </c>
      <c r="BR64" s="35">
        <v>4.0</v>
      </c>
      <c r="BS64" s="35">
        <v>5.0</v>
      </c>
      <c r="BT64" s="35">
        <v>2.0</v>
      </c>
      <c r="BU64" s="44" t="b">
        <f t="shared" si="4"/>
        <v>0</v>
      </c>
      <c r="BV64" s="44">
        <f t="shared" si="5"/>
        <v>4</v>
      </c>
      <c r="BW64" s="44">
        <f t="shared" si="53"/>
        <v>36</v>
      </c>
      <c r="BX64" s="44" t="str">
        <f t="shared" si="7"/>
        <v>FATIGA EXTREMA</v>
      </c>
      <c r="BY64" s="35">
        <v>0.0</v>
      </c>
      <c r="BZ64" s="35">
        <v>0.0</v>
      </c>
      <c r="CA64" s="35">
        <v>0.0</v>
      </c>
      <c r="CB64" s="35">
        <v>0.0</v>
      </c>
      <c r="CC64" s="35">
        <v>0.0</v>
      </c>
      <c r="CD64" s="35">
        <v>0.0</v>
      </c>
      <c r="CE64" s="35">
        <v>0.0</v>
      </c>
      <c r="CF64" s="35">
        <v>0.0</v>
      </c>
      <c r="CG64" s="35">
        <v>0.0</v>
      </c>
      <c r="CH64" s="35">
        <v>4.0</v>
      </c>
      <c r="CI64" s="35">
        <v>0.0</v>
      </c>
      <c r="CJ64" s="44">
        <f t="shared" si="27"/>
        <v>0</v>
      </c>
      <c r="CK64" s="44">
        <f t="shared" si="28"/>
        <v>0</v>
      </c>
      <c r="CL64" s="44" t="b">
        <f t="shared" si="29"/>
        <v>0</v>
      </c>
      <c r="CM64" s="44" t="b">
        <f t="shared" si="30"/>
        <v>0</v>
      </c>
      <c r="CN64" s="45" t="str">
        <f t="shared" si="31"/>
        <v>Nivel de actividad física bajo</v>
      </c>
      <c r="CO64" s="35">
        <v>0.0</v>
      </c>
      <c r="CP64" s="35">
        <v>60.0</v>
      </c>
      <c r="CQ64" s="44">
        <f t="shared" si="32"/>
        <v>2</v>
      </c>
      <c r="CR64" s="35">
        <v>16.0</v>
      </c>
      <c r="CS64" s="35">
        <v>0.0</v>
      </c>
      <c r="CT64" s="35">
        <v>16.0</v>
      </c>
      <c r="CU64" s="35">
        <v>16.0</v>
      </c>
      <c r="CV64" s="35">
        <v>3.0</v>
      </c>
      <c r="CW64" s="35">
        <v>3.0</v>
      </c>
      <c r="CX64" s="35">
        <v>3.0</v>
      </c>
      <c r="CY64" s="35">
        <v>0.0</v>
      </c>
      <c r="CZ64" s="35">
        <v>0.0</v>
      </c>
      <c r="DA64" s="35">
        <v>0.0</v>
      </c>
      <c r="DB64" s="35">
        <v>1.0</v>
      </c>
      <c r="DC64" s="35">
        <v>1.0</v>
      </c>
      <c r="DD64" s="35">
        <v>3.0</v>
      </c>
      <c r="DE64" s="35">
        <v>1.0</v>
      </c>
      <c r="DF64" s="35" t="s">
        <v>322</v>
      </c>
      <c r="DG64" s="53">
        <f t="shared" si="55"/>
        <v>12</v>
      </c>
      <c r="DH64" s="35">
        <v>3.0</v>
      </c>
      <c r="DI64" s="35">
        <v>0.0</v>
      </c>
      <c r="DJ64" s="35">
        <v>3.0</v>
      </c>
      <c r="DK64" s="35">
        <v>3.0</v>
      </c>
      <c r="DL64" s="46">
        <f t="shared" si="34"/>
        <v>100</v>
      </c>
      <c r="DM64" s="44">
        <f t="shared" si="35"/>
        <v>0</v>
      </c>
      <c r="DN64" s="44">
        <f t="shared" si="36"/>
        <v>2</v>
      </c>
      <c r="DO64" s="44">
        <f t="shared" si="37"/>
        <v>3</v>
      </c>
      <c r="DP64" s="44">
        <f t="shared" si="38"/>
        <v>3</v>
      </c>
      <c r="DQ64" s="44">
        <f t="shared" si="39"/>
        <v>0</v>
      </c>
      <c r="DR64" s="44">
        <f t="shared" ref="DR64:DS64" si="103">(DH64)</f>
        <v>3</v>
      </c>
      <c r="DS64" s="44">
        <f t="shared" si="103"/>
        <v>0</v>
      </c>
      <c r="DT64" s="44">
        <f t="shared" si="41"/>
        <v>11</v>
      </c>
      <c r="DU64" s="44" t="str">
        <f t="shared" si="42"/>
        <v>poor sleep quality</v>
      </c>
      <c r="DV64" s="35">
        <v>1.0</v>
      </c>
      <c r="DW64" s="35" t="s">
        <v>155</v>
      </c>
      <c r="DX64" s="35" t="s">
        <v>207</v>
      </c>
      <c r="DY64" s="35">
        <v>1.0</v>
      </c>
      <c r="DZ64" s="35" t="s">
        <v>131</v>
      </c>
      <c r="EA64" s="35" t="s">
        <v>162</v>
      </c>
      <c r="EB64" s="35" t="s">
        <v>323</v>
      </c>
      <c r="EC64" s="36" t="s">
        <v>133</v>
      </c>
      <c r="ED64" s="35" t="s">
        <v>132</v>
      </c>
      <c r="EE64" s="35" t="s">
        <v>140</v>
      </c>
      <c r="EF64" s="35">
        <f t="shared" si="51"/>
        <v>692</v>
      </c>
      <c r="EG64" s="35">
        <f t="shared" si="52"/>
        <v>534</v>
      </c>
      <c r="EH64" s="47">
        <f t="shared" si="24"/>
        <v>20.56932966</v>
      </c>
    </row>
    <row r="65" ht="15.75" customHeight="1">
      <c r="A65" s="35" t="s">
        <v>324</v>
      </c>
      <c r="B65" s="36" t="s">
        <v>175</v>
      </c>
      <c r="C65" s="37">
        <v>45100.0</v>
      </c>
      <c r="D65" s="48">
        <v>55.0</v>
      </c>
      <c r="E65" s="35" t="s">
        <v>130</v>
      </c>
      <c r="F65" s="35">
        <v>170.0</v>
      </c>
      <c r="G65" s="39">
        <v>62.0</v>
      </c>
      <c r="H65" s="40" t="s">
        <v>131</v>
      </c>
      <c r="I65" s="35">
        <v>3.0</v>
      </c>
      <c r="J65" s="41">
        <v>44562.0</v>
      </c>
      <c r="K65" s="35" t="s">
        <v>131</v>
      </c>
      <c r="L65" s="35">
        <v>1.0</v>
      </c>
      <c r="M65" s="41">
        <v>44013.0</v>
      </c>
      <c r="N65" s="35">
        <v>0.0</v>
      </c>
      <c r="O65" s="41">
        <v>44013.0</v>
      </c>
      <c r="P65" s="35" t="s">
        <v>132</v>
      </c>
      <c r="Q65" s="36" t="s">
        <v>133</v>
      </c>
      <c r="R65" s="36" t="s">
        <v>133</v>
      </c>
      <c r="S65" s="36" t="s">
        <v>133</v>
      </c>
      <c r="T65" s="36" t="s">
        <v>133</v>
      </c>
      <c r="U65" s="36" t="s">
        <v>133</v>
      </c>
      <c r="V65" s="36" t="str">
        <f t="shared" si="2"/>
        <v>Paciente ambulatorio</v>
      </c>
      <c r="W65" s="35" t="s">
        <v>190</v>
      </c>
      <c r="X65" s="35" t="s">
        <v>132</v>
      </c>
      <c r="Y65" s="35">
        <v>1.0</v>
      </c>
      <c r="Z65" s="35">
        <v>1.0</v>
      </c>
      <c r="AA65" s="35">
        <v>2.0</v>
      </c>
      <c r="AB65" s="35">
        <v>2.0</v>
      </c>
      <c r="AC65" s="35">
        <v>3.0</v>
      </c>
      <c r="AD65" s="35">
        <v>1.0</v>
      </c>
      <c r="AE65" s="35">
        <v>2.0</v>
      </c>
      <c r="AF65" s="35">
        <v>1.0</v>
      </c>
      <c r="AG65" s="35">
        <v>3.0</v>
      </c>
      <c r="AH65" s="35">
        <v>1.0</v>
      </c>
      <c r="AI65" s="35">
        <v>1.0</v>
      </c>
      <c r="AJ65" s="35">
        <v>1.0</v>
      </c>
      <c r="AK65" s="39" t="s">
        <v>325</v>
      </c>
      <c r="AL65" s="40" t="s">
        <v>131</v>
      </c>
      <c r="AM65" s="35" t="s">
        <v>132</v>
      </c>
      <c r="AN65" s="35" t="s">
        <v>132</v>
      </c>
      <c r="AO65" s="35" t="s">
        <v>131</v>
      </c>
      <c r="AP65" s="35" t="s">
        <v>132</v>
      </c>
      <c r="AQ65" s="35" t="s">
        <v>132</v>
      </c>
      <c r="AR65" s="35" t="s">
        <v>132</v>
      </c>
      <c r="AS65" s="35" t="s">
        <v>131</v>
      </c>
      <c r="AT65" s="35" t="s">
        <v>132</v>
      </c>
      <c r="AU65" s="35" t="s">
        <v>132</v>
      </c>
      <c r="AV65" s="35" t="s">
        <v>131</v>
      </c>
      <c r="AW65" s="35" t="s">
        <v>326</v>
      </c>
      <c r="AX65" s="35" t="s">
        <v>132</v>
      </c>
      <c r="AY65" s="36" t="s">
        <v>133</v>
      </c>
      <c r="AZ65" s="36" t="s">
        <v>133</v>
      </c>
      <c r="BA65" s="36" t="s">
        <v>133</v>
      </c>
      <c r="BB65" s="35" t="s">
        <v>145</v>
      </c>
      <c r="BC65" s="36" t="s">
        <v>133</v>
      </c>
      <c r="BD65" s="40">
        <v>3.0</v>
      </c>
      <c r="BE65" s="35">
        <v>1.0</v>
      </c>
      <c r="BF65" s="35">
        <v>2.0</v>
      </c>
      <c r="BG65" s="35">
        <v>4.0</v>
      </c>
      <c r="BH65" s="35">
        <v>4.0</v>
      </c>
      <c r="BI65" s="44" t="str">
        <f t="shared" si="3"/>
        <v>31244</v>
      </c>
      <c r="BJ65" s="35">
        <v>20.0</v>
      </c>
      <c r="BK65" s="35">
        <v>2.0</v>
      </c>
      <c r="BL65" s="35">
        <v>2.0</v>
      </c>
      <c r="BM65" s="35">
        <v>3.0</v>
      </c>
      <c r="BN65" s="35">
        <v>1.0</v>
      </c>
      <c r="BO65" s="35">
        <v>5.0</v>
      </c>
      <c r="BP65" s="35">
        <v>5.0</v>
      </c>
      <c r="BQ65" s="35">
        <v>2.0</v>
      </c>
      <c r="BR65" s="35">
        <v>2.0</v>
      </c>
      <c r="BS65" s="35">
        <v>5.0</v>
      </c>
      <c r="BT65" s="35">
        <v>5.0</v>
      </c>
      <c r="BU65" s="44">
        <f t="shared" si="4"/>
        <v>5</v>
      </c>
      <c r="BV65" s="44">
        <f t="shared" si="5"/>
        <v>1</v>
      </c>
      <c r="BW65" s="44">
        <f t="shared" si="53"/>
        <v>32</v>
      </c>
      <c r="BX65" s="44" t="str">
        <f t="shared" si="7"/>
        <v>FATIGA</v>
      </c>
      <c r="BY65" s="35">
        <v>0.0</v>
      </c>
      <c r="BZ65" s="35">
        <v>0.0</v>
      </c>
      <c r="CA65" s="35">
        <v>0.0</v>
      </c>
      <c r="CB65" s="35">
        <v>0.0</v>
      </c>
      <c r="CC65" s="35">
        <v>0.0</v>
      </c>
      <c r="CD65" s="35">
        <v>0.0</v>
      </c>
      <c r="CE65" s="35">
        <v>7.0</v>
      </c>
      <c r="CF65" s="35">
        <v>0.0</v>
      </c>
      <c r="CG65" s="35">
        <v>30.0</v>
      </c>
      <c r="CH65" s="35">
        <v>0.0</v>
      </c>
      <c r="CI65" s="35">
        <v>30.0</v>
      </c>
      <c r="CJ65" s="44">
        <f t="shared" si="27"/>
        <v>693</v>
      </c>
      <c r="CK65" s="44">
        <f t="shared" si="28"/>
        <v>7</v>
      </c>
      <c r="CL65" s="44" t="b">
        <f t="shared" si="29"/>
        <v>0</v>
      </c>
      <c r="CM65" s="44" t="b">
        <f t="shared" si="30"/>
        <v>0</v>
      </c>
      <c r="CN65" s="45" t="str">
        <f t="shared" si="31"/>
        <v>Nivel de actividad física bajo</v>
      </c>
      <c r="CO65" s="35">
        <v>22.0</v>
      </c>
      <c r="CP65" s="35">
        <v>10.0</v>
      </c>
      <c r="CQ65" s="44">
        <f t="shared" si="32"/>
        <v>0</v>
      </c>
      <c r="CR65" s="35">
        <v>5.0</v>
      </c>
      <c r="CS65" s="35">
        <v>40.0</v>
      </c>
      <c r="CT65" s="35">
        <v>7.6</v>
      </c>
      <c r="CU65" s="35">
        <v>3.0</v>
      </c>
      <c r="CV65" s="35">
        <v>0.0</v>
      </c>
      <c r="CW65" s="35">
        <v>3.0</v>
      </c>
      <c r="CX65" s="35">
        <v>3.0</v>
      </c>
      <c r="CY65" s="35">
        <v>0.0</v>
      </c>
      <c r="CZ65" s="35">
        <v>0.0</v>
      </c>
      <c r="DA65" s="35">
        <v>0.0</v>
      </c>
      <c r="DB65" s="35">
        <v>0.0</v>
      </c>
      <c r="DC65" s="35">
        <v>2.0</v>
      </c>
      <c r="DD65" s="35">
        <v>3.0</v>
      </c>
      <c r="DE65" s="35">
        <v>1.0</v>
      </c>
      <c r="DF65" s="36" t="s">
        <v>133</v>
      </c>
      <c r="DG65" s="53">
        <f t="shared" si="55"/>
        <v>12</v>
      </c>
      <c r="DH65" s="35">
        <v>2.0</v>
      </c>
      <c r="DI65" s="35">
        <v>3.0</v>
      </c>
      <c r="DJ65" s="35">
        <v>1.0</v>
      </c>
      <c r="DK65" s="35">
        <v>2.0</v>
      </c>
      <c r="DL65" s="46">
        <f t="shared" si="34"/>
        <v>39.47368421</v>
      </c>
      <c r="DM65" s="44">
        <f t="shared" si="35"/>
        <v>3</v>
      </c>
      <c r="DN65" s="44">
        <f t="shared" si="36"/>
        <v>2</v>
      </c>
      <c r="DO65" s="44">
        <f t="shared" si="37"/>
        <v>0</v>
      </c>
      <c r="DP65" s="44">
        <f t="shared" si="38"/>
        <v>2</v>
      </c>
      <c r="DQ65" s="44">
        <f t="shared" si="39"/>
        <v>3</v>
      </c>
      <c r="DR65" s="44">
        <f t="shared" ref="DR65:DS65" si="104">(DH65)</f>
        <v>2</v>
      </c>
      <c r="DS65" s="44">
        <f t="shared" si="104"/>
        <v>3</v>
      </c>
      <c r="DT65" s="44">
        <f t="shared" si="41"/>
        <v>15</v>
      </c>
      <c r="DU65" s="44" t="str">
        <f t="shared" si="42"/>
        <v>poor sleep quality</v>
      </c>
      <c r="DV65" s="35">
        <v>2.0</v>
      </c>
      <c r="DW65" s="35" t="s">
        <v>149</v>
      </c>
      <c r="DX65" s="35" t="s">
        <v>146</v>
      </c>
      <c r="DY65" s="35">
        <v>1.0</v>
      </c>
      <c r="DZ65" s="35" t="s">
        <v>131</v>
      </c>
      <c r="EA65" s="35" t="s">
        <v>202</v>
      </c>
      <c r="EB65" s="35" t="s">
        <v>219</v>
      </c>
      <c r="EC65" s="35" t="s">
        <v>131</v>
      </c>
      <c r="ED65" s="35" t="s">
        <v>131</v>
      </c>
      <c r="EE65" s="35" t="s">
        <v>140</v>
      </c>
      <c r="EF65" s="35">
        <f t="shared" si="51"/>
        <v>1087</v>
      </c>
      <c r="EG65" s="35">
        <f t="shared" si="52"/>
        <v>1087</v>
      </c>
      <c r="EH65" s="47">
        <f t="shared" si="24"/>
        <v>21.4532872</v>
      </c>
    </row>
    <row r="66" ht="17.25" customHeight="1">
      <c r="A66" s="35" t="s">
        <v>327</v>
      </c>
      <c r="B66" s="36" t="s">
        <v>175</v>
      </c>
      <c r="C66" s="37">
        <v>45103.0</v>
      </c>
      <c r="D66" s="48">
        <v>40.0</v>
      </c>
      <c r="E66" s="35" t="s">
        <v>153</v>
      </c>
      <c r="F66" s="35">
        <v>178.0</v>
      </c>
      <c r="G66" s="39">
        <v>95.0</v>
      </c>
      <c r="H66" s="40" t="s">
        <v>131</v>
      </c>
      <c r="I66" s="35">
        <v>3.0</v>
      </c>
      <c r="J66" s="41">
        <v>44684.0</v>
      </c>
      <c r="K66" s="35" t="s">
        <v>131</v>
      </c>
      <c r="L66" s="35">
        <v>1.0</v>
      </c>
      <c r="M66" s="41">
        <v>44326.0</v>
      </c>
      <c r="N66" s="35">
        <v>0.0</v>
      </c>
      <c r="O66" s="41">
        <v>44326.0</v>
      </c>
      <c r="P66" s="35" t="s">
        <v>131</v>
      </c>
      <c r="Q66" s="56">
        <v>44332.0</v>
      </c>
      <c r="R66" s="56">
        <v>44337.0</v>
      </c>
      <c r="S66" s="35" t="s">
        <v>132</v>
      </c>
      <c r="T66" s="36" t="s">
        <v>133</v>
      </c>
      <c r="U66" s="35" t="s">
        <v>132</v>
      </c>
      <c r="V66" s="36" t="str">
        <f t="shared" si="2"/>
        <v>Internación moderada</v>
      </c>
      <c r="W66" s="35" t="s">
        <v>183</v>
      </c>
      <c r="X66" s="35" t="s">
        <v>132</v>
      </c>
      <c r="Y66" s="35">
        <v>3.0</v>
      </c>
      <c r="Z66" s="35">
        <v>2.0</v>
      </c>
      <c r="AA66" s="35">
        <v>2.0</v>
      </c>
      <c r="AB66" s="35">
        <v>2.0</v>
      </c>
      <c r="AC66" s="35">
        <v>1.0</v>
      </c>
      <c r="AD66" s="35">
        <v>1.0</v>
      </c>
      <c r="AE66" s="35">
        <v>1.0</v>
      </c>
      <c r="AF66" s="35">
        <v>1.0</v>
      </c>
      <c r="AG66" s="35">
        <v>1.0</v>
      </c>
      <c r="AH66" s="35">
        <v>1.0</v>
      </c>
      <c r="AI66" s="35">
        <v>1.0</v>
      </c>
      <c r="AJ66" s="35">
        <v>1.0</v>
      </c>
      <c r="AK66" s="36" t="s">
        <v>133</v>
      </c>
      <c r="AL66" s="40" t="s">
        <v>132</v>
      </c>
      <c r="AM66" s="35" t="s">
        <v>132</v>
      </c>
      <c r="AN66" s="35" t="s">
        <v>132</v>
      </c>
      <c r="AO66" s="35" t="s">
        <v>132</v>
      </c>
      <c r="AP66" s="35" t="s">
        <v>132</v>
      </c>
      <c r="AQ66" s="35" t="s">
        <v>132</v>
      </c>
      <c r="AR66" s="35" t="s">
        <v>131</v>
      </c>
      <c r="AS66" s="35" t="s">
        <v>132</v>
      </c>
      <c r="AT66" s="35" t="s">
        <v>132</v>
      </c>
      <c r="AU66" s="35" t="s">
        <v>132</v>
      </c>
      <c r="AV66" s="35" t="s">
        <v>132</v>
      </c>
      <c r="AW66" s="36" t="s">
        <v>133</v>
      </c>
      <c r="AX66" s="35" t="s">
        <v>131</v>
      </c>
      <c r="AY66" s="35">
        <v>0.25</v>
      </c>
      <c r="AZ66" s="35">
        <v>20.0</v>
      </c>
      <c r="BA66" s="36" t="s">
        <v>133</v>
      </c>
      <c r="BB66" s="35" t="s">
        <v>135</v>
      </c>
      <c r="BC66" s="39">
        <v>2.0</v>
      </c>
      <c r="BD66" s="40">
        <v>3.0</v>
      </c>
      <c r="BE66" s="35">
        <v>1.0</v>
      </c>
      <c r="BF66" s="35">
        <v>1.0</v>
      </c>
      <c r="BG66" s="35">
        <v>3.0</v>
      </c>
      <c r="BH66" s="35">
        <v>2.0</v>
      </c>
      <c r="BI66" s="44" t="str">
        <f t="shared" si="3"/>
        <v>31132</v>
      </c>
      <c r="BJ66" s="35">
        <v>75.0</v>
      </c>
      <c r="BK66" s="35">
        <v>5.0</v>
      </c>
      <c r="BL66" s="35">
        <v>5.0</v>
      </c>
      <c r="BM66" s="35">
        <v>3.0</v>
      </c>
      <c r="BN66" s="35">
        <v>2.0</v>
      </c>
      <c r="BO66" s="35">
        <v>5.0</v>
      </c>
      <c r="BP66" s="35">
        <v>5.0</v>
      </c>
      <c r="BQ66" s="35">
        <v>5.0</v>
      </c>
      <c r="BR66" s="35">
        <v>5.0</v>
      </c>
      <c r="BS66" s="35">
        <v>5.0</v>
      </c>
      <c r="BT66" s="35">
        <v>4.0</v>
      </c>
      <c r="BU66" s="44">
        <f t="shared" si="4"/>
        <v>4</v>
      </c>
      <c r="BV66" s="44">
        <f t="shared" si="5"/>
        <v>2</v>
      </c>
      <c r="BW66" s="44">
        <f t="shared" si="53"/>
        <v>44</v>
      </c>
      <c r="BX66" s="44" t="str">
        <f t="shared" si="7"/>
        <v>FATIGA EXTREMA</v>
      </c>
      <c r="BY66" s="35">
        <v>0.0</v>
      </c>
      <c r="BZ66" s="35">
        <v>0.0</v>
      </c>
      <c r="CA66" s="35">
        <v>0.0</v>
      </c>
      <c r="CB66" s="35">
        <v>0.0</v>
      </c>
      <c r="CC66" s="35">
        <v>0.0</v>
      </c>
      <c r="CD66" s="35">
        <v>0.0</v>
      </c>
      <c r="CE66" s="35">
        <v>6.0</v>
      </c>
      <c r="CF66" s="35">
        <v>0.0</v>
      </c>
      <c r="CG66" s="35">
        <v>15.0</v>
      </c>
      <c r="CH66" s="35">
        <v>2.0</v>
      </c>
      <c r="CI66" s="35">
        <v>0.0</v>
      </c>
      <c r="CJ66" s="44">
        <f t="shared" si="27"/>
        <v>297</v>
      </c>
      <c r="CK66" s="44">
        <f t="shared" si="28"/>
        <v>6</v>
      </c>
      <c r="CL66" s="44" t="b">
        <f t="shared" si="29"/>
        <v>0</v>
      </c>
      <c r="CM66" s="44" t="b">
        <f t="shared" si="30"/>
        <v>0</v>
      </c>
      <c r="CN66" s="45" t="str">
        <f t="shared" si="31"/>
        <v>Nivel de actividad física bajo</v>
      </c>
      <c r="CO66" s="35">
        <v>21.0</v>
      </c>
      <c r="CP66" s="35">
        <v>5.0</v>
      </c>
      <c r="CQ66" s="44">
        <f t="shared" si="32"/>
        <v>0</v>
      </c>
      <c r="CR66" s="35">
        <v>5.0</v>
      </c>
      <c r="CS66" s="35">
        <v>8.0</v>
      </c>
      <c r="CT66" s="35">
        <v>8.0</v>
      </c>
      <c r="CU66" s="35">
        <v>8.0</v>
      </c>
      <c r="CV66" s="35">
        <v>3.0</v>
      </c>
      <c r="CW66" s="35">
        <v>3.0</v>
      </c>
      <c r="CX66" s="35">
        <v>3.0</v>
      </c>
      <c r="CY66" s="35">
        <v>0.0</v>
      </c>
      <c r="CZ66" s="35">
        <v>3.0</v>
      </c>
      <c r="DA66" s="35">
        <v>3.0</v>
      </c>
      <c r="DB66" s="35">
        <v>3.0</v>
      </c>
      <c r="DC66" s="35">
        <v>3.0</v>
      </c>
      <c r="DD66" s="35">
        <v>3.0</v>
      </c>
      <c r="DE66" s="36" t="s">
        <v>133</v>
      </c>
      <c r="DF66" s="36" t="s">
        <v>133</v>
      </c>
      <c r="DG66" s="53">
        <f t="shared" si="55"/>
        <v>21</v>
      </c>
      <c r="DH66" s="35">
        <v>2.0</v>
      </c>
      <c r="DI66" s="35">
        <v>3.0</v>
      </c>
      <c r="DJ66" s="35">
        <v>3.0</v>
      </c>
      <c r="DK66" s="35">
        <v>3.0</v>
      </c>
      <c r="DL66" s="46">
        <f t="shared" si="34"/>
        <v>100</v>
      </c>
      <c r="DM66" s="44">
        <f t="shared" si="35"/>
        <v>0</v>
      </c>
      <c r="DN66" s="44">
        <f t="shared" si="36"/>
        <v>3</v>
      </c>
      <c r="DO66" s="44">
        <f t="shared" si="37"/>
        <v>2</v>
      </c>
      <c r="DP66" s="44">
        <f t="shared" si="38"/>
        <v>3</v>
      </c>
      <c r="DQ66" s="44">
        <f t="shared" si="39"/>
        <v>0</v>
      </c>
      <c r="DR66" s="44">
        <f t="shared" ref="DR66:DS66" si="105">(DH66)</f>
        <v>2</v>
      </c>
      <c r="DS66" s="44">
        <f t="shared" si="105"/>
        <v>3</v>
      </c>
      <c r="DT66" s="44">
        <f t="shared" si="41"/>
        <v>13</v>
      </c>
      <c r="DU66" s="44" t="str">
        <f t="shared" si="42"/>
        <v>poor sleep quality</v>
      </c>
      <c r="DV66" s="35">
        <v>2.0</v>
      </c>
      <c r="DW66" s="35" t="s">
        <v>328</v>
      </c>
      <c r="DX66" s="35" t="s">
        <v>146</v>
      </c>
      <c r="DY66" s="35">
        <v>1.0</v>
      </c>
      <c r="DZ66" s="35" t="s">
        <v>131</v>
      </c>
      <c r="EA66" s="35" t="s">
        <v>162</v>
      </c>
      <c r="EB66" s="35" t="s">
        <v>139</v>
      </c>
      <c r="EC66" s="36" t="s">
        <v>133</v>
      </c>
      <c r="ED66" s="36" t="s">
        <v>133</v>
      </c>
      <c r="EE66" s="35" t="s">
        <v>203</v>
      </c>
      <c r="EF66" s="35">
        <f t="shared" si="51"/>
        <v>777</v>
      </c>
      <c r="EG66" s="35">
        <f t="shared" si="52"/>
        <v>777</v>
      </c>
      <c r="EH66" s="47">
        <f t="shared" si="24"/>
        <v>29.98358793</v>
      </c>
    </row>
    <row r="67" ht="15.0" customHeight="1">
      <c r="A67" s="35" t="s">
        <v>329</v>
      </c>
      <c r="B67" s="36" t="s">
        <v>175</v>
      </c>
      <c r="C67" s="37">
        <v>45108.0</v>
      </c>
      <c r="D67" s="48">
        <v>36.0</v>
      </c>
      <c r="E67" s="35" t="s">
        <v>153</v>
      </c>
      <c r="F67" s="35">
        <v>170.0</v>
      </c>
      <c r="G67" s="39">
        <v>70.0</v>
      </c>
      <c r="H67" s="40" t="s">
        <v>131</v>
      </c>
      <c r="I67" s="35">
        <v>3.0</v>
      </c>
      <c r="J67" s="41">
        <v>44621.0</v>
      </c>
      <c r="K67" s="35" t="s">
        <v>131</v>
      </c>
      <c r="L67" s="35">
        <v>1.0</v>
      </c>
      <c r="M67" s="41">
        <v>44298.0</v>
      </c>
      <c r="N67" s="35">
        <v>0.0</v>
      </c>
      <c r="O67" s="41">
        <v>44298.0</v>
      </c>
      <c r="P67" s="35" t="s">
        <v>131</v>
      </c>
      <c r="Q67" s="56">
        <v>44310.0</v>
      </c>
      <c r="R67" s="56">
        <v>44344.0</v>
      </c>
      <c r="S67" s="36" t="s">
        <v>133</v>
      </c>
      <c r="T67" s="36" t="s">
        <v>133</v>
      </c>
      <c r="U67" s="35" t="s">
        <v>131</v>
      </c>
      <c r="V67" s="36" t="str">
        <f t="shared" si="2"/>
        <v>Internación severa (UCI)</v>
      </c>
      <c r="W67" s="35" t="s">
        <v>176</v>
      </c>
      <c r="X67" s="35" t="s">
        <v>132</v>
      </c>
      <c r="Y67" s="35">
        <v>3.0</v>
      </c>
      <c r="Z67" s="35">
        <v>1.0</v>
      </c>
      <c r="AA67" s="35">
        <v>2.0</v>
      </c>
      <c r="AB67" s="35">
        <v>2.0</v>
      </c>
      <c r="AC67" s="35">
        <v>1.0</v>
      </c>
      <c r="AD67" s="35">
        <v>1.0</v>
      </c>
      <c r="AE67" s="35">
        <v>2.0</v>
      </c>
      <c r="AF67" s="35">
        <v>3.0</v>
      </c>
      <c r="AG67" s="35">
        <v>3.0</v>
      </c>
      <c r="AH67" s="35">
        <v>3.0</v>
      </c>
      <c r="AI67" s="35">
        <v>3.0</v>
      </c>
      <c r="AJ67" s="35">
        <v>3.0</v>
      </c>
      <c r="AK67" s="39" t="s">
        <v>330</v>
      </c>
      <c r="AL67" s="40" t="s">
        <v>131</v>
      </c>
      <c r="AM67" s="35" t="s">
        <v>132</v>
      </c>
      <c r="AN67" s="35" t="s">
        <v>132</v>
      </c>
      <c r="AO67" s="35" t="s">
        <v>131</v>
      </c>
      <c r="AP67" s="35" t="s">
        <v>132</v>
      </c>
      <c r="AQ67" s="35" t="s">
        <v>132</v>
      </c>
      <c r="AR67" s="35" t="s">
        <v>132</v>
      </c>
      <c r="AS67" s="35" t="s">
        <v>131</v>
      </c>
      <c r="AT67" s="35" t="s">
        <v>132</v>
      </c>
      <c r="AU67" s="35" t="s">
        <v>132</v>
      </c>
      <c r="AV67" s="35" t="s">
        <v>131</v>
      </c>
      <c r="AW67" s="35" t="s">
        <v>331</v>
      </c>
      <c r="AX67" s="35" t="s">
        <v>131</v>
      </c>
      <c r="AY67" s="35" t="s">
        <v>332</v>
      </c>
      <c r="AZ67" s="36" t="s">
        <v>133</v>
      </c>
      <c r="BA67" s="36" t="s">
        <v>133</v>
      </c>
      <c r="BB67" s="35" t="s">
        <v>135</v>
      </c>
      <c r="BC67" s="39">
        <v>5.0</v>
      </c>
      <c r="BD67" s="40">
        <v>4.0</v>
      </c>
      <c r="BE67" s="35">
        <v>1.0</v>
      </c>
      <c r="BF67" s="35">
        <v>4.0</v>
      </c>
      <c r="BG67" s="35">
        <v>3.0</v>
      </c>
      <c r="BH67" s="35">
        <v>4.0</v>
      </c>
      <c r="BI67" s="44" t="str">
        <f t="shared" si="3"/>
        <v>41434</v>
      </c>
      <c r="BJ67" s="35">
        <v>50.0</v>
      </c>
      <c r="BK67" s="35">
        <v>2.0</v>
      </c>
      <c r="BL67" s="35">
        <v>3.0</v>
      </c>
      <c r="BM67" s="35">
        <v>3.0</v>
      </c>
      <c r="BN67" s="35">
        <v>2.0</v>
      </c>
      <c r="BO67" s="35">
        <v>2.0</v>
      </c>
      <c r="BP67" s="35">
        <v>5.0</v>
      </c>
      <c r="BQ67" s="35">
        <v>1.0</v>
      </c>
      <c r="BR67" s="35">
        <v>1.0</v>
      </c>
      <c r="BS67" s="35">
        <v>1.0</v>
      </c>
      <c r="BT67" s="35">
        <v>5.0</v>
      </c>
      <c r="BU67" s="44">
        <f t="shared" si="4"/>
        <v>4</v>
      </c>
      <c r="BV67" s="44">
        <f t="shared" si="5"/>
        <v>1</v>
      </c>
      <c r="BW67" s="44">
        <f t="shared" si="53"/>
        <v>24</v>
      </c>
      <c r="BX67" s="44" t="str">
        <f t="shared" si="7"/>
        <v>FATIGA</v>
      </c>
      <c r="BY67" s="35">
        <v>0.0</v>
      </c>
      <c r="BZ67" s="35">
        <v>0.0</v>
      </c>
      <c r="CA67" s="35">
        <v>0.0</v>
      </c>
      <c r="CB67" s="35">
        <v>0.0</v>
      </c>
      <c r="CC67" s="35">
        <v>0.0</v>
      </c>
      <c r="CD67" s="35">
        <v>0.0</v>
      </c>
      <c r="CE67" s="35">
        <v>2.0</v>
      </c>
      <c r="CF67" s="35">
        <v>0.0</v>
      </c>
      <c r="CG67" s="35">
        <v>10.0</v>
      </c>
      <c r="CH67" s="35">
        <v>1.0</v>
      </c>
      <c r="CI67" s="35">
        <v>0.0</v>
      </c>
      <c r="CJ67" s="44">
        <f t="shared" si="27"/>
        <v>66</v>
      </c>
      <c r="CK67" s="44">
        <f t="shared" si="28"/>
        <v>2</v>
      </c>
      <c r="CL67" s="44" t="b">
        <f t="shared" si="29"/>
        <v>0</v>
      </c>
      <c r="CM67" s="44" t="b">
        <f t="shared" si="30"/>
        <v>0</v>
      </c>
      <c r="CN67" s="45" t="str">
        <f t="shared" si="31"/>
        <v>Nivel de actividad física bajo</v>
      </c>
      <c r="CO67" s="35">
        <v>15.0</v>
      </c>
      <c r="CP67" s="35">
        <v>30.0</v>
      </c>
      <c r="CQ67" s="44">
        <f t="shared" si="32"/>
        <v>1</v>
      </c>
      <c r="CR67" s="35">
        <v>22.0</v>
      </c>
      <c r="CS67" s="35">
        <v>0.0</v>
      </c>
      <c r="CT67" s="35">
        <v>7.0</v>
      </c>
      <c r="CU67" s="35">
        <v>8.0</v>
      </c>
      <c r="CV67" s="35">
        <v>3.0</v>
      </c>
      <c r="CW67" s="35">
        <v>3.0</v>
      </c>
      <c r="CX67" s="35">
        <v>1.0</v>
      </c>
      <c r="CY67" s="35">
        <v>1.0</v>
      </c>
      <c r="CZ67" s="35">
        <v>0.0</v>
      </c>
      <c r="DA67" s="35">
        <v>0.0</v>
      </c>
      <c r="DB67" s="35">
        <v>0.0</v>
      </c>
      <c r="DC67" s="35">
        <v>1.0</v>
      </c>
      <c r="DD67" s="35">
        <v>2.0</v>
      </c>
      <c r="DE67" s="35">
        <v>1.0</v>
      </c>
      <c r="DF67" s="35" t="s">
        <v>333</v>
      </c>
      <c r="DG67" s="53">
        <f t="shared" si="55"/>
        <v>9</v>
      </c>
      <c r="DH67" s="35">
        <v>1.0</v>
      </c>
      <c r="DI67" s="35">
        <v>3.0</v>
      </c>
      <c r="DJ67" s="35">
        <v>3.0</v>
      </c>
      <c r="DK67" s="35">
        <v>3.0</v>
      </c>
      <c r="DL67" s="46">
        <f t="shared" si="34"/>
        <v>114.2857143</v>
      </c>
      <c r="DM67" s="44">
        <f t="shared" si="35"/>
        <v>0</v>
      </c>
      <c r="DN67" s="44">
        <f t="shared" si="36"/>
        <v>1</v>
      </c>
      <c r="DO67" s="44">
        <f t="shared" si="37"/>
        <v>2</v>
      </c>
      <c r="DP67" s="44">
        <f t="shared" si="38"/>
        <v>3</v>
      </c>
      <c r="DQ67" s="44">
        <f t="shared" si="39"/>
        <v>0</v>
      </c>
      <c r="DR67" s="44">
        <f t="shared" ref="DR67:DS67" si="106">(DH67)</f>
        <v>1</v>
      </c>
      <c r="DS67" s="44">
        <f t="shared" si="106"/>
        <v>3</v>
      </c>
      <c r="DT67" s="44">
        <f t="shared" si="41"/>
        <v>10</v>
      </c>
      <c r="DU67" s="44" t="str">
        <f t="shared" si="42"/>
        <v>poor sleep quality</v>
      </c>
      <c r="DV67" s="35">
        <v>2.0</v>
      </c>
      <c r="DW67" s="35" t="s">
        <v>247</v>
      </c>
      <c r="DX67" s="35" t="s">
        <v>137</v>
      </c>
      <c r="DY67" s="35">
        <v>1.0</v>
      </c>
      <c r="DZ67" s="35" t="s">
        <v>131</v>
      </c>
      <c r="EA67" s="35" t="s">
        <v>334</v>
      </c>
      <c r="EB67" s="35" t="s">
        <v>335</v>
      </c>
      <c r="EC67" s="36" t="s">
        <v>133</v>
      </c>
      <c r="ED67" s="35" t="s">
        <v>131</v>
      </c>
      <c r="EE67" s="35" t="s">
        <v>151</v>
      </c>
      <c r="EF67" s="35">
        <f t="shared" si="51"/>
        <v>810</v>
      </c>
      <c r="EG67" s="35">
        <f t="shared" si="52"/>
        <v>810</v>
      </c>
      <c r="EH67" s="47">
        <f t="shared" si="24"/>
        <v>24.22145329</v>
      </c>
    </row>
    <row r="68" ht="17.25" customHeight="1">
      <c r="A68" s="35" t="s">
        <v>336</v>
      </c>
      <c r="B68" s="36" t="s">
        <v>175</v>
      </c>
      <c r="C68" s="37">
        <v>45121.0</v>
      </c>
      <c r="D68" s="48">
        <v>49.0</v>
      </c>
      <c r="E68" s="35" t="s">
        <v>130</v>
      </c>
      <c r="F68" s="35">
        <v>163.0</v>
      </c>
      <c r="G68" s="39">
        <v>62.0</v>
      </c>
      <c r="H68" s="40" t="s">
        <v>131</v>
      </c>
      <c r="I68" s="35">
        <v>3.0</v>
      </c>
      <c r="J68" s="41">
        <v>44552.0</v>
      </c>
      <c r="K68" s="35" t="s">
        <v>131</v>
      </c>
      <c r="L68" s="35">
        <v>3.0</v>
      </c>
      <c r="M68" s="41">
        <v>44044.0</v>
      </c>
      <c r="N68" s="35">
        <v>0.0</v>
      </c>
      <c r="O68" s="41">
        <v>44440.0</v>
      </c>
      <c r="P68" s="35" t="s">
        <v>132</v>
      </c>
      <c r="Q68" s="36" t="s">
        <v>133</v>
      </c>
      <c r="R68" s="36" t="s">
        <v>133</v>
      </c>
      <c r="S68" s="36" t="s">
        <v>133</v>
      </c>
      <c r="T68" s="36" t="s">
        <v>133</v>
      </c>
      <c r="U68" s="36" t="s">
        <v>133</v>
      </c>
      <c r="V68" s="36" t="str">
        <f t="shared" si="2"/>
        <v>Paciente ambulatorio</v>
      </c>
      <c r="W68" s="35" t="s">
        <v>183</v>
      </c>
      <c r="X68" s="35" t="s">
        <v>132</v>
      </c>
      <c r="Y68" s="35">
        <v>3.0</v>
      </c>
      <c r="Z68" s="35">
        <v>1.0</v>
      </c>
      <c r="AA68" s="35">
        <v>2.0</v>
      </c>
      <c r="AB68" s="35">
        <v>2.0</v>
      </c>
      <c r="AC68" s="35">
        <v>1.0</v>
      </c>
      <c r="AD68" s="35">
        <v>3.0</v>
      </c>
      <c r="AE68" s="35">
        <v>3.0</v>
      </c>
      <c r="AF68" s="35">
        <v>3.0</v>
      </c>
      <c r="AG68" s="35">
        <v>3.0</v>
      </c>
      <c r="AH68" s="35">
        <v>3.0</v>
      </c>
      <c r="AI68" s="35">
        <v>3.0</v>
      </c>
      <c r="AJ68" s="35">
        <v>3.0</v>
      </c>
      <c r="AK68" s="36" t="s">
        <v>133</v>
      </c>
      <c r="AL68" s="40" t="s">
        <v>132</v>
      </c>
      <c r="AM68" s="35" t="s">
        <v>132</v>
      </c>
      <c r="AN68" s="35" t="s">
        <v>132</v>
      </c>
      <c r="AO68" s="35" t="s">
        <v>132</v>
      </c>
      <c r="AP68" s="35" t="s">
        <v>132</v>
      </c>
      <c r="AQ68" s="35" t="s">
        <v>132</v>
      </c>
      <c r="AR68" s="35" t="s">
        <v>132</v>
      </c>
      <c r="AS68" s="35" t="s">
        <v>132</v>
      </c>
      <c r="AT68" s="35" t="s">
        <v>132</v>
      </c>
      <c r="AU68" s="35" t="s">
        <v>132</v>
      </c>
      <c r="AV68" s="35" t="s">
        <v>131</v>
      </c>
      <c r="AW68" s="35" t="s">
        <v>337</v>
      </c>
      <c r="AX68" s="35" t="s">
        <v>165</v>
      </c>
      <c r="AY68" s="36" t="s">
        <v>133</v>
      </c>
      <c r="AZ68" s="36" t="s">
        <v>133</v>
      </c>
      <c r="BA68" s="35">
        <v>10.0</v>
      </c>
      <c r="BB68" s="35" t="s">
        <v>145</v>
      </c>
      <c r="BC68" s="36" t="s">
        <v>133</v>
      </c>
      <c r="BD68" s="40">
        <v>1.0</v>
      </c>
      <c r="BE68" s="35">
        <v>1.0</v>
      </c>
      <c r="BF68" s="35">
        <v>1.0</v>
      </c>
      <c r="BG68" s="35">
        <v>2.0</v>
      </c>
      <c r="BH68" s="35">
        <v>2.0</v>
      </c>
      <c r="BI68" s="44" t="str">
        <f t="shared" si="3"/>
        <v>11122</v>
      </c>
      <c r="BJ68" s="35">
        <v>85.0</v>
      </c>
      <c r="BK68" s="35">
        <v>2.0</v>
      </c>
      <c r="BL68" s="35">
        <v>3.0</v>
      </c>
      <c r="BM68" s="35">
        <v>2.0</v>
      </c>
      <c r="BN68" s="35">
        <v>5.0</v>
      </c>
      <c r="BO68" s="35">
        <v>2.0</v>
      </c>
      <c r="BP68" s="36" t="s">
        <v>133</v>
      </c>
      <c r="BQ68" s="35">
        <v>2.0</v>
      </c>
      <c r="BR68" s="35">
        <v>1.0</v>
      </c>
      <c r="BS68" s="35">
        <v>2.0</v>
      </c>
      <c r="BT68" s="35">
        <v>4.0</v>
      </c>
      <c r="BU68" s="44">
        <f t="shared" si="4"/>
        <v>1</v>
      </c>
      <c r="BV68" s="44">
        <f t="shared" si="5"/>
        <v>2</v>
      </c>
      <c r="BW68" s="44">
        <f t="shared" si="53"/>
        <v>20</v>
      </c>
      <c r="BX68" s="44" t="str">
        <f t="shared" si="7"/>
        <v>NO HAY FATIGA</v>
      </c>
      <c r="BY68" s="35">
        <v>0.0</v>
      </c>
      <c r="BZ68" s="35">
        <v>0.0</v>
      </c>
      <c r="CA68" s="35">
        <v>0.0</v>
      </c>
      <c r="CB68" s="35">
        <v>0.0</v>
      </c>
      <c r="CC68" s="35">
        <v>0.0</v>
      </c>
      <c r="CD68" s="35">
        <v>0.0</v>
      </c>
      <c r="CE68" s="35">
        <v>1.0</v>
      </c>
      <c r="CF68" s="35">
        <v>0.0</v>
      </c>
      <c r="CG68" s="35">
        <v>25.0</v>
      </c>
      <c r="CH68" s="35">
        <v>6.0</v>
      </c>
      <c r="CI68" s="35">
        <v>0.0</v>
      </c>
      <c r="CJ68" s="44">
        <f t="shared" si="27"/>
        <v>82.5</v>
      </c>
      <c r="CK68" s="44">
        <f t="shared" si="28"/>
        <v>1</v>
      </c>
      <c r="CL68" s="44" t="b">
        <f t="shared" si="29"/>
        <v>0</v>
      </c>
      <c r="CM68" s="44" t="b">
        <f t="shared" si="30"/>
        <v>0</v>
      </c>
      <c r="CN68" s="45" t="str">
        <f t="shared" si="31"/>
        <v>Nivel de actividad física bajo</v>
      </c>
      <c r="CO68" s="51">
        <v>0.020833333333333332</v>
      </c>
      <c r="CP68" s="35">
        <v>30.0</v>
      </c>
      <c r="CQ68" s="44">
        <f t="shared" si="32"/>
        <v>1</v>
      </c>
      <c r="CR68" s="35">
        <v>7.0</v>
      </c>
      <c r="CS68" s="35">
        <v>30.0</v>
      </c>
      <c r="CT68" s="35">
        <v>7.5</v>
      </c>
      <c r="CU68" s="35">
        <v>7.0</v>
      </c>
      <c r="CV68" s="35">
        <v>2.0</v>
      </c>
      <c r="CW68" s="35">
        <v>0.0</v>
      </c>
      <c r="CX68" s="35">
        <v>1.0</v>
      </c>
      <c r="CY68" s="35">
        <v>0.0</v>
      </c>
      <c r="CZ68" s="35">
        <v>0.0</v>
      </c>
      <c r="DA68" s="35">
        <v>0.0</v>
      </c>
      <c r="DB68" s="35">
        <v>0.0</v>
      </c>
      <c r="DC68" s="35">
        <v>0.0</v>
      </c>
      <c r="DD68" s="35">
        <v>2.0</v>
      </c>
      <c r="DE68" s="35">
        <v>0.0</v>
      </c>
      <c r="DF68" s="36" t="s">
        <v>133</v>
      </c>
      <c r="DG68" s="53">
        <f t="shared" si="55"/>
        <v>3</v>
      </c>
      <c r="DH68" s="35">
        <v>1.0</v>
      </c>
      <c r="DI68" s="35">
        <v>3.0</v>
      </c>
      <c r="DJ68" s="35">
        <v>2.0</v>
      </c>
      <c r="DK68" s="35">
        <v>0.0</v>
      </c>
      <c r="DL68" s="46">
        <f t="shared" si="34"/>
        <v>93.33333333</v>
      </c>
      <c r="DM68" s="44">
        <f t="shared" si="35"/>
        <v>0</v>
      </c>
      <c r="DN68" s="44">
        <f t="shared" si="36"/>
        <v>1</v>
      </c>
      <c r="DO68" s="44">
        <f t="shared" si="37"/>
        <v>2</v>
      </c>
      <c r="DP68" s="44">
        <f t="shared" si="38"/>
        <v>1</v>
      </c>
      <c r="DQ68" s="44">
        <f t="shared" si="39"/>
        <v>0</v>
      </c>
      <c r="DR68" s="44">
        <f t="shared" ref="DR68:DS68" si="107">(DH68)</f>
        <v>1</v>
      </c>
      <c r="DS68" s="44">
        <f t="shared" si="107"/>
        <v>3</v>
      </c>
      <c r="DT68" s="44">
        <f t="shared" si="41"/>
        <v>8</v>
      </c>
      <c r="DU68" s="44" t="str">
        <f t="shared" si="42"/>
        <v>poor sleep quality</v>
      </c>
      <c r="DV68" s="35">
        <v>2.0</v>
      </c>
      <c r="DW68" s="35" t="s">
        <v>328</v>
      </c>
      <c r="DX68" s="35" t="s">
        <v>146</v>
      </c>
      <c r="DY68" s="35">
        <v>1.0</v>
      </c>
      <c r="DZ68" s="35" t="s">
        <v>131</v>
      </c>
      <c r="EA68" s="35" t="s">
        <v>157</v>
      </c>
      <c r="EB68" s="35" t="s">
        <v>172</v>
      </c>
      <c r="EC68" s="36" t="s">
        <v>133</v>
      </c>
      <c r="ED68" s="35" t="s">
        <v>132</v>
      </c>
      <c r="EE68" s="35" t="s">
        <v>203</v>
      </c>
      <c r="EF68" s="35">
        <f t="shared" si="51"/>
        <v>1077</v>
      </c>
      <c r="EG68" s="35">
        <f t="shared" si="52"/>
        <v>681</v>
      </c>
      <c r="EH68" s="47">
        <f t="shared" si="24"/>
        <v>23.33546614</v>
      </c>
    </row>
    <row r="69" ht="17.25" customHeight="1">
      <c r="A69" s="35" t="s">
        <v>338</v>
      </c>
      <c r="B69" s="36" t="s">
        <v>175</v>
      </c>
      <c r="C69" s="37">
        <v>45121.0</v>
      </c>
      <c r="D69" s="48">
        <v>54.0</v>
      </c>
      <c r="E69" s="35" t="s">
        <v>130</v>
      </c>
      <c r="F69" s="35">
        <v>156.0</v>
      </c>
      <c r="G69" s="39">
        <v>53.0</v>
      </c>
      <c r="H69" s="40" t="s">
        <v>131</v>
      </c>
      <c r="I69" s="35">
        <v>5.0</v>
      </c>
      <c r="J69" s="41">
        <v>44896.0</v>
      </c>
      <c r="K69" s="35" t="s">
        <v>131</v>
      </c>
      <c r="L69" s="35">
        <v>1.0</v>
      </c>
      <c r="M69" s="41">
        <v>44562.0</v>
      </c>
      <c r="N69" s="36" t="s">
        <v>133</v>
      </c>
      <c r="O69" s="41">
        <v>44562.0</v>
      </c>
      <c r="P69" s="35" t="s">
        <v>132</v>
      </c>
      <c r="Q69" s="36" t="s">
        <v>133</v>
      </c>
      <c r="R69" s="36" t="s">
        <v>133</v>
      </c>
      <c r="S69" s="36" t="s">
        <v>133</v>
      </c>
      <c r="T69" s="36" t="s">
        <v>133</v>
      </c>
      <c r="U69" s="36" t="s">
        <v>133</v>
      </c>
      <c r="V69" s="36" t="str">
        <f t="shared" si="2"/>
        <v>Paciente ambulatorio</v>
      </c>
      <c r="W69" s="35" t="s">
        <v>190</v>
      </c>
      <c r="X69" s="35" t="s">
        <v>132</v>
      </c>
      <c r="Y69" s="35">
        <v>1.0</v>
      </c>
      <c r="Z69" s="35">
        <v>3.0</v>
      </c>
      <c r="AA69" s="35">
        <v>2.0</v>
      </c>
      <c r="AB69" s="35">
        <v>2.0</v>
      </c>
      <c r="AC69" s="35">
        <v>3.0</v>
      </c>
      <c r="AD69" s="35">
        <v>1.0</v>
      </c>
      <c r="AE69" s="35">
        <v>1.0</v>
      </c>
      <c r="AF69" s="35">
        <v>1.0</v>
      </c>
      <c r="AG69" s="35">
        <v>1.0</v>
      </c>
      <c r="AH69" s="35">
        <v>1.0</v>
      </c>
      <c r="AI69" s="35">
        <v>1.0</v>
      </c>
      <c r="AJ69" s="35">
        <v>1.0</v>
      </c>
      <c r="AK69" s="39" t="s">
        <v>339</v>
      </c>
      <c r="AL69" s="40" t="s">
        <v>132</v>
      </c>
      <c r="AM69" s="35" t="s">
        <v>132</v>
      </c>
      <c r="AN69" s="35" t="s">
        <v>132</v>
      </c>
      <c r="AO69" s="35" t="s">
        <v>131</v>
      </c>
      <c r="AP69" s="35" t="s">
        <v>132</v>
      </c>
      <c r="AQ69" s="35" t="s">
        <v>132</v>
      </c>
      <c r="AR69" s="35" t="s">
        <v>132</v>
      </c>
      <c r="AS69" s="35" t="s">
        <v>132</v>
      </c>
      <c r="AT69" s="35" t="s">
        <v>132</v>
      </c>
      <c r="AU69" s="35" t="s">
        <v>132</v>
      </c>
      <c r="AV69" s="35" t="s">
        <v>131</v>
      </c>
      <c r="AW69" s="35" t="s">
        <v>340</v>
      </c>
      <c r="AX69" s="35" t="s">
        <v>131</v>
      </c>
      <c r="AY69" s="35">
        <v>10.0</v>
      </c>
      <c r="AZ69" s="36" t="s">
        <v>133</v>
      </c>
      <c r="BA69" s="35">
        <v>10.0</v>
      </c>
      <c r="BB69" s="35" t="s">
        <v>145</v>
      </c>
      <c r="BC69" s="36" t="s">
        <v>133</v>
      </c>
      <c r="BD69" s="40">
        <v>1.0</v>
      </c>
      <c r="BE69" s="35">
        <v>1.0</v>
      </c>
      <c r="BF69" s="35">
        <v>2.0</v>
      </c>
      <c r="BG69" s="35">
        <v>2.0</v>
      </c>
      <c r="BH69" s="35">
        <v>3.0</v>
      </c>
      <c r="BI69" s="44" t="str">
        <f t="shared" si="3"/>
        <v>11223</v>
      </c>
      <c r="BJ69" s="35">
        <v>45.0</v>
      </c>
      <c r="BK69" s="35">
        <v>1.0</v>
      </c>
      <c r="BL69" s="35">
        <v>2.0</v>
      </c>
      <c r="BM69" s="35">
        <v>2.0</v>
      </c>
      <c r="BN69" s="35">
        <v>2.0</v>
      </c>
      <c r="BO69" s="35">
        <v>2.0</v>
      </c>
      <c r="BP69" s="35">
        <v>2.0</v>
      </c>
      <c r="BQ69" s="35">
        <v>2.0</v>
      </c>
      <c r="BR69" s="35">
        <v>2.0</v>
      </c>
      <c r="BS69" s="35">
        <v>2.0</v>
      </c>
      <c r="BT69" s="35">
        <v>2.0</v>
      </c>
      <c r="BU69" s="44">
        <f t="shared" si="4"/>
        <v>4</v>
      </c>
      <c r="BV69" s="44">
        <f t="shared" si="5"/>
        <v>4</v>
      </c>
      <c r="BW69" s="44">
        <f t="shared" si="53"/>
        <v>21</v>
      </c>
      <c r="BX69" s="44" t="str">
        <f t="shared" si="7"/>
        <v>NO HAY FATIGA</v>
      </c>
      <c r="BY69" s="35">
        <v>0.0</v>
      </c>
      <c r="BZ69" s="35">
        <v>0.0</v>
      </c>
      <c r="CA69" s="35">
        <v>0.0</v>
      </c>
      <c r="CB69" s="35">
        <v>0.0</v>
      </c>
      <c r="CC69" s="35">
        <v>0.0</v>
      </c>
      <c r="CD69" s="35">
        <v>0.0</v>
      </c>
      <c r="CE69" s="35">
        <v>3.0</v>
      </c>
      <c r="CF69" s="35">
        <v>1.0</v>
      </c>
      <c r="CG69" s="35">
        <v>0.0</v>
      </c>
      <c r="CH69" s="35">
        <v>4.0</v>
      </c>
      <c r="CI69" s="35">
        <v>0.0</v>
      </c>
      <c r="CJ69" s="44">
        <f t="shared" si="27"/>
        <v>594</v>
      </c>
      <c r="CK69" s="44">
        <f t="shared" si="28"/>
        <v>3</v>
      </c>
      <c r="CL69" s="44" t="b">
        <f t="shared" si="29"/>
        <v>0</v>
      </c>
      <c r="CM69" s="44" t="b">
        <f t="shared" si="30"/>
        <v>0</v>
      </c>
      <c r="CN69" s="45" t="str">
        <f t="shared" si="31"/>
        <v>Nivel de actividad física bajo</v>
      </c>
      <c r="CO69" s="35">
        <v>1.0</v>
      </c>
      <c r="CP69" s="35">
        <v>30.0</v>
      </c>
      <c r="CQ69" s="44">
        <f t="shared" si="32"/>
        <v>1</v>
      </c>
      <c r="CR69" s="35">
        <v>9.0</v>
      </c>
      <c r="CS69" s="35">
        <v>0.0</v>
      </c>
      <c r="CT69" s="35">
        <v>7.5</v>
      </c>
      <c r="CU69" s="35">
        <v>7.0</v>
      </c>
      <c r="CV69" s="35">
        <v>3.0</v>
      </c>
      <c r="CW69" s="35">
        <v>2.0</v>
      </c>
      <c r="CX69" s="35">
        <v>0.0</v>
      </c>
      <c r="CY69" s="35">
        <v>0.0</v>
      </c>
      <c r="CZ69" s="35">
        <v>0.0</v>
      </c>
      <c r="DA69" s="35">
        <v>0.0</v>
      </c>
      <c r="DB69" s="35">
        <v>0.0</v>
      </c>
      <c r="DC69" s="35">
        <v>1.0</v>
      </c>
      <c r="DD69" s="35">
        <v>2.0</v>
      </c>
      <c r="DE69" s="35">
        <v>1.0</v>
      </c>
      <c r="DF69" s="35" t="s">
        <v>304</v>
      </c>
      <c r="DG69" s="53">
        <f t="shared" si="55"/>
        <v>6</v>
      </c>
      <c r="DH69" s="35">
        <v>1.0</v>
      </c>
      <c r="DI69" s="35">
        <v>3.0</v>
      </c>
      <c r="DJ69" s="35">
        <v>3.0</v>
      </c>
      <c r="DK69" s="35">
        <v>1.0</v>
      </c>
      <c r="DL69" s="46">
        <f t="shared" si="34"/>
        <v>93.33333333</v>
      </c>
      <c r="DM69" s="44">
        <f t="shared" si="35"/>
        <v>0</v>
      </c>
      <c r="DN69" s="44">
        <f t="shared" si="36"/>
        <v>1</v>
      </c>
      <c r="DO69" s="44">
        <f t="shared" si="37"/>
        <v>2</v>
      </c>
      <c r="DP69" s="44">
        <f t="shared" si="38"/>
        <v>2</v>
      </c>
      <c r="DQ69" s="44">
        <f t="shared" si="39"/>
        <v>0</v>
      </c>
      <c r="DR69" s="44">
        <f t="shared" ref="DR69:DS69" si="108">(DH69)</f>
        <v>1</v>
      </c>
      <c r="DS69" s="44">
        <f t="shared" si="108"/>
        <v>3</v>
      </c>
      <c r="DT69" s="44">
        <f t="shared" si="41"/>
        <v>9</v>
      </c>
      <c r="DU69" s="44" t="str">
        <f t="shared" si="42"/>
        <v>poor sleep quality</v>
      </c>
      <c r="DV69" s="35">
        <v>3.0</v>
      </c>
      <c r="DW69" s="35" t="s">
        <v>341</v>
      </c>
      <c r="DX69" s="35" t="s">
        <v>207</v>
      </c>
      <c r="DY69" s="35">
        <v>1.0</v>
      </c>
      <c r="DZ69" s="35" t="s">
        <v>132</v>
      </c>
      <c r="EA69" s="35" t="s">
        <v>157</v>
      </c>
      <c r="EB69" s="35" t="s">
        <v>287</v>
      </c>
      <c r="EC69" s="36" t="s">
        <v>133</v>
      </c>
      <c r="ED69" s="35" t="s">
        <v>132</v>
      </c>
      <c r="EE69" s="35" t="s">
        <v>141</v>
      </c>
      <c r="EF69" s="35">
        <f t="shared" si="51"/>
        <v>559</v>
      </c>
      <c r="EG69" s="35">
        <f t="shared" si="52"/>
        <v>559</v>
      </c>
      <c r="EH69" s="47">
        <f t="shared" si="24"/>
        <v>21.77843524</v>
      </c>
    </row>
    <row r="70" ht="15.75" customHeight="1">
      <c r="A70" s="35" t="s">
        <v>342</v>
      </c>
      <c r="B70" s="36" t="s">
        <v>129</v>
      </c>
      <c r="C70" s="37">
        <v>45135.0</v>
      </c>
      <c r="D70" s="48">
        <v>35.0</v>
      </c>
      <c r="E70" s="35" t="s">
        <v>153</v>
      </c>
      <c r="F70" s="35">
        <v>180.0</v>
      </c>
      <c r="G70" s="39">
        <v>84.0</v>
      </c>
      <c r="H70" s="40" t="s">
        <v>131</v>
      </c>
      <c r="I70" s="35">
        <v>4.0</v>
      </c>
      <c r="J70" s="55">
        <v>44569.0</v>
      </c>
      <c r="K70" s="57" t="s">
        <v>131</v>
      </c>
      <c r="L70" s="36" t="s">
        <v>133</v>
      </c>
      <c r="M70" s="42" t="s">
        <v>133</v>
      </c>
      <c r="N70" s="36" t="s">
        <v>133</v>
      </c>
      <c r="O70" s="42" t="s">
        <v>133</v>
      </c>
      <c r="P70" s="35" t="s">
        <v>132</v>
      </c>
      <c r="Q70" s="36" t="s">
        <v>133</v>
      </c>
      <c r="R70" s="36" t="s">
        <v>133</v>
      </c>
      <c r="S70" s="36" t="s">
        <v>133</v>
      </c>
      <c r="T70" s="36" t="s">
        <v>133</v>
      </c>
      <c r="U70" s="36" t="s">
        <v>133</v>
      </c>
      <c r="V70" s="36" t="str">
        <f t="shared" si="2"/>
        <v>Paciente ambulatorio</v>
      </c>
      <c r="W70" s="35" t="s">
        <v>183</v>
      </c>
      <c r="X70" s="57" t="s">
        <v>131</v>
      </c>
      <c r="Y70" s="50">
        <v>2.0</v>
      </c>
      <c r="Z70" s="50">
        <v>2.0</v>
      </c>
      <c r="AA70" s="50">
        <v>2.0</v>
      </c>
      <c r="AB70" s="50">
        <v>2.0</v>
      </c>
      <c r="AC70" s="50">
        <v>3.0</v>
      </c>
      <c r="AD70" s="50">
        <v>2.0</v>
      </c>
      <c r="AE70" s="50">
        <v>2.0</v>
      </c>
      <c r="AF70" s="50">
        <v>3.0</v>
      </c>
      <c r="AG70" s="50">
        <v>3.0</v>
      </c>
      <c r="AH70" s="50">
        <v>3.0</v>
      </c>
      <c r="AI70" s="50">
        <v>3.0</v>
      </c>
      <c r="AJ70" s="50">
        <v>3.0</v>
      </c>
      <c r="AK70" s="50" t="s">
        <v>343</v>
      </c>
      <c r="AL70" s="40" t="s">
        <v>132</v>
      </c>
      <c r="AM70" s="35" t="s">
        <v>132</v>
      </c>
      <c r="AN70" s="35" t="s">
        <v>132</v>
      </c>
      <c r="AO70" s="35" t="s">
        <v>131</v>
      </c>
      <c r="AP70" s="35" t="s">
        <v>132</v>
      </c>
      <c r="AQ70" s="35" t="s">
        <v>132</v>
      </c>
      <c r="AR70" s="35" t="s">
        <v>132</v>
      </c>
      <c r="AS70" s="35" t="s">
        <v>131</v>
      </c>
      <c r="AT70" s="35" t="s">
        <v>132</v>
      </c>
      <c r="AU70" s="35" t="s">
        <v>132</v>
      </c>
      <c r="AV70" s="35" t="s">
        <v>132</v>
      </c>
      <c r="AW70" s="50" t="s">
        <v>344</v>
      </c>
      <c r="AX70" s="35" t="s">
        <v>131</v>
      </c>
      <c r="AY70" s="57">
        <v>15.0</v>
      </c>
      <c r="AZ70" s="57">
        <v>6.0</v>
      </c>
      <c r="BA70" s="36" t="s">
        <v>133</v>
      </c>
      <c r="BB70" s="57" t="s">
        <v>145</v>
      </c>
      <c r="BC70" s="36" t="s">
        <v>133</v>
      </c>
      <c r="BD70" s="40">
        <v>1.0</v>
      </c>
      <c r="BE70" s="35">
        <v>1.0</v>
      </c>
      <c r="BF70" s="35">
        <v>1.0</v>
      </c>
      <c r="BG70" s="57">
        <v>2.0</v>
      </c>
      <c r="BH70" s="57">
        <v>2.0</v>
      </c>
      <c r="BI70" s="44" t="str">
        <f t="shared" si="3"/>
        <v>11122</v>
      </c>
      <c r="BJ70" s="57">
        <v>75.0</v>
      </c>
      <c r="BK70" s="57">
        <v>1.0</v>
      </c>
      <c r="BL70" s="35">
        <v>2.0</v>
      </c>
      <c r="BM70" s="57">
        <v>4.0</v>
      </c>
      <c r="BN70" s="57">
        <v>3.0</v>
      </c>
      <c r="BO70" s="35">
        <v>2.0</v>
      </c>
      <c r="BP70" s="35">
        <v>2.0</v>
      </c>
      <c r="BQ70" s="35">
        <v>2.0</v>
      </c>
      <c r="BR70" s="35">
        <v>2.0</v>
      </c>
      <c r="BS70" s="35">
        <v>2.0</v>
      </c>
      <c r="BT70" s="35">
        <v>4.0</v>
      </c>
      <c r="BU70" s="44">
        <f t="shared" si="4"/>
        <v>3</v>
      </c>
      <c r="BV70" s="44">
        <f t="shared" si="5"/>
        <v>2</v>
      </c>
      <c r="BW70" s="44">
        <f t="shared" si="53"/>
        <v>23</v>
      </c>
      <c r="BX70" s="44" t="str">
        <f t="shared" si="7"/>
        <v>FATIGA</v>
      </c>
      <c r="BY70" s="50">
        <v>1.0</v>
      </c>
      <c r="BZ70" s="50">
        <v>2.0</v>
      </c>
      <c r="CA70" s="50">
        <v>0.0</v>
      </c>
      <c r="CB70" s="50">
        <v>0.0</v>
      </c>
      <c r="CC70" s="50">
        <v>0.0</v>
      </c>
      <c r="CD70" s="50">
        <v>0.0</v>
      </c>
      <c r="CE70" s="50">
        <v>7.0</v>
      </c>
      <c r="CF70" s="50">
        <v>0.0</v>
      </c>
      <c r="CG70" s="50">
        <v>20.0</v>
      </c>
      <c r="CH70" s="50">
        <v>5.0</v>
      </c>
      <c r="CI70" s="50">
        <v>0.0</v>
      </c>
      <c r="CJ70" s="44">
        <f t="shared" si="27"/>
        <v>1422</v>
      </c>
      <c r="CK70" s="44">
        <f t="shared" si="28"/>
        <v>8</v>
      </c>
      <c r="CL70" s="44" t="b">
        <f t="shared" si="29"/>
        <v>0</v>
      </c>
      <c r="CM70" s="44" t="b">
        <f t="shared" si="30"/>
        <v>0</v>
      </c>
      <c r="CN70" s="45" t="str">
        <f t="shared" si="31"/>
        <v>Nivel de actividad física bajo</v>
      </c>
      <c r="CO70" s="50">
        <v>0.0</v>
      </c>
      <c r="CP70" s="50">
        <v>12.0</v>
      </c>
      <c r="CQ70" s="44">
        <f t="shared" si="32"/>
        <v>0</v>
      </c>
      <c r="CR70" s="50">
        <v>8.0</v>
      </c>
      <c r="CS70" s="50">
        <v>30.0</v>
      </c>
      <c r="CT70" s="50">
        <v>8.5</v>
      </c>
      <c r="CU70" s="50">
        <v>7.0</v>
      </c>
      <c r="CV70" s="50">
        <v>0.0</v>
      </c>
      <c r="CW70" s="50">
        <v>1.0</v>
      </c>
      <c r="CX70" s="50">
        <v>1.0</v>
      </c>
      <c r="CY70" s="50">
        <v>0.0</v>
      </c>
      <c r="CZ70" s="50">
        <v>0.0</v>
      </c>
      <c r="DA70" s="50">
        <v>0.0</v>
      </c>
      <c r="DB70" s="50">
        <v>0.0</v>
      </c>
      <c r="DC70" s="50">
        <v>0.0</v>
      </c>
      <c r="DD70" s="50">
        <v>0.0</v>
      </c>
      <c r="DE70" s="50">
        <v>1.0</v>
      </c>
      <c r="DF70" s="50" t="s">
        <v>345</v>
      </c>
      <c r="DG70" s="53">
        <f t="shared" si="55"/>
        <v>3</v>
      </c>
      <c r="DH70" s="50">
        <v>1.0</v>
      </c>
      <c r="DI70" s="50">
        <v>0.0</v>
      </c>
      <c r="DJ70" s="50">
        <v>3.0</v>
      </c>
      <c r="DK70" s="50">
        <v>2.0</v>
      </c>
      <c r="DL70" s="46">
        <f t="shared" si="34"/>
        <v>82.35294118</v>
      </c>
      <c r="DM70" s="44">
        <f t="shared" si="35"/>
        <v>0</v>
      </c>
      <c r="DN70" s="44">
        <f t="shared" si="36"/>
        <v>1</v>
      </c>
      <c r="DO70" s="44">
        <f t="shared" si="37"/>
        <v>0</v>
      </c>
      <c r="DP70" s="44">
        <f t="shared" si="38"/>
        <v>3</v>
      </c>
      <c r="DQ70" s="44">
        <f t="shared" si="39"/>
        <v>1</v>
      </c>
      <c r="DR70" s="44">
        <f t="shared" ref="DR70:DS70" si="109">(DH70)</f>
        <v>1</v>
      </c>
      <c r="DS70" s="44">
        <f t="shared" si="109"/>
        <v>0</v>
      </c>
      <c r="DT70" s="44">
        <f t="shared" si="41"/>
        <v>6</v>
      </c>
      <c r="DU70" s="44" t="str">
        <f t="shared" si="42"/>
        <v>poor sleep quality</v>
      </c>
      <c r="DV70" s="50">
        <v>1.0</v>
      </c>
      <c r="DW70" s="35" t="s">
        <v>136</v>
      </c>
      <c r="DX70" s="35" t="s">
        <v>146</v>
      </c>
      <c r="DY70" s="35">
        <v>1.0</v>
      </c>
      <c r="DZ70" s="35" t="s">
        <v>131</v>
      </c>
      <c r="EA70" s="35" t="s">
        <v>167</v>
      </c>
      <c r="EB70" s="35" t="s">
        <v>139</v>
      </c>
      <c r="EC70" s="36" t="s">
        <v>133</v>
      </c>
      <c r="ED70" s="35" t="s">
        <v>132</v>
      </c>
      <c r="EE70" s="35" t="s">
        <v>141</v>
      </c>
      <c r="EF70" s="36" t="s">
        <v>133</v>
      </c>
      <c r="EG70" s="36" t="s">
        <v>133</v>
      </c>
      <c r="EH70" s="47">
        <f t="shared" si="24"/>
        <v>25.92592593</v>
      </c>
    </row>
    <row r="71" ht="17.25" customHeight="1">
      <c r="A71" s="35" t="s">
        <v>346</v>
      </c>
      <c r="B71" s="36" t="s">
        <v>129</v>
      </c>
      <c r="C71" s="37">
        <v>45138.0</v>
      </c>
      <c r="D71" s="48">
        <v>43.0</v>
      </c>
      <c r="E71" s="35" t="s">
        <v>130</v>
      </c>
      <c r="F71" s="35">
        <v>152.0</v>
      </c>
      <c r="G71" s="39">
        <v>52.0</v>
      </c>
      <c r="H71" s="40" t="s">
        <v>131</v>
      </c>
      <c r="I71" s="35">
        <v>4.0</v>
      </c>
      <c r="J71" s="41">
        <v>44866.0</v>
      </c>
      <c r="K71" s="35" t="s">
        <v>131</v>
      </c>
      <c r="L71" s="35">
        <v>1.0</v>
      </c>
      <c r="M71" s="41">
        <v>44743.0</v>
      </c>
      <c r="N71" s="35">
        <v>3.0</v>
      </c>
      <c r="O71" s="41">
        <v>44743.0</v>
      </c>
      <c r="P71" s="35" t="s">
        <v>132</v>
      </c>
      <c r="Q71" s="36" t="s">
        <v>133</v>
      </c>
      <c r="R71" s="36" t="s">
        <v>133</v>
      </c>
      <c r="S71" s="36" t="s">
        <v>133</v>
      </c>
      <c r="T71" s="36" t="s">
        <v>133</v>
      </c>
      <c r="U71" s="36" t="s">
        <v>133</v>
      </c>
      <c r="V71" s="36" t="str">
        <f t="shared" si="2"/>
        <v>Paciente ambulatorio</v>
      </c>
      <c r="W71" s="35" t="s">
        <v>143</v>
      </c>
      <c r="X71" s="35" t="s">
        <v>132</v>
      </c>
      <c r="Y71" s="35">
        <v>3.0</v>
      </c>
      <c r="Z71" s="35">
        <v>2.0</v>
      </c>
      <c r="AA71" s="35">
        <v>2.0</v>
      </c>
      <c r="AB71" s="35">
        <v>2.0</v>
      </c>
      <c r="AC71" s="35">
        <v>2.0</v>
      </c>
      <c r="AD71" s="35">
        <v>2.0</v>
      </c>
      <c r="AE71" s="35">
        <v>2.0</v>
      </c>
      <c r="AF71" s="35">
        <v>1.0</v>
      </c>
      <c r="AG71" s="35">
        <v>3.0</v>
      </c>
      <c r="AH71" s="35">
        <v>3.0</v>
      </c>
      <c r="AI71" s="35">
        <v>1.0</v>
      </c>
      <c r="AJ71" s="35">
        <v>1.0</v>
      </c>
      <c r="AK71" s="36" t="s">
        <v>133</v>
      </c>
      <c r="AL71" s="40" t="s">
        <v>131</v>
      </c>
      <c r="AM71" s="35" t="s">
        <v>132</v>
      </c>
      <c r="AN71" s="35" t="s">
        <v>132</v>
      </c>
      <c r="AO71" s="35" t="s">
        <v>132</v>
      </c>
      <c r="AP71" s="35" t="s">
        <v>132</v>
      </c>
      <c r="AQ71" s="35" t="s">
        <v>132</v>
      </c>
      <c r="AR71" s="35" t="s">
        <v>132</v>
      </c>
      <c r="AS71" s="35" t="s">
        <v>132</v>
      </c>
      <c r="AT71" s="35" t="s">
        <v>132</v>
      </c>
      <c r="AU71" s="35" t="s">
        <v>132</v>
      </c>
      <c r="AV71" s="35" t="s">
        <v>132</v>
      </c>
      <c r="AW71" s="36" t="s">
        <v>133</v>
      </c>
      <c r="AX71" s="35" t="s">
        <v>131</v>
      </c>
      <c r="AY71" s="35">
        <v>4.0</v>
      </c>
      <c r="AZ71" s="35">
        <v>20.0</v>
      </c>
      <c r="BA71" s="36" t="s">
        <v>133</v>
      </c>
      <c r="BB71" s="35" t="s">
        <v>135</v>
      </c>
      <c r="BC71" s="39">
        <v>4.0</v>
      </c>
      <c r="BD71" s="40">
        <v>1.0</v>
      </c>
      <c r="BE71" s="35">
        <v>1.0</v>
      </c>
      <c r="BF71" s="35">
        <v>1.0</v>
      </c>
      <c r="BG71" s="35">
        <v>3.0</v>
      </c>
      <c r="BH71" s="35">
        <v>1.0</v>
      </c>
      <c r="BI71" s="44" t="str">
        <f t="shared" si="3"/>
        <v>11131</v>
      </c>
      <c r="BJ71" s="35">
        <v>75.0</v>
      </c>
      <c r="BK71" s="35">
        <v>2.0</v>
      </c>
      <c r="BL71" s="35">
        <v>2.0</v>
      </c>
      <c r="BM71" s="35">
        <v>1.0</v>
      </c>
      <c r="BN71" s="35">
        <v>4.0</v>
      </c>
      <c r="BO71" s="35">
        <v>2.0</v>
      </c>
      <c r="BP71" s="35">
        <v>1.0</v>
      </c>
      <c r="BQ71" s="35">
        <v>2.0</v>
      </c>
      <c r="BR71" s="35">
        <v>2.0</v>
      </c>
      <c r="BS71" s="35">
        <v>2.0</v>
      </c>
      <c r="BT71" s="35">
        <v>5.0</v>
      </c>
      <c r="BU71" s="44">
        <f t="shared" si="4"/>
        <v>2</v>
      </c>
      <c r="BV71" s="44">
        <f t="shared" si="5"/>
        <v>1</v>
      </c>
      <c r="BW71" s="44">
        <f t="shared" si="53"/>
        <v>20</v>
      </c>
      <c r="BX71" s="44" t="str">
        <f t="shared" si="7"/>
        <v>NO HAY FATIGA</v>
      </c>
      <c r="BY71" s="35">
        <v>0.0</v>
      </c>
      <c r="BZ71" s="35">
        <v>0.0</v>
      </c>
      <c r="CA71" s="35">
        <v>0.0</v>
      </c>
      <c r="CB71" s="35">
        <v>6.0</v>
      </c>
      <c r="CC71" s="35">
        <v>8.0</v>
      </c>
      <c r="CD71" s="35">
        <v>0.0</v>
      </c>
      <c r="CE71" s="35">
        <v>0.0</v>
      </c>
      <c r="CF71" s="35">
        <v>0.0</v>
      </c>
      <c r="CG71" s="35">
        <v>0.0</v>
      </c>
      <c r="CH71" s="35">
        <v>2.0</v>
      </c>
      <c r="CI71" s="35">
        <v>0.0</v>
      </c>
      <c r="CJ71" s="44">
        <f t="shared" si="27"/>
        <v>11520</v>
      </c>
      <c r="CK71" s="44">
        <f t="shared" si="28"/>
        <v>6</v>
      </c>
      <c r="CL71" s="44" t="b">
        <f t="shared" si="29"/>
        <v>0</v>
      </c>
      <c r="CM71" s="44" t="str">
        <f t="shared" si="30"/>
        <v>Nivel de actividad física moderado</v>
      </c>
      <c r="CN71" s="45" t="str">
        <f t="shared" si="31"/>
        <v>Nivel de actividad física moderado</v>
      </c>
      <c r="CO71" s="35">
        <v>23.0</v>
      </c>
      <c r="CP71" s="35">
        <v>5.0</v>
      </c>
      <c r="CQ71" s="44">
        <f t="shared" si="32"/>
        <v>0</v>
      </c>
      <c r="CR71" s="35">
        <v>5.0</v>
      </c>
      <c r="CS71" s="35">
        <v>0.0</v>
      </c>
      <c r="CT71" s="35">
        <v>6.0</v>
      </c>
      <c r="CU71" s="35">
        <v>5.0</v>
      </c>
      <c r="CV71" s="35">
        <v>0.0</v>
      </c>
      <c r="CW71" s="35">
        <v>1.0</v>
      </c>
      <c r="CX71" s="35">
        <v>3.0</v>
      </c>
      <c r="CY71" s="35">
        <v>0.0</v>
      </c>
      <c r="CZ71" s="35">
        <v>0.0</v>
      </c>
      <c r="DA71" s="35">
        <v>0.0</v>
      </c>
      <c r="DB71" s="35">
        <v>0.0</v>
      </c>
      <c r="DC71" s="35">
        <v>1.0</v>
      </c>
      <c r="DD71" s="35">
        <v>0.0</v>
      </c>
      <c r="DE71" s="35">
        <v>0.0</v>
      </c>
      <c r="DF71" s="36" t="s">
        <v>133</v>
      </c>
      <c r="DG71" s="53">
        <f t="shared" si="55"/>
        <v>5</v>
      </c>
      <c r="DH71" s="35">
        <v>1.0</v>
      </c>
      <c r="DI71" s="35">
        <v>0.0</v>
      </c>
      <c r="DJ71" s="35">
        <v>1.0</v>
      </c>
      <c r="DK71" s="35">
        <v>2.0</v>
      </c>
      <c r="DL71" s="46">
        <f t="shared" si="34"/>
        <v>83.33333333</v>
      </c>
      <c r="DM71" s="44">
        <f t="shared" si="35"/>
        <v>2</v>
      </c>
      <c r="DN71" s="44">
        <f t="shared" si="36"/>
        <v>1</v>
      </c>
      <c r="DO71" s="44">
        <f t="shared" si="37"/>
        <v>0</v>
      </c>
      <c r="DP71" s="44">
        <f t="shared" si="38"/>
        <v>2</v>
      </c>
      <c r="DQ71" s="44">
        <f t="shared" si="39"/>
        <v>1</v>
      </c>
      <c r="DR71" s="44">
        <f t="shared" ref="DR71:DS71" si="110">(DH71)</f>
        <v>1</v>
      </c>
      <c r="DS71" s="44">
        <f t="shared" si="110"/>
        <v>0</v>
      </c>
      <c r="DT71" s="44">
        <f t="shared" si="41"/>
        <v>7</v>
      </c>
      <c r="DU71" s="44" t="str">
        <f t="shared" si="42"/>
        <v>poor sleep quality</v>
      </c>
      <c r="DV71" s="35">
        <v>1.0</v>
      </c>
      <c r="DW71" s="35" t="s">
        <v>155</v>
      </c>
      <c r="DX71" s="35" t="s">
        <v>137</v>
      </c>
      <c r="DY71" s="35">
        <v>1.0</v>
      </c>
      <c r="DZ71" s="35" t="s">
        <v>131</v>
      </c>
      <c r="EA71" s="35" t="s">
        <v>147</v>
      </c>
      <c r="EB71" s="35" t="s">
        <v>139</v>
      </c>
      <c r="EC71" s="36" t="s">
        <v>133</v>
      </c>
      <c r="ED71" s="36" t="s">
        <v>133</v>
      </c>
      <c r="EE71" s="35" t="s">
        <v>141</v>
      </c>
      <c r="EF71" s="35">
        <f>C71-M71</f>
        <v>395</v>
      </c>
      <c r="EG71" s="35">
        <f>C71-O71</f>
        <v>395</v>
      </c>
      <c r="EH71" s="47">
        <f t="shared" si="24"/>
        <v>22.50692521</v>
      </c>
    </row>
    <row r="72" ht="17.25" customHeight="1">
      <c r="A72" s="35" t="s">
        <v>347</v>
      </c>
      <c r="B72" s="36" t="s">
        <v>129</v>
      </c>
      <c r="C72" s="37">
        <v>45135.0</v>
      </c>
      <c r="D72" s="48">
        <v>33.0</v>
      </c>
      <c r="E72" s="35" t="s">
        <v>130</v>
      </c>
      <c r="F72" s="35">
        <v>156.0</v>
      </c>
      <c r="G72" s="39">
        <v>65.0</v>
      </c>
      <c r="H72" s="40" t="s">
        <v>131</v>
      </c>
      <c r="I72" s="35">
        <v>4.0</v>
      </c>
      <c r="J72" s="41">
        <v>44682.0</v>
      </c>
      <c r="K72" s="35" t="s">
        <v>132</v>
      </c>
      <c r="L72" s="36" t="s">
        <v>133</v>
      </c>
      <c r="M72" s="42" t="s">
        <v>133</v>
      </c>
      <c r="N72" s="36" t="s">
        <v>133</v>
      </c>
      <c r="O72" s="42" t="s">
        <v>133</v>
      </c>
      <c r="P72" s="36" t="s">
        <v>133</v>
      </c>
      <c r="Q72" s="36" t="s">
        <v>133</v>
      </c>
      <c r="R72" s="36" t="s">
        <v>133</v>
      </c>
      <c r="S72" s="36" t="s">
        <v>133</v>
      </c>
      <c r="T72" s="36" t="s">
        <v>133</v>
      </c>
      <c r="U72" s="36" t="s">
        <v>133</v>
      </c>
      <c r="V72" s="36" t="str">
        <f t="shared" si="2"/>
        <v>No infectado</v>
      </c>
      <c r="W72" s="36" t="s">
        <v>133</v>
      </c>
      <c r="X72" s="36" t="s">
        <v>133</v>
      </c>
      <c r="Y72" s="36" t="s">
        <v>133</v>
      </c>
      <c r="Z72" s="36" t="s">
        <v>133</v>
      </c>
      <c r="AA72" s="36" t="s">
        <v>133</v>
      </c>
      <c r="AB72" s="36" t="s">
        <v>133</v>
      </c>
      <c r="AC72" s="36" t="s">
        <v>133</v>
      </c>
      <c r="AD72" s="36" t="s">
        <v>133</v>
      </c>
      <c r="AE72" s="36" t="s">
        <v>133</v>
      </c>
      <c r="AF72" s="36" t="s">
        <v>133</v>
      </c>
      <c r="AG72" s="36" t="s">
        <v>133</v>
      </c>
      <c r="AH72" s="36" t="s">
        <v>133</v>
      </c>
      <c r="AI72" s="36" t="s">
        <v>133</v>
      </c>
      <c r="AJ72" s="36" t="s">
        <v>133</v>
      </c>
      <c r="AK72" s="36" t="s">
        <v>133</v>
      </c>
      <c r="AL72" s="40" t="s">
        <v>132</v>
      </c>
      <c r="AM72" s="35" t="s">
        <v>132</v>
      </c>
      <c r="AN72" s="35" t="s">
        <v>132</v>
      </c>
      <c r="AO72" s="35" t="s">
        <v>132</v>
      </c>
      <c r="AP72" s="35" t="s">
        <v>132</v>
      </c>
      <c r="AQ72" s="35" t="s">
        <v>132</v>
      </c>
      <c r="AR72" s="35" t="s">
        <v>132</v>
      </c>
      <c r="AS72" s="35" t="s">
        <v>132</v>
      </c>
      <c r="AT72" s="35" t="s">
        <v>132</v>
      </c>
      <c r="AU72" s="35" t="s">
        <v>132</v>
      </c>
      <c r="AV72" s="35" t="s">
        <v>132</v>
      </c>
      <c r="AW72" s="36" t="s">
        <v>133</v>
      </c>
      <c r="AX72" s="35" t="s">
        <v>132</v>
      </c>
      <c r="AY72" s="36" t="s">
        <v>133</v>
      </c>
      <c r="AZ72" s="36" t="s">
        <v>133</v>
      </c>
      <c r="BA72" s="36" t="s">
        <v>133</v>
      </c>
      <c r="BB72" s="35" t="s">
        <v>145</v>
      </c>
      <c r="BC72" s="36" t="s">
        <v>133</v>
      </c>
      <c r="BD72" s="40">
        <v>1.0</v>
      </c>
      <c r="BE72" s="35">
        <v>1.0</v>
      </c>
      <c r="BF72" s="35">
        <v>1.0</v>
      </c>
      <c r="BG72" s="35">
        <v>1.0</v>
      </c>
      <c r="BH72" s="35">
        <v>1.0</v>
      </c>
      <c r="BI72" s="44" t="str">
        <f t="shared" si="3"/>
        <v>11111</v>
      </c>
      <c r="BJ72" s="35">
        <v>95.0</v>
      </c>
      <c r="BK72" s="35">
        <v>2.0</v>
      </c>
      <c r="BL72" s="35">
        <v>2.0</v>
      </c>
      <c r="BM72" s="35">
        <v>2.0</v>
      </c>
      <c r="BN72" s="35">
        <v>4.0</v>
      </c>
      <c r="BO72" s="35">
        <v>2.0</v>
      </c>
      <c r="BP72" s="35">
        <v>2.0</v>
      </c>
      <c r="BQ72" s="35">
        <v>1.0</v>
      </c>
      <c r="BR72" s="35">
        <v>2.0</v>
      </c>
      <c r="BS72" s="35">
        <v>2.0</v>
      </c>
      <c r="BT72" s="35">
        <v>5.0</v>
      </c>
      <c r="BU72" s="44">
        <f t="shared" si="4"/>
        <v>2</v>
      </c>
      <c r="BV72" s="44">
        <f t="shared" si="5"/>
        <v>1</v>
      </c>
      <c r="BW72" s="44">
        <f t="shared" si="53"/>
        <v>21</v>
      </c>
      <c r="BX72" s="44" t="str">
        <f t="shared" si="7"/>
        <v>NO HAY FATIGA</v>
      </c>
      <c r="BY72" s="35">
        <v>0.0</v>
      </c>
      <c r="BZ72" s="35">
        <v>0.0</v>
      </c>
      <c r="CA72" s="35">
        <v>0.0</v>
      </c>
      <c r="CB72" s="35">
        <v>7.0</v>
      </c>
      <c r="CC72" s="35">
        <v>5.0</v>
      </c>
      <c r="CD72" s="35">
        <v>0.0</v>
      </c>
      <c r="CE72" s="35">
        <v>2.0</v>
      </c>
      <c r="CF72" s="35">
        <v>0.0</v>
      </c>
      <c r="CG72" s="35">
        <v>40.0</v>
      </c>
      <c r="CH72" s="35">
        <v>8.0</v>
      </c>
      <c r="CI72" s="35">
        <v>0.0</v>
      </c>
      <c r="CJ72" s="44">
        <f t="shared" si="27"/>
        <v>8664</v>
      </c>
      <c r="CK72" s="44">
        <f t="shared" si="28"/>
        <v>9</v>
      </c>
      <c r="CL72" s="44" t="str">
        <f t="shared" si="29"/>
        <v>Nivel de actividad física alto</v>
      </c>
      <c r="CM72" s="44" t="str">
        <f t="shared" si="30"/>
        <v>Nivel de actividad física moderado</v>
      </c>
      <c r="CN72" s="45" t="str">
        <f t="shared" si="31"/>
        <v>Nivel de actividad física alto</v>
      </c>
      <c r="CO72" s="35">
        <v>2.0</v>
      </c>
      <c r="CP72" s="35">
        <v>0.0</v>
      </c>
      <c r="CQ72" s="44">
        <f t="shared" si="32"/>
        <v>0</v>
      </c>
      <c r="CR72" s="35">
        <v>9.0</v>
      </c>
      <c r="CS72" s="35">
        <v>0.0</v>
      </c>
      <c r="CT72" s="35">
        <v>7.0</v>
      </c>
      <c r="CU72" s="35">
        <v>4.0</v>
      </c>
      <c r="CV72" s="35">
        <v>3.0</v>
      </c>
      <c r="CW72" s="35">
        <v>0.0</v>
      </c>
      <c r="CX72" s="35">
        <v>2.0</v>
      </c>
      <c r="CY72" s="35">
        <v>0.0</v>
      </c>
      <c r="CZ72" s="35">
        <v>0.0</v>
      </c>
      <c r="DA72" s="35">
        <v>1.0</v>
      </c>
      <c r="DB72" s="35">
        <v>2.0</v>
      </c>
      <c r="DC72" s="35">
        <v>0.0</v>
      </c>
      <c r="DD72" s="35">
        <v>0.0</v>
      </c>
      <c r="DE72" s="35">
        <v>3.0</v>
      </c>
      <c r="DF72" s="35" t="s">
        <v>348</v>
      </c>
      <c r="DG72" s="53">
        <f t="shared" si="55"/>
        <v>8</v>
      </c>
      <c r="DH72" s="35">
        <v>2.0</v>
      </c>
      <c r="DI72" s="35">
        <v>0.0</v>
      </c>
      <c r="DJ72" s="35">
        <v>3.0</v>
      </c>
      <c r="DK72" s="35">
        <v>2.0</v>
      </c>
      <c r="DL72" s="46">
        <f t="shared" si="34"/>
        <v>57.14285714</v>
      </c>
      <c r="DM72" s="44">
        <f t="shared" si="35"/>
        <v>3</v>
      </c>
      <c r="DN72" s="44">
        <f t="shared" si="36"/>
        <v>1</v>
      </c>
      <c r="DO72" s="44">
        <f t="shared" si="37"/>
        <v>2</v>
      </c>
      <c r="DP72" s="44">
        <f t="shared" si="38"/>
        <v>3</v>
      </c>
      <c r="DQ72" s="44">
        <f t="shared" si="39"/>
        <v>3</v>
      </c>
      <c r="DR72" s="44">
        <f t="shared" ref="DR72:DS72" si="111">(DH72)</f>
        <v>2</v>
      </c>
      <c r="DS72" s="44">
        <f t="shared" si="111"/>
        <v>0</v>
      </c>
      <c r="DT72" s="44">
        <f t="shared" si="41"/>
        <v>14</v>
      </c>
      <c r="DU72" s="44" t="str">
        <f t="shared" si="42"/>
        <v>poor sleep quality</v>
      </c>
      <c r="DV72" s="35">
        <v>2.0</v>
      </c>
      <c r="DW72" s="35" t="s">
        <v>349</v>
      </c>
      <c r="DX72" s="35" t="s">
        <v>137</v>
      </c>
      <c r="DY72" s="35">
        <v>1.0</v>
      </c>
      <c r="DZ72" s="35" t="s">
        <v>131</v>
      </c>
      <c r="EA72" s="35" t="s">
        <v>157</v>
      </c>
      <c r="EB72" s="35" t="s">
        <v>323</v>
      </c>
      <c r="EC72" s="35" t="s">
        <v>131</v>
      </c>
      <c r="ED72" s="35" t="s">
        <v>132</v>
      </c>
      <c r="EE72" s="35" t="s">
        <v>141</v>
      </c>
      <c r="EF72" s="36" t="s">
        <v>133</v>
      </c>
      <c r="EG72" s="36" t="s">
        <v>133</v>
      </c>
      <c r="EH72" s="47">
        <f t="shared" si="24"/>
        <v>26.70940171</v>
      </c>
    </row>
    <row r="73" ht="17.25" customHeight="1">
      <c r="A73" s="35" t="s">
        <v>350</v>
      </c>
      <c r="B73" s="36" t="s">
        <v>129</v>
      </c>
      <c r="C73" s="37">
        <v>45138.0</v>
      </c>
      <c r="D73" s="48">
        <v>39.0</v>
      </c>
      <c r="E73" s="35" t="s">
        <v>130</v>
      </c>
      <c r="F73" s="35">
        <v>161.0</v>
      </c>
      <c r="G73" s="39">
        <v>93.0</v>
      </c>
      <c r="H73" s="40" t="s">
        <v>131</v>
      </c>
      <c r="I73" s="35">
        <v>5.0</v>
      </c>
      <c r="J73" s="55">
        <v>44927.0</v>
      </c>
      <c r="K73" s="35" t="s">
        <v>132</v>
      </c>
      <c r="L73" s="36" t="s">
        <v>133</v>
      </c>
      <c r="M73" s="42" t="s">
        <v>133</v>
      </c>
      <c r="N73" s="36" t="s">
        <v>133</v>
      </c>
      <c r="O73" s="42" t="s">
        <v>133</v>
      </c>
      <c r="P73" s="36" t="s">
        <v>133</v>
      </c>
      <c r="Q73" s="36" t="s">
        <v>133</v>
      </c>
      <c r="R73" s="36" t="s">
        <v>133</v>
      </c>
      <c r="S73" s="36" t="s">
        <v>133</v>
      </c>
      <c r="T73" s="36" t="s">
        <v>133</v>
      </c>
      <c r="U73" s="36" t="s">
        <v>133</v>
      </c>
      <c r="V73" s="36" t="str">
        <f t="shared" si="2"/>
        <v>No infectado</v>
      </c>
      <c r="W73" s="36" t="s">
        <v>133</v>
      </c>
      <c r="X73" s="36" t="s">
        <v>133</v>
      </c>
      <c r="Y73" s="36" t="s">
        <v>133</v>
      </c>
      <c r="Z73" s="36" t="s">
        <v>133</v>
      </c>
      <c r="AA73" s="36" t="s">
        <v>133</v>
      </c>
      <c r="AB73" s="36" t="s">
        <v>133</v>
      </c>
      <c r="AC73" s="36" t="s">
        <v>133</v>
      </c>
      <c r="AD73" s="36" t="s">
        <v>133</v>
      </c>
      <c r="AE73" s="36" t="s">
        <v>133</v>
      </c>
      <c r="AF73" s="36" t="s">
        <v>133</v>
      </c>
      <c r="AG73" s="36" t="s">
        <v>133</v>
      </c>
      <c r="AH73" s="36" t="s">
        <v>133</v>
      </c>
      <c r="AI73" s="36" t="s">
        <v>133</v>
      </c>
      <c r="AJ73" s="36" t="s">
        <v>133</v>
      </c>
      <c r="AK73" s="36" t="s">
        <v>133</v>
      </c>
      <c r="AL73" s="40" t="s">
        <v>132</v>
      </c>
      <c r="AM73" s="35" t="s">
        <v>132</v>
      </c>
      <c r="AN73" s="35" t="s">
        <v>132</v>
      </c>
      <c r="AO73" s="35" t="s">
        <v>132</v>
      </c>
      <c r="AP73" s="35" t="s">
        <v>132</v>
      </c>
      <c r="AQ73" s="35" t="s">
        <v>132</v>
      </c>
      <c r="AR73" s="35" t="s">
        <v>132</v>
      </c>
      <c r="AS73" s="35" t="s">
        <v>132</v>
      </c>
      <c r="AT73" s="35" t="s">
        <v>132</v>
      </c>
      <c r="AU73" s="35" t="s">
        <v>132</v>
      </c>
      <c r="AV73" s="35" t="s">
        <v>132</v>
      </c>
      <c r="AW73" s="36" t="s">
        <v>133</v>
      </c>
      <c r="AX73" s="35" t="s">
        <v>132</v>
      </c>
      <c r="AY73" s="36" t="s">
        <v>133</v>
      </c>
      <c r="AZ73" s="36" t="s">
        <v>133</v>
      </c>
      <c r="BA73" s="36" t="s">
        <v>133</v>
      </c>
      <c r="BB73" s="35" t="s">
        <v>145</v>
      </c>
      <c r="BC73" s="36" t="s">
        <v>133</v>
      </c>
      <c r="BD73" s="40">
        <v>1.0</v>
      </c>
      <c r="BE73" s="35">
        <v>1.0</v>
      </c>
      <c r="BF73" s="35">
        <v>1.0</v>
      </c>
      <c r="BG73" s="35">
        <v>2.0</v>
      </c>
      <c r="BH73" s="35">
        <v>2.0</v>
      </c>
      <c r="BI73" s="44" t="str">
        <f t="shared" si="3"/>
        <v>11122</v>
      </c>
      <c r="BJ73" s="35">
        <v>90.0</v>
      </c>
      <c r="BK73" s="35">
        <v>1.0</v>
      </c>
      <c r="BL73" s="35">
        <v>1.0</v>
      </c>
      <c r="BM73" s="35">
        <v>1.0</v>
      </c>
      <c r="BN73" s="35">
        <v>5.0</v>
      </c>
      <c r="BO73" s="35">
        <v>1.0</v>
      </c>
      <c r="BP73" s="35">
        <v>1.0</v>
      </c>
      <c r="BQ73" s="35">
        <v>1.0</v>
      </c>
      <c r="BR73" s="35">
        <v>1.0</v>
      </c>
      <c r="BS73" s="35">
        <v>1.0</v>
      </c>
      <c r="BT73" s="35">
        <v>5.0</v>
      </c>
      <c r="BU73" s="44">
        <f t="shared" si="4"/>
        <v>1</v>
      </c>
      <c r="BV73" s="44">
        <f t="shared" si="5"/>
        <v>1</v>
      </c>
      <c r="BW73" s="44">
        <f t="shared" si="53"/>
        <v>14</v>
      </c>
      <c r="BX73" s="44" t="str">
        <f t="shared" si="7"/>
        <v>NO HAY FATIGA</v>
      </c>
      <c r="BY73" s="35">
        <v>0.0</v>
      </c>
      <c r="BZ73" s="35">
        <v>0.0</v>
      </c>
      <c r="CA73" s="35">
        <v>0.0</v>
      </c>
      <c r="CB73" s="35">
        <v>3.0</v>
      </c>
      <c r="CC73" s="35">
        <v>1.0</v>
      </c>
      <c r="CD73" s="35">
        <v>0.0</v>
      </c>
      <c r="CE73" s="35">
        <v>3.0</v>
      </c>
      <c r="CF73" s="35">
        <v>0.0</v>
      </c>
      <c r="CG73" s="35">
        <v>30.0</v>
      </c>
      <c r="CH73" s="35">
        <v>8.0</v>
      </c>
      <c r="CI73" s="35">
        <v>0.0</v>
      </c>
      <c r="CJ73" s="44">
        <f t="shared" si="27"/>
        <v>1017</v>
      </c>
      <c r="CK73" s="44">
        <f t="shared" si="28"/>
        <v>6</v>
      </c>
      <c r="CL73" s="44" t="b">
        <f t="shared" si="29"/>
        <v>0</v>
      </c>
      <c r="CM73" s="44" t="str">
        <f t="shared" si="30"/>
        <v>Nivel de actividad física moderado</v>
      </c>
      <c r="CN73" s="45" t="str">
        <f t="shared" si="31"/>
        <v>Nivel de actividad física moderado</v>
      </c>
      <c r="CO73" s="51">
        <v>0.9791666666666666</v>
      </c>
      <c r="CP73" s="35">
        <v>15.0</v>
      </c>
      <c r="CQ73" s="44">
        <f t="shared" si="32"/>
        <v>0</v>
      </c>
      <c r="CR73" s="35">
        <v>5.0</v>
      </c>
      <c r="CS73" s="35">
        <v>45.0</v>
      </c>
      <c r="CT73" s="35">
        <v>6.25</v>
      </c>
      <c r="CU73" s="35">
        <v>6.0</v>
      </c>
      <c r="CV73" s="35">
        <v>3.0</v>
      </c>
      <c r="CW73" s="35">
        <v>3.0</v>
      </c>
      <c r="CX73" s="35">
        <v>0.0</v>
      </c>
      <c r="CY73" s="35">
        <v>2.0</v>
      </c>
      <c r="CZ73" s="35">
        <v>2.0</v>
      </c>
      <c r="DA73" s="35">
        <v>0.0</v>
      </c>
      <c r="DB73" s="35">
        <v>0.0</v>
      </c>
      <c r="DC73" s="35">
        <v>0.0</v>
      </c>
      <c r="DD73" s="35">
        <v>0.0</v>
      </c>
      <c r="DE73" s="35">
        <v>0.0</v>
      </c>
      <c r="DF73" s="36" t="s">
        <v>133</v>
      </c>
      <c r="DG73" s="53">
        <f t="shared" si="55"/>
        <v>7</v>
      </c>
      <c r="DH73" s="35">
        <v>0.0</v>
      </c>
      <c r="DI73" s="35">
        <v>0.0</v>
      </c>
      <c r="DJ73" s="35">
        <v>1.0</v>
      </c>
      <c r="DK73" s="35">
        <v>0.0</v>
      </c>
      <c r="DL73" s="46">
        <f t="shared" si="34"/>
        <v>96</v>
      </c>
      <c r="DM73" s="44">
        <f t="shared" si="35"/>
        <v>1</v>
      </c>
      <c r="DN73" s="44">
        <f t="shared" si="36"/>
        <v>1</v>
      </c>
      <c r="DO73" s="44">
        <f t="shared" si="37"/>
        <v>2</v>
      </c>
      <c r="DP73" s="44">
        <f t="shared" si="38"/>
        <v>1</v>
      </c>
      <c r="DQ73" s="44">
        <f t="shared" si="39"/>
        <v>0</v>
      </c>
      <c r="DR73" s="44">
        <f t="shared" ref="DR73:DS73" si="112">(DH73)</f>
        <v>0</v>
      </c>
      <c r="DS73" s="44">
        <f t="shared" si="112"/>
        <v>0</v>
      </c>
      <c r="DT73" s="44">
        <f t="shared" si="41"/>
        <v>5</v>
      </c>
      <c r="DU73" s="44" t="str">
        <f t="shared" si="42"/>
        <v>good sleep quality</v>
      </c>
      <c r="DV73" s="35">
        <v>3.0</v>
      </c>
      <c r="DW73" s="35" t="s">
        <v>349</v>
      </c>
      <c r="DX73" s="35" t="s">
        <v>213</v>
      </c>
      <c r="DY73" s="35">
        <v>1.0</v>
      </c>
      <c r="DZ73" s="35" t="s">
        <v>131</v>
      </c>
      <c r="EA73" s="35" t="s">
        <v>167</v>
      </c>
      <c r="EB73" s="35" t="s">
        <v>222</v>
      </c>
      <c r="EC73" s="35" t="s">
        <v>132</v>
      </c>
      <c r="ED73" s="36" t="s">
        <v>133</v>
      </c>
      <c r="EE73" s="35" t="s">
        <v>140</v>
      </c>
      <c r="EF73" s="36" t="s">
        <v>133</v>
      </c>
      <c r="EG73" s="36" t="s">
        <v>133</v>
      </c>
      <c r="EH73" s="47">
        <f t="shared" si="24"/>
        <v>35.87824544</v>
      </c>
    </row>
    <row r="74" ht="17.25" customHeight="1">
      <c r="A74" s="35" t="s">
        <v>351</v>
      </c>
      <c r="B74" s="36" t="s">
        <v>129</v>
      </c>
      <c r="C74" s="37">
        <v>45138.0</v>
      </c>
      <c r="D74" s="48">
        <v>37.0</v>
      </c>
      <c r="E74" s="35" t="s">
        <v>130</v>
      </c>
      <c r="F74" s="35">
        <v>163.0</v>
      </c>
      <c r="G74" s="39">
        <v>77.0</v>
      </c>
      <c r="H74" s="40" t="s">
        <v>131</v>
      </c>
      <c r="I74" s="35">
        <v>4.0</v>
      </c>
      <c r="J74" s="41">
        <v>44896.0</v>
      </c>
      <c r="K74" s="35" t="s">
        <v>131</v>
      </c>
      <c r="L74" s="35">
        <v>1.0</v>
      </c>
      <c r="M74" s="41">
        <v>44719.0</v>
      </c>
      <c r="N74" s="35">
        <v>3.0</v>
      </c>
      <c r="O74" s="41">
        <v>44719.0</v>
      </c>
      <c r="P74" s="35" t="s">
        <v>132</v>
      </c>
      <c r="Q74" s="36" t="s">
        <v>133</v>
      </c>
      <c r="R74" s="36" t="s">
        <v>133</v>
      </c>
      <c r="S74" s="36" t="s">
        <v>133</v>
      </c>
      <c r="T74" s="36" t="s">
        <v>133</v>
      </c>
      <c r="U74" s="36" t="s">
        <v>133</v>
      </c>
      <c r="V74" s="36" t="str">
        <f t="shared" si="2"/>
        <v>Paciente ambulatorio</v>
      </c>
      <c r="W74" s="35" t="s">
        <v>143</v>
      </c>
      <c r="X74" s="35" t="s">
        <v>132</v>
      </c>
      <c r="Y74" s="35">
        <v>3.0</v>
      </c>
      <c r="Z74" s="35">
        <v>3.0</v>
      </c>
      <c r="AA74" s="35">
        <v>2.0</v>
      </c>
      <c r="AB74" s="35">
        <v>2.0</v>
      </c>
      <c r="AC74" s="35">
        <v>1.0</v>
      </c>
      <c r="AD74" s="35">
        <v>3.0</v>
      </c>
      <c r="AE74" s="35">
        <v>2.0</v>
      </c>
      <c r="AF74" s="35">
        <v>3.0</v>
      </c>
      <c r="AG74" s="35">
        <v>3.0</v>
      </c>
      <c r="AH74" s="35">
        <v>3.0</v>
      </c>
      <c r="AI74" s="35">
        <v>3.0</v>
      </c>
      <c r="AJ74" s="35">
        <v>1.0</v>
      </c>
      <c r="AK74" s="36" t="s">
        <v>133</v>
      </c>
      <c r="AL74" s="40" t="s">
        <v>132</v>
      </c>
      <c r="AM74" s="35" t="s">
        <v>132</v>
      </c>
      <c r="AN74" s="35" t="s">
        <v>132</v>
      </c>
      <c r="AO74" s="35" t="s">
        <v>132</v>
      </c>
      <c r="AP74" s="35" t="s">
        <v>132</v>
      </c>
      <c r="AQ74" s="35" t="s">
        <v>132</v>
      </c>
      <c r="AR74" s="35" t="s">
        <v>132</v>
      </c>
      <c r="AS74" s="35" t="s">
        <v>132</v>
      </c>
      <c r="AT74" s="35" t="s">
        <v>132</v>
      </c>
      <c r="AU74" s="35" t="s">
        <v>132</v>
      </c>
      <c r="AV74" s="35" t="s">
        <v>131</v>
      </c>
      <c r="AW74" s="35" t="s">
        <v>352</v>
      </c>
      <c r="AX74" s="35" t="s">
        <v>132</v>
      </c>
      <c r="AY74" s="36" t="s">
        <v>133</v>
      </c>
      <c r="AZ74" s="36" t="s">
        <v>133</v>
      </c>
      <c r="BA74" s="36" t="s">
        <v>133</v>
      </c>
      <c r="BB74" s="35" t="s">
        <v>135</v>
      </c>
      <c r="BC74" s="39">
        <v>2.0</v>
      </c>
      <c r="BD74" s="40">
        <v>2.0</v>
      </c>
      <c r="BE74" s="35">
        <v>1.0</v>
      </c>
      <c r="BF74" s="35">
        <v>1.0</v>
      </c>
      <c r="BG74" s="35">
        <v>2.0</v>
      </c>
      <c r="BH74" s="35">
        <v>1.0</v>
      </c>
      <c r="BI74" s="44" t="str">
        <f t="shared" si="3"/>
        <v>21121</v>
      </c>
      <c r="BJ74" s="35">
        <v>80.0</v>
      </c>
      <c r="BK74" s="35">
        <v>1.0</v>
      </c>
      <c r="BL74" s="35">
        <v>2.0</v>
      </c>
      <c r="BM74" s="35">
        <v>1.0</v>
      </c>
      <c r="BN74" s="35">
        <v>4.0</v>
      </c>
      <c r="BO74" s="35">
        <v>1.0</v>
      </c>
      <c r="BP74" s="35">
        <v>4.0</v>
      </c>
      <c r="BQ74" s="35">
        <v>1.0</v>
      </c>
      <c r="BR74" s="35">
        <v>1.0</v>
      </c>
      <c r="BS74" s="35">
        <v>2.0</v>
      </c>
      <c r="BT74" s="35">
        <v>4.0</v>
      </c>
      <c r="BU74" s="44">
        <f t="shared" si="4"/>
        <v>2</v>
      </c>
      <c r="BV74" s="44">
        <f t="shared" si="5"/>
        <v>2</v>
      </c>
      <c r="BW74" s="44">
        <f t="shared" si="53"/>
        <v>19</v>
      </c>
      <c r="BX74" s="44" t="str">
        <f t="shared" si="7"/>
        <v>NO HAY FATIGA</v>
      </c>
      <c r="BY74" s="35">
        <v>0.0</v>
      </c>
      <c r="BZ74" s="35">
        <v>0.0</v>
      </c>
      <c r="CA74" s="35">
        <v>0.0</v>
      </c>
      <c r="CB74" s="35">
        <v>0.0</v>
      </c>
      <c r="CC74" s="35">
        <v>0.0</v>
      </c>
      <c r="CD74" s="35">
        <v>0.0</v>
      </c>
      <c r="CE74" s="35">
        <v>2.0</v>
      </c>
      <c r="CF74" s="35">
        <v>0.0</v>
      </c>
      <c r="CG74" s="35">
        <v>30.0</v>
      </c>
      <c r="CH74" s="35">
        <v>8.0</v>
      </c>
      <c r="CI74" s="35">
        <v>0.0</v>
      </c>
      <c r="CJ74" s="44">
        <f t="shared" si="27"/>
        <v>198</v>
      </c>
      <c r="CK74" s="44">
        <f t="shared" si="28"/>
        <v>2</v>
      </c>
      <c r="CL74" s="44" t="b">
        <f t="shared" si="29"/>
        <v>0</v>
      </c>
      <c r="CM74" s="44" t="b">
        <f t="shared" si="30"/>
        <v>0</v>
      </c>
      <c r="CN74" s="45" t="str">
        <f t="shared" si="31"/>
        <v>Nivel de actividad física bajo</v>
      </c>
      <c r="CO74" s="35">
        <v>0.0</v>
      </c>
      <c r="CP74" s="35">
        <v>5.0</v>
      </c>
      <c r="CQ74" s="44">
        <f t="shared" si="32"/>
        <v>0</v>
      </c>
      <c r="CR74" s="35">
        <v>6.0</v>
      </c>
      <c r="CS74" s="35">
        <v>30.0</v>
      </c>
      <c r="CT74" s="35">
        <v>6.5</v>
      </c>
      <c r="CU74" s="35">
        <v>6.5</v>
      </c>
      <c r="CV74" s="35">
        <v>1.0</v>
      </c>
      <c r="CW74" s="35">
        <v>1.0</v>
      </c>
      <c r="CX74" s="35">
        <v>0.0</v>
      </c>
      <c r="CY74" s="35">
        <v>0.0</v>
      </c>
      <c r="CZ74" s="35">
        <v>0.0</v>
      </c>
      <c r="DA74" s="35">
        <v>0.0</v>
      </c>
      <c r="DB74" s="35">
        <v>0.0</v>
      </c>
      <c r="DC74" s="35">
        <v>0.0</v>
      </c>
      <c r="DD74" s="35">
        <v>0.0</v>
      </c>
      <c r="DE74" s="35">
        <v>1.0</v>
      </c>
      <c r="DF74" s="35" t="s">
        <v>353</v>
      </c>
      <c r="DG74" s="53">
        <f t="shared" si="55"/>
        <v>2</v>
      </c>
      <c r="DH74" s="35">
        <v>1.0</v>
      </c>
      <c r="DI74" s="35">
        <v>0.0</v>
      </c>
      <c r="DJ74" s="35">
        <v>1.0</v>
      </c>
      <c r="DK74" s="35">
        <v>1.0</v>
      </c>
      <c r="DL74" s="46">
        <f t="shared" si="34"/>
        <v>100</v>
      </c>
      <c r="DM74" s="44">
        <f t="shared" si="35"/>
        <v>1</v>
      </c>
      <c r="DN74" s="44">
        <f t="shared" si="36"/>
        <v>1</v>
      </c>
      <c r="DO74" s="44">
        <f t="shared" si="37"/>
        <v>1</v>
      </c>
      <c r="DP74" s="44">
        <f t="shared" si="38"/>
        <v>1</v>
      </c>
      <c r="DQ74" s="44">
        <f t="shared" si="39"/>
        <v>0</v>
      </c>
      <c r="DR74" s="44">
        <f t="shared" ref="DR74:DS74" si="113">(DH74)</f>
        <v>1</v>
      </c>
      <c r="DS74" s="44">
        <f t="shared" si="113"/>
        <v>0</v>
      </c>
      <c r="DT74" s="44">
        <f t="shared" si="41"/>
        <v>5</v>
      </c>
      <c r="DU74" s="44" t="str">
        <f t="shared" si="42"/>
        <v>good sleep quality</v>
      </c>
      <c r="DV74" s="35">
        <v>1.0</v>
      </c>
      <c r="DW74" s="35" t="s">
        <v>354</v>
      </c>
      <c r="DX74" s="35" t="s">
        <v>146</v>
      </c>
      <c r="DY74" s="35" t="s">
        <v>156</v>
      </c>
      <c r="DZ74" s="35" t="s">
        <v>131</v>
      </c>
      <c r="EA74" s="35" t="s">
        <v>138</v>
      </c>
      <c r="EB74" s="35" t="s">
        <v>139</v>
      </c>
      <c r="EC74" s="36" t="s">
        <v>133</v>
      </c>
      <c r="ED74" s="36" t="s">
        <v>133</v>
      </c>
      <c r="EE74" s="35" t="s">
        <v>141</v>
      </c>
      <c r="EF74" s="35">
        <f>C74-M74</f>
        <v>419</v>
      </c>
      <c r="EG74" s="35">
        <f>C74-O74</f>
        <v>419</v>
      </c>
      <c r="EH74" s="47">
        <f t="shared" si="24"/>
        <v>28.98114344</v>
      </c>
    </row>
    <row r="75">
      <c r="A75" s="35" t="s">
        <v>355</v>
      </c>
      <c r="B75" s="36" t="s">
        <v>129</v>
      </c>
      <c r="C75" s="37">
        <v>45145.0</v>
      </c>
      <c r="D75" s="48">
        <v>35.0</v>
      </c>
      <c r="E75" s="35" t="s">
        <v>130</v>
      </c>
      <c r="F75" s="35">
        <v>151.0</v>
      </c>
      <c r="G75" s="39">
        <v>70.0</v>
      </c>
      <c r="H75" s="40" t="s">
        <v>131</v>
      </c>
      <c r="I75" s="35">
        <v>3.0</v>
      </c>
      <c r="J75" s="41">
        <v>44743.0</v>
      </c>
      <c r="K75" s="35" t="s">
        <v>132</v>
      </c>
      <c r="L75" s="36" t="s">
        <v>133</v>
      </c>
      <c r="M75" s="42" t="s">
        <v>133</v>
      </c>
      <c r="N75" s="36" t="s">
        <v>133</v>
      </c>
      <c r="O75" s="42" t="s">
        <v>133</v>
      </c>
      <c r="P75" s="36" t="s">
        <v>133</v>
      </c>
      <c r="Q75" s="36" t="s">
        <v>133</v>
      </c>
      <c r="R75" s="36" t="s">
        <v>133</v>
      </c>
      <c r="S75" s="36" t="s">
        <v>133</v>
      </c>
      <c r="T75" s="36" t="s">
        <v>133</v>
      </c>
      <c r="U75" s="36" t="s">
        <v>133</v>
      </c>
      <c r="V75" s="36" t="str">
        <f t="shared" si="2"/>
        <v>No infectado</v>
      </c>
      <c r="W75" s="36" t="s">
        <v>133</v>
      </c>
      <c r="X75" s="36" t="s">
        <v>133</v>
      </c>
      <c r="Y75" s="36" t="s">
        <v>133</v>
      </c>
      <c r="Z75" s="36" t="s">
        <v>133</v>
      </c>
      <c r="AA75" s="36" t="s">
        <v>133</v>
      </c>
      <c r="AB75" s="36" t="s">
        <v>133</v>
      </c>
      <c r="AC75" s="36" t="s">
        <v>133</v>
      </c>
      <c r="AD75" s="36" t="s">
        <v>133</v>
      </c>
      <c r="AE75" s="36" t="s">
        <v>133</v>
      </c>
      <c r="AF75" s="36" t="s">
        <v>133</v>
      </c>
      <c r="AG75" s="36" t="s">
        <v>133</v>
      </c>
      <c r="AH75" s="36" t="s">
        <v>133</v>
      </c>
      <c r="AI75" s="36" t="s">
        <v>133</v>
      </c>
      <c r="AJ75" s="36" t="s">
        <v>133</v>
      </c>
      <c r="AK75" s="36" t="s">
        <v>133</v>
      </c>
      <c r="AL75" s="40" t="s">
        <v>132</v>
      </c>
      <c r="AM75" s="35" t="s">
        <v>132</v>
      </c>
      <c r="AN75" s="35" t="s">
        <v>132</v>
      </c>
      <c r="AO75" s="35" t="s">
        <v>132</v>
      </c>
      <c r="AP75" s="35" t="s">
        <v>132</v>
      </c>
      <c r="AQ75" s="35" t="s">
        <v>132</v>
      </c>
      <c r="AR75" s="35" t="s">
        <v>132</v>
      </c>
      <c r="AS75" s="35" t="s">
        <v>132</v>
      </c>
      <c r="AT75" s="35" t="s">
        <v>132</v>
      </c>
      <c r="AU75" s="35" t="s">
        <v>132</v>
      </c>
      <c r="AV75" s="35" t="s">
        <v>132</v>
      </c>
      <c r="AW75" s="35" t="s">
        <v>177</v>
      </c>
      <c r="AX75" s="35" t="s">
        <v>131</v>
      </c>
      <c r="AY75" s="35">
        <v>10.0</v>
      </c>
      <c r="AZ75" s="35">
        <v>20.0</v>
      </c>
      <c r="BA75" s="36" t="s">
        <v>133</v>
      </c>
      <c r="BB75" s="35" t="s">
        <v>135</v>
      </c>
      <c r="BC75" s="39">
        <v>1.0</v>
      </c>
      <c r="BD75" s="40">
        <v>1.0</v>
      </c>
      <c r="BE75" s="35">
        <v>1.0</v>
      </c>
      <c r="BF75" s="35">
        <v>2.0</v>
      </c>
      <c r="BG75" s="35">
        <v>2.0</v>
      </c>
      <c r="BH75" s="35">
        <v>2.0</v>
      </c>
      <c r="BI75" s="44" t="str">
        <f t="shared" si="3"/>
        <v>11222</v>
      </c>
      <c r="BJ75" s="35">
        <v>50.0</v>
      </c>
      <c r="BK75" s="35">
        <v>2.0</v>
      </c>
      <c r="BL75" s="35">
        <v>2.0</v>
      </c>
      <c r="BM75" s="35">
        <v>2.0</v>
      </c>
      <c r="BN75" s="35">
        <v>4.0</v>
      </c>
      <c r="BO75" s="35">
        <v>2.0</v>
      </c>
      <c r="BP75" s="35">
        <v>2.0</v>
      </c>
      <c r="BQ75" s="35">
        <v>4.0</v>
      </c>
      <c r="BR75" s="35">
        <v>2.0</v>
      </c>
      <c r="BS75" s="35">
        <v>2.0</v>
      </c>
      <c r="BT75" s="35">
        <v>5.0</v>
      </c>
      <c r="BU75" s="44">
        <f t="shared" si="4"/>
        <v>2</v>
      </c>
      <c r="BV75" s="44">
        <f t="shared" si="5"/>
        <v>1</v>
      </c>
      <c r="BW75" s="44">
        <f t="shared" si="53"/>
        <v>24</v>
      </c>
      <c r="BX75" s="44" t="str">
        <f t="shared" si="7"/>
        <v>FATIGA</v>
      </c>
      <c r="BY75" s="35">
        <v>0.0</v>
      </c>
      <c r="BZ75" s="35">
        <v>0.0</v>
      </c>
      <c r="CA75" s="35">
        <v>0.0</v>
      </c>
      <c r="CB75" s="35">
        <v>0.0</v>
      </c>
      <c r="CC75" s="35">
        <v>0.0</v>
      </c>
      <c r="CD75" s="35">
        <v>0.0</v>
      </c>
      <c r="CE75" s="35">
        <v>2.0</v>
      </c>
      <c r="CF75" s="35">
        <v>0.0</v>
      </c>
      <c r="CG75" s="35">
        <v>30.0</v>
      </c>
      <c r="CH75" s="35">
        <v>2.0</v>
      </c>
      <c r="CI75" s="35">
        <v>0.0</v>
      </c>
      <c r="CJ75" s="44">
        <f t="shared" si="27"/>
        <v>198</v>
      </c>
      <c r="CK75" s="44">
        <f t="shared" si="28"/>
        <v>2</v>
      </c>
      <c r="CL75" s="44" t="b">
        <f t="shared" si="29"/>
        <v>0</v>
      </c>
      <c r="CM75" s="44" t="b">
        <f t="shared" si="30"/>
        <v>0</v>
      </c>
      <c r="CN75" s="45" t="str">
        <f t="shared" si="31"/>
        <v>Nivel de actividad física bajo</v>
      </c>
      <c r="CO75" s="35">
        <v>23.0</v>
      </c>
      <c r="CP75" s="35">
        <v>30.0</v>
      </c>
      <c r="CQ75" s="44">
        <f t="shared" si="32"/>
        <v>1</v>
      </c>
      <c r="CR75" s="35">
        <v>6.0</v>
      </c>
      <c r="CS75" s="35">
        <v>0.0</v>
      </c>
      <c r="CT75" s="35">
        <v>7.0</v>
      </c>
      <c r="CU75" s="35">
        <v>4.0</v>
      </c>
      <c r="CV75" s="35">
        <v>3.0</v>
      </c>
      <c r="CW75" s="35">
        <v>3.0</v>
      </c>
      <c r="CX75" s="35">
        <v>2.0</v>
      </c>
      <c r="CY75" s="35">
        <v>0.0</v>
      </c>
      <c r="CZ75" s="35">
        <v>0.0</v>
      </c>
      <c r="DA75" s="35">
        <v>0.0</v>
      </c>
      <c r="DB75" s="35">
        <v>0.0</v>
      </c>
      <c r="DC75" s="35">
        <v>3.0</v>
      </c>
      <c r="DD75" s="35">
        <v>0.0</v>
      </c>
      <c r="DE75" s="36" t="s">
        <v>133</v>
      </c>
      <c r="DF75" s="36" t="s">
        <v>133</v>
      </c>
      <c r="DG75" s="53">
        <f t="shared" si="55"/>
        <v>8</v>
      </c>
      <c r="DH75" s="35">
        <v>2.0</v>
      </c>
      <c r="DI75" s="35">
        <v>0.0</v>
      </c>
      <c r="DJ75" s="35">
        <v>2.0</v>
      </c>
      <c r="DK75" s="35">
        <v>2.0</v>
      </c>
      <c r="DL75" s="46">
        <f t="shared" si="34"/>
        <v>57.14285714</v>
      </c>
      <c r="DM75" s="44">
        <f t="shared" si="35"/>
        <v>3</v>
      </c>
      <c r="DN75" s="44">
        <f t="shared" si="36"/>
        <v>1</v>
      </c>
      <c r="DO75" s="44">
        <f t="shared" si="37"/>
        <v>2</v>
      </c>
      <c r="DP75" s="44">
        <f t="shared" si="38"/>
        <v>2</v>
      </c>
      <c r="DQ75" s="44">
        <f t="shared" si="39"/>
        <v>3</v>
      </c>
      <c r="DR75" s="44">
        <f t="shared" ref="DR75:DS75" si="114">(DH75)</f>
        <v>2</v>
      </c>
      <c r="DS75" s="44">
        <f t="shared" si="114"/>
        <v>0</v>
      </c>
      <c r="DT75" s="44">
        <f t="shared" si="41"/>
        <v>13</v>
      </c>
      <c r="DU75" s="44" t="str">
        <f t="shared" si="42"/>
        <v>poor sleep quality</v>
      </c>
      <c r="DV75" s="35">
        <v>3.0</v>
      </c>
      <c r="DW75" s="35" t="s">
        <v>354</v>
      </c>
      <c r="DX75" s="35" t="s">
        <v>146</v>
      </c>
      <c r="DY75" s="35">
        <v>2.0</v>
      </c>
      <c r="DZ75" s="35" t="s">
        <v>131</v>
      </c>
      <c r="EA75" s="35" t="s">
        <v>202</v>
      </c>
      <c r="EB75" s="35" t="s">
        <v>172</v>
      </c>
      <c r="EC75" s="36" t="s">
        <v>133</v>
      </c>
      <c r="ED75" s="36" t="s">
        <v>133</v>
      </c>
      <c r="EE75" s="35" t="s">
        <v>141</v>
      </c>
      <c r="EF75" s="36" t="s">
        <v>133</v>
      </c>
      <c r="EG75" s="36" t="s">
        <v>133</v>
      </c>
      <c r="EH75" s="47">
        <f t="shared" si="24"/>
        <v>30.70040788</v>
      </c>
    </row>
    <row r="76">
      <c r="A76" s="35" t="s">
        <v>356</v>
      </c>
      <c r="B76" s="36" t="s">
        <v>129</v>
      </c>
      <c r="C76" s="37">
        <v>45145.0</v>
      </c>
      <c r="D76" s="48">
        <v>52.0</v>
      </c>
      <c r="E76" s="35" t="s">
        <v>130</v>
      </c>
      <c r="F76" s="35">
        <v>170.0</v>
      </c>
      <c r="G76" s="39">
        <v>76.0</v>
      </c>
      <c r="H76" s="40" t="s">
        <v>131</v>
      </c>
      <c r="I76" s="35">
        <v>5.0</v>
      </c>
      <c r="J76" s="41">
        <v>45261.0</v>
      </c>
      <c r="K76" s="35" t="s">
        <v>132</v>
      </c>
      <c r="L76" s="36" t="s">
        <v>133</v>
      </c>
      <c r="M76" s="42" t="s">
        <v>133</v>
      </c>
      <c r="N76" s="36" t="s">
        <v>133</v>
      </c>
      <c r="O76" s="42" t="s">
        <v>133</v>
      </c>
      <c r="P76" s="36" t="s">
        <v>133</v>
      </c>
      <c r="Q76" s="36" t="s">
        <v>133</v>
      </c>
      <c r="R76" s="36" t="s">
        <v>133</v>
      </c>
      <c r="S76" s="36" t="s">
        <v>133</v>
      </c>
      <c r="T76" s="36" t="s">
        <v>133</v>
      </c>
      <c r="U76" s="36" t="s">
        <v>133</v>
      </c>
      <c r="V76" s="36" t="str">
        <f t="shared" si="2"/>
        <v>No infectado</v>
      </c>
      <c r="W76" s="36" t="s">
        <v>133</v>
      </c>
      <c r="X76" s="36" t="s">
        <v>133</v>
      </c>
      <c r="Y76" s="36" t="s">
        <v>133</v>
      </c>
      <c r="Z76" s="36" t="s">
        <v>133</v>
      </c>
      <c r="AA76" s="36" t="s">
        <v>133</v>
      </c>
      <c r="AB76" s="36" t="s">
        <v>133</v>
      </c>
      <c r="AC76" s="36" t="s">
        <v>133</v>
      </c>
      <c r="AD76" s="36" t="s">
        <v>133</v>
      </c>
      <c r="AE76" s="36" t="s">
        <v>133</v>
      </c>
      <c r="AF76" s="36" t="s">
        <v>133</v>
      </c>
      <c r="AG76" s="36" t="s">
        <v>133</v>
      </c>
      <c r="AH76" s="36" t="s">
        <v>133</v>
      </c>
      <c r="AI76" s="36" t="s">
        <v>133</v>
      </c>
      <c r="AJ76" s="36" t="s">
        <v>133</v>
      </c>
      <c r="AK76" s="36" t="s">
        <v>133</v>
      </c>
      <c r="AL76" s="40" t="s">
        <v>132</v>
      </c>
      <c r="AM76" s="35" t="s">
        <v>132</v>
      </c>
      <c r="AN76" s="35" t="s">
        <v>132</v>
      </c>
      <c r="AO76" s="35" t="s">
        <v>131</v>
      </c>
      <c r="AP76" s="35" t="s">
        <v>132</v>
      </c>
      <c r="AQ76" s="35" t="s">
        <v>132</v>
      </c>
      <c r="AR76" s="35" t="s">
        <v>132</v>
      </c>
      <c r="AS76" s="35" t="s">
        <v>132</v>
      </c>
      <c r="AT76" s="35" t="s">
        <v>132</v>
      </c>
      <c r="AU76" s="35" t="s">
        <v>132</v>
      </c>
      <c r="AV76" s="35" t="s">
        <v>132</v>
      </c>
      <c r="AW76" s="36" t="s">
        <v>133</v>
      </c>
      <c r="AX76" s="35" t="s">
        <v>165</v>
      </c>
      <c r="AY76" s="36" t="s">
        <v>133</v>
      </c>
      <c r="AZ76" s="36" t="s">
        <v>133</v>
      </c>
      <c r="BA76" s="35">
        <v>30.0</v>
      </c>
      <c r="BB76" s="35" t="s">
        <v>145</v>
      </c>
      <c r="BC76" s="36" t="s">
        <v>133</v>
      </c>
      <c r="BD76" s="40">
        <v>1.0</v>
      </c>
      <c r="BE76" s="35">
        <v>1.0</v>
      </c>
      <c r="BF76" s="35">
        <v>1.0</v>
      </c>
      <c r="BG76" s="35">
        <v>1.0</v>
      </c>
      <c r="BH76" s="35">
        <v>1.0</v>
      </c>
      <c r="BI76" s="44" t="str">
        <f t="shared" si="3"/>
        <v>11111</v>
      </c>
      <c r="BJ76" s="35">
        <v>70.0</v>
      </c>
      <c r="BK76" s="35">
        <v>1.0</v>
      </c>
      <c r="BL76" s="35">
        <v>1.0</v>
      </c>
      <c r="BM76" s="35">
        <v>1.0</v>
      </c>
      <c r="BN76" s="35">
        <v>1.0</v>
      </c>
      <c r="BO76" s="35">
        <v>1.0</v>
      </c>
      <c r="BP76" s="35">
        <v>1.0</v>
      </c>
      <c r="BQ76" s="35">
        <v>2.0</v>
      </c>
      <c r="BR76" s="35">
        <v>1.0</v>
      </c>
      <c r="BS76" s="35">
        <v>1.0</v>
      </c>
      <c r="BT76" s="35">
        <v>5.0</v>
      </c>
      <c r="BU76" s="44">
        <f t="shared" si="4"/>
        <v>5</v>
      </c>
      <c r="BV76" s="44">
        <f t="shared" si="5"/>
        <v>1</v>
      </c>
      <c r="BW76" s="44">
        <f t="shared" si="53"/>
        <v>15</v>
      </c>
      <c r="BX76" s="44" t="str">
        <f t="shared" si="7"/>
        <v>NO HAY FATIGA</v>
      </c>
      <c r="BY76" s="35">
        <v>3.0</v>
      </c>
      <c r="BZ76" s="35">
        <v>2.0</v>
      </c>
      <c r="CA76" s="35">
        <v>0.0</v>
      </c>
      <c r="CB76" s="35">
        <v>0.0</v>
      </c>
      <c r="CC76" s="50">
        <v>0.0</v>
      </c>
      <c r="CD76" s="50">
        <v>0.0</v>
      </c>
      <c r="CE76" s="35">
        <v>7.0</v>
      </c>
      <c r="CF76" s="35">
        <v>1.0</v>
      </c>
      <c r="CG76" s="35">
        <v>0.0</v>
      </c>
      <c r="CH76" s="35">
        <v>1.0</v>
      </c>
      <c r="CI76" s="35">
        <v>0.0</v>
      </c>
      <c r="CJ76" s="44">
        <f t="shared" si="27"/>
        <v>4266</v>
      </c>
      <c r="CK76" s="44">
        <f t="shared" si="28"/>
        <v>10</v>
      </c>
      <c r="CL76" s="44" t="str">
        <f t="shared" si="29"/>
        <v>Nivel de actividad física alto</v>
      </c>
      <c r="CM76" s="44" t="str">
        <f t="shared" si="30"/>
        <v>Nivel de actividad física moderado</v>
      </c>
      <c r="CN76" s="45" t="str">
        <f t="shared" si="31"/>
        <v>Nivel de actividad física alto</v>
      </c>
      <c r="CO76" s="35">
        <v>0.0</v>
      </c>
      <c r="CP76" s="35">
        <v>25.0</v>
      </c>
      <c r="CQ76" s="44">
        <f t="shared" si="32"/>
        <v>1</v>
      </c>
      <c r="CR76" s="35">
        <v>9.0</v>
      </c>
      <c r="CS76" s="35">
        <v>0.0</v>
      </c>
      <c r="CT76" s="35">
        <v>9.0</v>
      </c>
      <c r="CU76" s="35">
        <v>8.5</v>
      </c>
      <c r="CV76" s="35">
        <v>0.0</v>
      </c>
      <c r="CW76" s="35">
        <v>0.0</v>
      </c>
      <c r="CX76" s="35">
        <v>0.0</v>
      </c>
      <c r="CY76" s="35">
        <v>0.0</v>
      </c>
      <c r="CZ76" s="35">
        <v>3.0</v>
      </c>
      <c r="DA76" s="35">
        <v>0.0</v>
      </c>
      <c r="DB76" s="35">
        <v>0.0</v>
      </c>
      <c r="DC76" s="35">
        <v>0.0</v>
      </c>
      <c r="DD76" s="35">
        <v>0.0</v>
      </c>
      <c r="DE76" s="35">
        <v>0.0</v>
      </c>
      <c r="DF76" s="36" t="s">
        <v>133</v>
      </c>
      <c r="DG76" s="53">
        <f t="shared" si="55"/>
        <v>3</v>
      </c>
      <c r="DH76" s="35">
        <v>0.0</v>
      </c>
      <c r="DI76" s="35">
        <v>0.0</v>
      </c>
      <c r="DJ76" s="35">
        <v>1.0</v>
      </c>
      <c r="DK76" s="35">
        <v>0.0</v>
      </c>
      <c r="DL76" s="46">
        <f t="shared" si="34"/>
        <v>94.44444444</v>
      </c>
      <c r="DM76" s="44">
        <f t="shared" si="35"/>
        <v>0</v>
      </c>
      <c r="DN76" s="44">
        <f t="shared" si="36"/>
        <v>1</v>
      </c>
      <c r="DO76" s="44">
        <f t="shared" si="37"/>
        <v>1</v>
      </c>
      <c r="DP76" s="44">
        <f t="shared" si="38"/>
        <v>1</v>
      </c>
      <c r="DQ76" s="44">
        <f t="shared" si="39"/>
        <v>0</v>
      </c>
      <c r="DR76" s="44">
        <f t="shared" ref="DR76:DS76" si="115">(DH76)</f>
        <v>0</v>
      </c>
      <c r="DS76" s="44">
        <f t="shared" si="115"/>
        <v>0</v>
      </c>
      <c r="DT76" s="44">
        <f t="shared" si="41"/>
        <v>3</v>
      </c>
      <c r="DU76" s="44" t="str">
        <f t="shared" si="42"/>
        <v>good sleep quality</v>
      </c>
      <c r="DV76" s="36" t="s">
        <v>133</v>
      </c>
      <c r="DW76" s="36" t="s">
        <v>133</v>
      </c>
      <c r="DX76" s="36" t="s">
        <v>133</v>
      </c>
      <c r="DY76" s="36" t="s">
        <v>133</v>
      </c>
      <c r="DZ76" s="36" t="s">
        <v>133</v>
      </c>
      <c r="EA76" s="36" t="s">
        <v>133</v>
      </c>
      <c r="EB76" s="36" t="s">
        <v>133</v>
      </c>
      <c r="EC76" s="36" t="s">
        <v>133</v>
      </c>
      <c r="ED76" s="36" t="s">
        <v>133</v>
      </c>
      <c r="EE76" s="36" t="s">
        <v>133</v>
      </c>
      <c r="EF76" s="36" t="s">
        <v>133</v>
      </c>
      <c r="EG76" s="36" t="s">
        <v>133</v>
      </c>
      <c r="EH76" s="47">
        <f t="shared" si="24"/>
        <v>26.29757785</v>
      </c>
    </row>
    <row r="77" ht="15.75" customHeight="1">
      <c r="A77" s="35" t="s">
        <v>357</v>
      </c>
      <c r="B77" s="36" t="s">
        <v>129</v>
      </c>
      <c r="C77" s="37">
        <v>45150.0</v>
      </c>
      <c r="D77" s="48">
        <v>35.0</v>
      </c>
      <c r="E77" s="35" t="s">
        <v>130</v>
      </c>
      <c r="F77" s="35">
        <v>152.0</v>
      </c>
      <c r="G77" s="39">
        <v>55.0</v>
      </c>
      <c r="H77" s="40" t="s">
        <v>131</v>
      </c>
      <c r="I77" s="35">
        <v>2.0</v>
      </c>
      <c r="J77" s="41">
        <v>44562.0</v>
      </c>
      <c r="K77" s="35" t="s">
        <v>132</v>
      </c>
      <c r="L77" s="36" t="s">
        <v>133</v>
      </c>
      <c r="M77" s="42" t="s">
        <v>133</v>
      </c>
      <c r="N77" s="36" t="s">
        <v>133</v>
      </c>
      <c r="O77" s="42" t="s">
        <v>133</v>
      </c>
      <c r="P77" s="36" t="s">
        <v>133</v>
      </c>
      <c r="Q77" s="36" t="s">
        <v>133</v>
      </c>
      <c r="R77" s="36" t="s">
        <v>133</v>
      </c>
      <c r="S77" s="36" t="s">
        <v>133</v>
      </c>
      <c r="T77" s="36" t="s">
        <v>133</v>
      </c>
      <c r="U77" s="36" t="s">
        <v>133</v>
      </c>
      <c r="V77" s="36" t="str">
        <f t="shared" si="2"/>
        <v>No infectado</v>
      </c>
      <c r="W77" s="36" t="s">
        <v>133</v>
      </c>
      <c r="X77" s="36" t="s">
        <v>133</v>
      </c>
      <c r="Y77" s="36" t="s">
        <v>133</v>
      </c>
      <c r="Z77" s="36" t="s">
        <v>133</v>
      </c>
      <c r="AA77" s="36" t="s">
        <v>133</v>
      </c>
      <c r="AB77" s="36" t="s">
        <v>133</v>
      </c>
      <c r="AC77" s="36" t="s">
        <v>133</v>
      </c>
      <c r="AD77" s="36" t="s">
        <v>133</v>
      </c>
      <c r="AE77" s="36" t="s">
        <v>133</v>
      </c>
      <c r="AF77" s="36" t="s">
        <v>133</v>
      </c>
      <c r="AG77" s="36" t="s">
        <v>133</v>
      </c>
      <c r="AH77" s="36" t="s">
        <v>133</v>
      </c>
      <c r="AI77" s="36" t="s">
        <v>133</v>
      </c>
      <c r="AJ77" s="36" t="s">
        <v>133</v>
      </c>
      <c r="AK77" s="36" t="s">
        <v>133</v>
      </c>
      <c r="AL77" s="40" t="s">
        <v>132</v>
      </c>
      <c r="AM77" s="35" t="s">
        <v>132</v>
      </c>
      <c r="AN77" s="35" t="s">
        <v>132</v>
      </c>
      <c r="AO77" s="35" t="s">
        <v>132</v>
      </c>
      <c r="AP77" s="35" t="s">
        <v>132</v>
      </c>
      <c r="AQ77" s="35" t="s">
        <v>132</v>
      </c>
      <c r="AR77" s="35" t="s">
        <v>132</v>
      </c>
      <c r="AS77" s="35" t="s">
        <v>132</v>
      </c>
      <c r="AT77" s="35" t="s">
        <v>132</v>
      </c>
      <c r="AU77" s="35" t="s">
        <v>132</v>
      </c>
      <c r="AV77" s="35" t="s">
        <v>132</v>
      </c>
      <c r="AW77" s="36" t="s">
        <v>133</v>
      </c>
      <c r="AX77" s="35" t="s">
        <v>132</v>
      </c>
      <c r="AY77" s="36" t="s">
        <v>133</v>
      </c>
      <c r="AZ77" s="36" t="s">
        <v>133</v>
      </c>
      <c r="BA77" s="36" t="s">
        <v>133</v>
      </c>
      <c r="BB77" s="35" t="s">
        <v>135</v>
      </c>
      <c r="BC77" s="39">
        <v>1.0</v>
      </c>
      <c r="BD77" s="40">
        <v>1.0</v>
      </c>
      <c r="BE77" s="35">
        <v>1.0</v>
      </c>
      <c r="BF77" s="35">
        <v>1.0</v>
      </c>
      <c r="BG77" s="35">
        <v>1.0</v>
      </c>
      <c r="BH77" s="35">
        <v>1.0</v>
      </c>
      <c r="BI77" s="44" t="str">
        <f t="shared" si="3"/>
        <v>11111</v>
      </c>
      <c r="BJ77" s="35">
        <v>95.0</v>
      </c>
      <c r="BK77" s="35">
        <v>1.0</v>
      </c>
      <c r="BL77" s="35">
        <v>1.0</v>
      </c>
      <c r="BM77" s="35">
        <v>2.0</v>
      </c>
      <c r="BN77" s="35">
        <v>5.0</v>
      </c>
      <c r="BO77" s="35">
        <v>1.0</v>
      </c>
      <c r="BP77" s="35">
        <v>1.0</v>
      </c>
      <c r="BQ77" s="35">
        <v>1.0</v>
      </c>
      <c r="BR77" s="35">
        <v>1.0</v>
      </c>
      <c r="BS77" s="35">
        <v>1.0</v>
      </c>
      <c r="BT77" s="35">
        <v>3.0</v>
      </c>
      <c r="BU77" s="44">
        <f t="shared" si="4"/>
        <v>1</v>
      </c>
      <c r="BV77" s="44">
        <f t="shared" si="5"/>
        <v>3</v>
      </c>
      <c r="BW77" s="44">
        <f t="shared" si="53"/>
        <v>15</v>
      </c>
      <c r="BX77" s="44" t="str">
        <f t="shared" si="7"/>
        <v>NO HAY FATIGA</v>
      </c>
      <c r="BY77" s="35">
        <v>3.0</v>
      </c>
      <c r="BZ77" s="35">
        <v>2.0</v>
      </c>
      <c r="CA77" s="35">
        <v>0.0</v>
      </c>
      <c r="CB77" s="35">
        <v>0.0</v>
      </c>
      <c r="CC77" s="35">
        <v>0.0</v>
      </c>
      <c r="CD77" s="35">
        <v>0.0</v>
      </c>
      <c r="CE77" s="35">
        <v>2.0</v>
      </c>
      <c r="CF77" s="35">
        <v>0.0</v>
      </c>
      <c r="CG77" s="35">
        <v>15.0</v>
      </c>
      <c r="CH77" s="35">
        <v>5.0</v>
      </c>
      <c r="CI77" s="35">
        <v>0.0</v>
      </c>
      <c r="CJ77" s="44">
        <f t="shared" si="27"/>
        <v>2979</v>
      </c>
      <c r="CK77" s="44">
        <f t="shared" si="28"/>
        <v>5</v>
      </c>
      <c r="CL77" s="44" t="str">
        <f t="shared" si="29"/>
        <v>Nivel de actividad física alto</v>
      </c>
      <c r="CM77" s="44" t="str">
        <f t="shared" si="30"/>
        <v>Nivel de actividad física moderado</v>
      </c>
      <c r="CN77" s="45" t="str">
        <f t="shared" si="31"/>
        <v>Nivel de actividad física alto</v>
      </c>
      <c r="CO77" s="51">
        <v>0.9375</v>
      </c>
      <c r="CP77" s="35">
        <v>5.0</v>
      </c>
      <c r="CQ77" s="44">
        <f t="shared" si="32"/>
        <v>0</v>
      </c>
      <c r="CR77" s="35">
        <v>5.0</v>
      </c>
      <c r="CS77" s="35">
        <v>30.0</v>
      </c>
      <c r="CT77" s="35">
        <v>7.0</v>
      </c>
      <c r="CU77" s="35">
        <v>6.5</v>
      </c>
      <c r="CV77" s="35">
        <v>0.0</v>
      </c>
      <c r="CW77" s="35">
        <v>0.0</v>
      </c>
      <c r="CX77" s="35">
        <v>0.0</v>
      </c>
      <c r="CY77" s="35">
        <v>0.0</v>
      </c>
      <c r="CZ77" s="35">
        <v>0.0</v>
      </c>
      <c r="DA77" s="35">
        <v>0.0</v>
      </c>
      <c r="DB77" s="35">
        <v>0.0</v>
      </c>
      <c r="DC77" s="35">
        <v>0.0</v>
      </c>
      <c r="DD77" s="35">
        <v>0.0</v>
      </c>
      <c r="DE77" s="35">
        <v>0.0</v>
      </c>
      <c r="DF77" s="36" t="s">
        <v>133</v>
      </c>
      <c r="DG77" s="53">
        <f t="shared" si="55"/>
        <v>0</v>
      </c>
      <c r="DH77" s="35">
        <v>1.0</v>
      </c>
      <c r="DI77" s="35">
        <v>0.0</v>
      </c>
      <c r="DJ77" s="35">
        <v>3.0</v>
      </c>
      <c r="DK77" s="35">
        <v>1.0</v>
      </c>
      <c r="DL77" s="46">
        <f t="shared" si="34"/>
        <v>92.85714286</v>
      </c>
      <c r="DM77" s="44">
        <f t="shared" si="35"/>
        <v>1</v>
      </c>
      <c r="DN77" s="44">
        <f t="shared" si="36"/>
        <v>0</v>
      </c>
      <c r="DO77" s="44">
        <f t="shared" si="37"/>
        <v>0</v>
      </c>
      <c r="DP77" s="44">
        <f t="shared" si="38"/>
        <v>2</v>
      </c>
      <c r="DQ77" s="44">
        <f t="shared" si="39"/>
        <v>0</v>
      </c>
      <c r="DR77" s="44">
        <f t="shared" ref="DR77:DS77" si="116">(DH77)</f>
        <v>1</v>
      </c>
      <c r="DS77" s="44">
        <f t="shared" si="116"/>
        <v>0</v>
      </c>
      <c r="DT77" s="44">
        <f t="shared" si="41"/>
        <v>4</v>
      </c>
      <c r="DU77" s="44" t="str">
        <f t="shared" si="42"/>
        <v>good sleep quality</v>
      </c>
      <c r="DV77" s="35">
        <v>0.0</v>
      </c>
      <c r="DW77" s="36" t="s">
        <v>133</v>
      </c>
      <c r="DX77" s="35" t="s">
        <v>137</v>
      </c>
      <c r="DY77" s="35">
        <v>1.0</v>
      </c>
      <c r="DZ77" s="35" t="s">
        <v>131</v>
      </c>
      <c r="EA77" s="35" t="s">
        <v>167</v>
      </c>
      <c r="EB77" s="35" t="s">
        <v>139</v>
      </c>
      <c r="EC77" s="36" t="s">
        <v>133</v>
      </c>
      <c r="ED77" s="35" t="s">
        <v>132</v>
      </c>
      <c r="EE77" s="35" t="s">
        <v>141</v>
      </c>
      <c r="EF77" s="36" t="s">
        <v>133</v>
      </c>
      <c r="EG77" s="36" t="s">
        <v>133</v>
      </c>
      <c r="EH77" s="47">
        <f t="shared" si="24"/>
        <v>23.80540166</v>
      </c>
    </row>
    <row r="78" ht="19.5" customHeight="1">
      <c r="A78" s="35" t="s">
        <v>358</v>
      </c>
      <c r="B78" s="36" t="s">
        <v>129</v>
      </c>
      <c r="C78" s="37">
        <v>45150.0</v>
      </c>
      <c r="D78" s="48">
        <v>37.0</v>
      </c>
      <c r="E78" s="35" t="s">
        <v>130</v>
      </c>
      <c r="F78" s="35">
        <v>150.0</v>
      </c>
      <c r="G78" s="39">
        <v>55.0</v>
      </c>
      <c r="H78" s="40" t="s">
        <v>131</v>
      </c>
      <c r="I78" s="35">
        <v>5.0</v>
      </c>
      <c r="J78" s="41">
        <v>44915.0</v>
      </c>
      <c r="K78" s="35" t="s">
        <v>132</v>
      </c>
      <c r="L78" s="36" t="s">
        <v>133</v>
      </c>
      <c r="M78" s="42" t="s">
        <v>133</v>
      </c>
      <c r="N78" s="36" t="s">
        <v>133</v>
      </c>
      <c r="O78" s="42" t="s">
        <v>133</v>
      </c>
      <c r="P78" s="36" t="s">
        <v>133</v>
      </c>
      <c r="Q78" s="36" t="s">
        <v>133</v>
      </c>
      <c r="R78" s="36" t="s">
        <v>133</v>
      </c>
      <c r="S78" s="36" t="s">
        <v>133</v>
      </c>
      <c r="T78" s="36" t="s">
        <v>133</v>
      </c>
      <c r="U78" s="36" t="s">
        <v>133</v>
      </c>
      <c r="V78" s="36" t="str">
        <f t="shared" si="2"/>
        <v>No infectado</v>
      </c>
      <c r="W78" s="36" t="s">
        <v>133</v>
      </c>
      <c r="X78" s="36" t="s">
        <v>133</v>
      </c>
      <c r="Y78" s="36" t="s">
        <v>133</v>
      </c>
      <c r="Z78" s="36" t="s">
        <v>133</v>
      </c>
      <c r="AA78" s="36" t="s">
        <v>133</v>
      </c>
      <c r="AB78" s="36" t="s">
        <v>133</v>
      </c>
      <c r="AC78" s="36" t="s">
        <v>133</v>
      </c>
      <c r="AD78" s="36" t="s">
        <v>133</v>
      </c>
      <c r="AE78" s="36" t="s">
        <v>133</v>
      </c>
      <c r="AF78" s="36" t="s">
        <v>133</v>
      </c>
      <c r="AG78" s="36" t="s">
        <v>133</v>
      </c>
      <c r="AH78" s="36" t="s">
        <v>133</v>
      </c>
      <c r="AI78" s="36" t="s">
        <v>133</v>
      </c>
      <c r="AJ78" s="36" t="s">
        <v>133</v>
      </c>
      <c r="AK78" s="36" t="s">
        <v>133</v>
      </c>
      <c r="AL78" s="40" t="s">
        <v>132</v>
      </c>
      <c r="AM78" s="35" t="s">
        <v>132</v>
      </c>
      <c r="AN78" s="35" t="s">
        <v>132</v>
      </c>
      <c r="AO78" s="35" t="s">
        <v>132</v>
      </c>
      <c r="AP78" s="35" t="s">
        <v>132</v>
      </c>
      <c r="AQ78" s="35" t="s">
        <v>132</v>
      </c>
      <c r="AR78" s="35" t="s">
        <v>132</v>
      </c>
      <c r="AS78" s="35" t="s">
        <v>132</v>
      </c>
      <c r="AT78" s="35" t="s">
        <v>132</v>
      </c>
      <c r="AU78" s="35" t="s">
        <v>132</v>
      </c>
      <c r="AV78" s="35" t="s">
        <v>132</v>
      </c>
      <c r="AW78" s="36" t="s">
        <v>133</v>
      </c>
      <c r="AX78" s="35" t="s">
        <v>132</v>
      </c>
      <c r="AY78" s="36" t="s">
        <v>133</v>
      </c>
      <c r="AZ78" s="36" t="s">
        <v>133</v>
      </c>
      <c r="BA78" s="36" t="s">
        <v>133</v>
      </c>
      <c r="BB78" s="35" t="s">
        <v>145</v>
      </c>
      <c r="BC78" s="36" t="s">
        <v>133</v>
      </c>
      <c r="BD78" s="40">
        <v>1.0</v>
      </c>
      <c r="BE78" s="35">
        <v>1.0</v>
      </c>
      <c r="BF78" s="35">
        <v>1.0</v>
      </c>
      <c r="BG78" s="35">
        <v>1.0</v>
      </c>
      <c r="BH78" s="35">
        <v>2.0</v>
      </c>
      <c r="BI78" s="44" t="str">
        <f t="shared" si="3"/>
        <v>11112</v>
      </c>
      <c r="BJ78" s="35">
        <v>70.0</v>
      </c>
      <c r="BK78" s="35">
        <v>1.0</v>
      </c>
      <c r="BL78" s="35">
        <v>1.0</v>
      </c>
      <c r="BM78" s="35">
        <v>1.0</v>
      </c>
      <c r="BN78" s="35">
        <v>2.0</v>
      </c>
      <c r="BO78" s="35">
        <v>2.0</v>
      </c>
      <c r="BP78" s="35">
        <v>2.0</v>
      </c>
      <c r="BQ78" s="35">
        <v>1.0</v>
      </c>
      <c r="BR78" s="35">
        <v>2.0</v>
      </c>
      <c r="BS78" s="35">
        <v>2.0</v>
      </c>
      <c r="BT78" s="35">
        <v>4.0</v>
      </c>
      <c r="BU78" s="44">
        <f t="shared" si="4"/>
        <v>4</v>
      </c>
      <c r="BV78" s="44">
        <f t="shared" si="5"/>
        <v>2</v>
      </c>
      <c r="BW78" s="44">
        <f t="shared" si="53"/>
        <v>18</v>
      </c>
      <c r="BX78" s="44" t="str">
        <f t="shared" si="7"/>
        <v>NO HAY FATIGA</v>
      </c>
      <c r="BY78" s="35">
        <v>0.0</v>
      </c>
      <c r="BZ78" s="35">
        <v>0.0</v>
      </c>
      <c r="CA78" s="35">
        <v>0.0</v>
      </c>
      <c r="CB78" s="35">
        <v>0.0</v>
      </c>
      <c r="CC78" s="35">
        <v>0.0</v>
      </c>
      <c r="CD78" s="35">
        <v>0.0</v>
      </c>
      <c r="CE78" s="35">
        <v>7.0</v>
      </c>
      <c r="CF78" s="35">
        <v>1.0</v>
      </c>
      <c r="CG78" s="35">
        <v>0.0</v>
      </c>
      <c r="CH78" s="35">
        <v>9.0</v>
      </c>
      <c r="CI78" s="35">
        <v>0.0</v>
      </c>
      <c r="CJ78" s="44">
        <f t="shared" si="27"/>
        <v>1386</v>
      </c>
      <c r="CK78" s="44">
        <f t="shared" si="28"/>
        <v>7</v>
      </c>
      <c r="CL78" s="44" t="b">
        <f t="shared" si="29"/>
        <v>0</v>
      </c>
      <c r="CM78" s="44" t="str">
        <f t="shared" si="30"/>
        <v>Nivel de actividad física moderado</v>
      </c>
      <c r="CN78" s="45" t="str">
        <f t="shared" si="31"/>
        <v>Nivel de actividad física moderado</v>
      </c>
      <c r="CO78" s="35">
        <v>0.0</v>
      </c>
      <c r="CP78" s="35">
        <v>30.0</v>
      </c>
      <c r="CQ78" s="44">
        <f t="shared" si="32"/>
        <v>1</v>
      </c>
      <c r="CR78" s="35">
        <v>7.0</v>
      </c>
      <c r="CS78" s="35">
        <v>30.0</v>
      </c>
      <c r="CT78" s="35">
        <v>7.5</v>
      </c>
      <c r="CU78" s="35">
        <v>7.0</v>
      </c>
      <c r="CV78" s="35">
        <v>0.0</v>
      </c>
      <c r="CW78" s="35">
        <v>0.0</v>
      </c>
      <c r="CX78" s="35">
        <v>2.0</v>
      </c>
      <c r="CY78" s="35">
        <v>0.0</v>
      </c>
      <c r="CZ78" s="35">
        <v>0.0</v>
      </c>
      <c r="DA78" s="35">
        <v>0.0</v>
      </c>
      <c r="DB78" s="35">
        <v>0.0</v>
      </c>
      <c r="DC78" s="35">
        <v>0.0</v>
      </c>
      <c r="DD78" s="35">
        <v>0.0</v>
      </c>
      <c r="DE78" s="35">
        <v>0.0</v>
      </c>
      <c r="DF78" s="36" t="s">
        <v>133</v>
      </c>
      <c r="DG78" s="53">
        <f t="shared" si="55"/>
        <v>2</v>
      </c>
      <c r="DH78" s="35">
        <v>1.0</v>
      </c>
      <c r="DI78" s="35">
        <v>0.0</v>
      </c>
      <c r="DJ78" s="35">
        <v>0.0</v>
      </c>
      <c r="DK78" s="35">
        <v>0.0</v>
      </c>
      <c r="DL78" s="46">
        <f t="shared" si="34"/>
        <v>93.33333333</v>
      </c>
      <c r="DM78" s="44">
        <f t="shared" si="35"/>
        <v>0</v>
      </c>
      <c r="DN78" s="44">
        <f t="shared" si="36"/>
        <v>1</v>
      </c>
      <c r="DO78" s="44">
        <f t="shared" si="37"/>
        <v>1</v>
      </c>
      <c r="DP78" s="44">
        <f t="shared" si="38"/>
        <v>0</v>
      </c>
      <c r="DQ78" s="44">
        <f t="shared" si="39"/>
        <v>0</v>
      </c>
      <c r="DR78" s="44">
        <f t="shared" ref="DR78:DS78" si="117">(DH78)</f>
        <v>1</v>
      </c>
      <c r="DS78" s="44">
        <f t="shared" si="117"/>
        <v>0</v>
      </c>
      <c r="DT78" s="44">
        <f t="shared" si="41"/>
        <v>3</v>
      </c>
      <c r="DU78" s="44" t="str">
        <f t="shared" si="42"/>
        <v>good sleep quality</v>
      </c>
      <c r="DV78" s="35">
        <v>1.0</v>
      </c>
      <c r="DW78" s="35" t="s">
        <v>136</v>
      </c>
      <c r="DX78" s="35" t="s">
        <v>146</v>
      </c>
      <c r="DY78" s="35">
        <v>1.0</v>
      </c>
      <c r="DZ78" s="35" t="s">
        <v>131</v>
      </c>
      <c r="EA78" s="35" t="s">
        <v>167</v>
      </c>
      <c r="EB78" s="35" t="s">
        <v>139</v>
      </c>
      <c r="EC78" s="35" t="s">
        <v>140</v>
      </c>
      <c r="ED78" s="35" t="s">
        <v>132</v>
      </c>
      <c r="EE78" s="35" t="s">
        <v>141</v>
      </c>
      <c r="EF78" s="36" t="s">
        <v>133</v>
      </c>
      <c r="EG78" s="36" t="s">
        <v>133</v>
      </c>
      <c r="EH78" s="47">
        <f t="shared" si="24"/>
        <v>24.44444444</v>
      </c>
    </row>
    <row r="79" ht="15.75" customHeight="1">
      <c r="A79" s="35" t="s">
        <v>359</v>
      </c>
      <c r="B79" s="36" t="s">
        <v>175</v>
      </c>
      <c r="C79" s="37">
        <v>45150.0</v>
      </c>
      <c r="D79" s="48">
        <v>48.0</v>
      </c>
      <c r="E79" s="35" t="s">
        <v>130</v>
      </c>
      <c r="F79" s="35">
        <v>170.0</v>
      </c>
      <c r="G79" s="39">
        <v>73.0</v>
      </c>
      <c r="H79" s="40" t="s">
        <v>131</v>
      </c>
      <c r="I79" s="35">
        <v>4.0</v>
      </c>
      <c r="J79" s="41">
        <v>44896.0</v>
      </c>
      <c r="K79" s="35" t="s">
        <v>131</v>
      </c>
      <c r="L79" s="35">
        <v>1.0</v>
      </c>
      <c r="M79" s="41">
        <v>44013.0</v>
      </c>
      <c r="N79" s="35">
        <v>0.0</v>
      </c>
      <c r="O79" s="41">
        <v>44013.0</v>
      </c>
      <c r="P79" s="35" t="s">
        <v>132</v>
      </c>
      <c r="Q79" s="36" t="s">
        <v>133</v>
      </c>
      <c r="R79" s="36" t="s">
        <v>133</v>
      </c>
      <c r="S79" s="36" t="s">
        <v>133</v>
      </c>
      <c r="T79" s="36" t="s">
        <v>133</v>
      </c>
      <c r="U79" s="36" t="s">
        <v>133</v>
      </c>
      <c r="V79" s="36" t="str">
        <f t="shared" si="2"/>
        <v>Paciente ambulatorio</v>
      </c>
      <c r="W79" s="35" t="s">
        <v>143</v>
      </c>
      <c r="X79" s="35" t="s">
        <v>131</v>
      </c>
      <c r="Y79" s="35">
        <v>3.0</v>
      </c>
      <c r="Z79" s="35">
        <v>2.0</v>
      </c>
      <c r="AA79" s="35">
        <v>3.0</v>
      </c>
      <c r="AB79" s="35">
        <v>3.0</v>
      </c>
      <c r="AC79" s="35">
        <v>2.0</v>
      </c>
      <c r="AD79" s="35">
        <v>2.0</v>
      </c>
      <c r="AE79" s="35">
        <v>3.0</v>
      </c>
      <c r="AF79" s="35">
        <v>2.0</v>
      </c>
      <c r="AG79" s="35">
        <v>2.0</v>
      </c>
      <c r="AH79" s="35">
        <v>2.0</v>
      </c>
      <c r="AI79" s="35">
        <v>1.0</v>
      </c>
      <c r="AJ79" s="35">
        <v>1.0</v>
      </c>
      <c r="AK79" s="39" t="s">
        <v>360</v>
      </c>
      <c r="AL79" s="40" t="s">
        <v>132</v>
      </c>
      <c r="AM79" s="35" t="s">
        <v>132</v>
      </c>
      <c r="AN79" s="35" t="s">
        <v>132</v>
      </c>
      <c r="AO79" s="35" t="s">
        <v>132</v>
      </c>
      <c r="AP79" s="35" t="s">
        <v>132</v>
      </c>
      <c r="AQ79" s="35" t="s">
        <v>132</v>
      </c>
      <c r="AR79" s="35" t="s">
        <v>132</v>
      </c>
      <c r="AS79" s="35" t="s">
        <v>132</v>
      </c>
      <c r="AT79" s="35" t="s">
        <v>132</v>
      </c>
      <c r="AU79" s="35" t="s">
        <v>132</v>
      </c>
      <c r="AV79" s="35" t="s">
        <v>132</v>
      </c>
      <c r="AW79" s="35" t="s">
        <v>251</v>
      </c>
      <c r="AX79" s="35" t="s">
        <v>165</v>
      </c>
      <c r="AY79" s="35">
        <v>7.0</v>
      </c>
      <c r="AZ79" s="36" t="s">
        <v>133</v>
      </c>
      <c r="BA79" s="36" t="s">
        <v>133</v>
      </c>
      <c r="BB79" s="35" t="s">
        <v>135</v>
      </c>
      <c r="BC79" s="39">
        <v>2.0</v>
      </c>
      <c r="BD79" s="40">
        <v>1.0</v>
      </c>
      <c r="BE79" s="35">
        <v>1.0</v>
      </c>
      <c r="BF79" s="35">
        <v>1.0</v>
      </c>
      <c r="BG79" s="35">
        <v>2.0</v>
      </c>
      <c r="BH79" s="35">
        <v>2.0</v>
      </c>
      <c r="BI79" s="44" t="str">
        <f t="shared" si="3"/>
        <v>11122</v>
      </c>
      <c r="BJ79" s="35">
        <v>95.0</v>
      </c>
      <c r="BK79" s="35">
        <v>2.0</v>
      </c>
      <c r="BL79" s="35">
        <v>2.0</v>
      </c>
      <c r="BM79" s="35">
        <v>3.0</v>
      </c>
      <c r="BN79" s="35">
        <v>3.0</v>
      </c>
      <c r="BO79" s="35">
        <v>2.0</v>
      </c>
      <c r="BP79" s="35">
        <v>2.0</v>
      </c>
      <c r="BQ79" s="35">
        <v>4.0</v>
      </c>
      <c r="BR79" s="35">
        <v>3.0</v>
      </c>
      <c r="BS79" s="35">
        <v>4.0</v>
      </c>
      <c r="BT79" s="35">
        <v>2.0</v>
      </c>
      <c r="BU79" s="44">
        <f t="shared" si="4"/>
        <v>3</v>
      </c>
      <c r="BV79" s="44">
        <f t="shared" si="5"/>
        <v>4</v>
      </c>
      <c r="BW79" s="44">
        <f t="shared" si="53"/>
        <v>28</v>
      </c>
      <c r="BX79" s="44" t="str">
        <f t="shared" si="7"/>
        <v>FATIGA</v>
      </c>
      <c r="BY79" s="35">
        <v>0.0</v>
      </c>
      <c r="BZ79" s="35">
        <v>0.0</v>
      </c>
      <c r="CA79" s="35">
        <v>0.0</v>
      </c>
      <c r="CB79" s="35">
        <v>0.0</v>
      </c>
      <c r="CC79" s="35">
        <v>0.0</v>
      </c>
      <c r="CD79" s="35">
        <v>0.0</v>
      </c>
      <c r="CE79" s="35">
        <v>0.0</v>
      </c>
      <c r="CF79" s="50">
        <v>0.0</v>
      </c>
      <c r="CG79" s="50">
        <v>0.0</v>
      </c>
      <c r="CH79" s="35">
        <v>8.0</v>
      </c>
      <c r="CI79" s="35">
        <v>0.0</v>
      </c>
      <c r="CJ79" s="44">
        <f t="shared" si="27"/>
        <v>0</v>
      </c>
      <c r="CK79" s="44">
        <f t="shared" si="28"/>
        <v>0</v>
      </c>
      <c r="CL79" s="44" t="b">
        <f t="shared" si="29"/>
        <v>0</v>
      </c>
      <c r="CM79" s="44" t="b">
        <f t="shared" si="30"/>
        <v>0</v>
      </c>
      <c r="CN79" s="45" t="str">
        <f t="shared" si="31"/>
        <v>Nivel de actividad física bajo</v>
      </c>
      <c r="CO79" s="35">
        <v>23.0</v>
      </c>
      <c r="CP79" s="35">
        <v>30.0</v>
      </c>
      <c r="CQ79" s="44">
        <f t="shared" si="32"/>
        <v>1</v>
      </c>
      <c r="CR79" s="35">
        <v>7.0</v>
      </c>
      <c r="CS79" s="35">
        <v>45.0</v>
      </c>
      <c r="CT79" s="35">
        <v>8.45</v>
      </c>
      <c r="CU79" s="35">
        <v>7.0</v>
      </c>
      <c r="CV79" s="35">
        <v>0.0</v>
      </c>
      <c r="CW79" s="35">
        <v>3.0</v>
      </c>
      <c r="CX79" s="35">
        <v>0.0</v>
      </c>
      <c r="CY79" s="35">
        <v>0.0</v>
      </c>
      <c r="CZ79" s="35">
        <v>0.0</v>
      </c>
      <c r="DA79" s="35">
        <v>0.0</v>
      </c>
      <c r="DB79" s="35">
        <v>0.0</v>
      </c>
      <c r="DC79" s="35">
        <v>0.0</v>
      </c>
      <c r="DD79" s="35">
        <v>0.0</v>
      </c>
      <c r="DE79" s="35">
        <v>0.0</v>
      </c>
      <c r="DF79" s="36" t="s">
        <v>133</v>
      </c>
      <c r="DG79" s="53">
        <f t="shared" si="55"/>
        <v>3</v>
      </c>
      <c r="DH79" s="35">
        <v>2.0</v>
      </c>
      <c r="DI79" s="35">
        <v>0.0</v>
      </c>
      <c r="DJ79" s="35">
        <v>2.0</v>
      </c>
      <c r="DK79" s="35">
        <v>1.0</v>
      </c>
      <c r="DL79" s="46">
        <f t="shared" si="34"/>
        <v>82.84023669</v>
      </c>
      <c r="DM79" s="44">
        <f t="shared" si="35"/>
        <v>0</v>
      </c>
      <c r="DN79" s="44">
        <f t="shared" si="36"/>
        <v>1</v>
      </c>
      <c r="DO79" s="44">
        <f t="shared" si="37"/>
        <v>1</v>
      </c>
      <c r="DP79" s="44">
        <f t="shared" si="38"/>
        <v>2</v>
      </c>
      <c r="DQ79" s="44">
        <f t="shared" si="39"/>
        <v>1</v>
      </c>
      <c r="DR79" s="44">
        <f t="shared" ref="DR79:DS79" si="118">(DH79)</f>
        <v>2</v>
      </c>
      <c r="DS79" s="44">
        <f t="shared" si="118"/>
        <v>0</v>
      </c>
      <c r="DT79" s="44">
        <f t="shared" si="41"/>
        <v>7</v>
      </c>
      <c r="DU79" s="44" t="str">
        <f t="shared" si="42"/>
        <v>poor sleep quality</v>
      </c>
      <c r="DV79" s="35">
        <v>1.0</v>
      </c>
      <c r="DW79" s="35" t="s">
        <v>136</v>
      </c>
      <c r="DX79" s="35" t="s">
        <v>146</v>
      </c>
      <c r="DY79" s="35">
        <v>1.0</v>
      </c>
      <c r="DZ79" s="35" t="s">
        <v>132</v>
      </c>
      <c r="EA79" s="35" t="s">
        <v>167</v>
      </c>
      <c r="EB79" s="35" t="s">
        <v>139</v>
      </c>
      <c r="EC79" s="36" t="s">
        <v>133</v>
      </c>
      <c r="ED79" s="35" t="s">
        <v>132</v>
      </c>
      <c r="EE79" s="35" t="s">
        <v>151</v>
      </c>
      <c r="EF79" s="35">
        <f t="shared" ref="EF79:EF81" si="120">C79-M79</f>
        <v>1137</v>
      </c>
      <c r="EG79" s="35">
        <f t="shared" ref="EG79:EG80" si="121">C79-O79</f>
        <v>1137</v>
      </c>
      <c r="EH79" s="47">
        <f t="shared" si="24"/>
        <v>25.25951557</v>
      </c>
    </row>
    <row r="80" ht="15.75" customHeight="1">
      <c r="A80" s="35" t="s">
        <v>361</v>
      </c>
      <c r="B80" s="36" t="s">
        <v>129</v>
      </c>
      <c r="C80" s="37">
        <v>45149.0</v>
      </c>
      <c r="D80" s="48">
        <v>34.0</v>
      </c>
      <c r="E80" s="35" t="s">
        <v>130</v>
      </c>
      <c r="F80" s="35">
        <v>150.0</v>
      </c>
      <c r="G80" s="39">
        <v>46.0</v>
      </c>
      <c r="H80" s="40" t="s">
        <v>131</v>
      </c>
      <c r="I80" s="35">
        <v>2.0</v>
      </c>
      <c r="J80" s="41">
        <v>44593.0</v>
      </c>
      <c r="K80" s="35" t="s">
        <v>131</v>
      </c>
      <c r="L80" s="35">
        <v>2.0</v>
      </c>
      <c r="M80" s="41">
        <v>44562.0</v>
      </c>
      <c r="N80" s="35">
        <v>1.0</v>
      </c>
      <c r="O80" s="41">
        <v>44652.0</v>
      </c>
      <c r="P80" s="35" t="s">
        <v>132</v>
      </c>
      <c r="Q80" s="36" t="s">
        <v>133</v>
      </c>
      <c r="R80" s="36" t="s">
        <v>133</v>
      </c>
      <c r="S80" s="36" t="s">
        <v>133</v>
      </c>
      <c r="T80" s="36" t="s">
        <v>133</v>
      </c>
      <c r="U80" s="36" t="s">
        <v>133</v>
      </c>
      <c r="V80" s="36" t="str">
        <f t="shared" si="2"/>
        <v>Paciente ambulatorio</v>
      </c>
      <c r="W80" s="35" t="s">
        <v>183</v>
      </c>
      <c r="X80" s="35" t="s">
        <v>132</v>
      </c>
      <c r="Y80" s="35">
        <v>1.0</v>
      </c>
      <c r="Z80" s="35">
        <v>1.0</v>
      </c>
      <c r="AA80" s="35">
        <v>3.0</v>
      </c>
      <c r="AB80" s="35">
        <v>3.0</v>
      </c>
      <c r="AC80" s="35">
        <v>1.0</v>
      </c>
      <c r="AD80" s="35">
        <v>1.0</v>
      </c>
      <c r="AE80" s="35">
        <v>1.0</v>
      </c>
      <c r="AF80" s="35">
        <v>1.0</v>
      </c>
      <c r="AG80" s="35">
        <v>3.0</v>
      </c>
      <c r="AH80" s="35">
        <v>1.0</v>
      </c>
      <c r="AI80" s="35">
        <v>1.0</v>
      </c>
      <c r="AJ80" s="35">
        <v>3.0</v>
      </c>
      <c r="AK80" s="39" t="s">
        <v>362</v>
      </c>
      <c r="AL80" s="40" t="s">
        <v>132</v>
      </c>
      <c r="AM80" s="35" t="s">
        <v>132</v>
      </c>
      <c r="AN80" s="35" t="s">
        <v>132</v>
      </c>
      <c r="AO80" s="35" t="s">
        <v>132</v>
      </c>
      <c r="AP80" s="35" t="s">
        <v>132</v>
      </c>
      <c r="AQ80" s="35" t="s">
        <v>132</v>
      </c>
      <c r="AR80" s="35" t="s">
        <v>132</v>
      </c>
      <c r="AS80" s="35" t="s">
        <v>132</v>
      </c>
      <c r="AT80" s="35" t="s">
        <v>132</v>
      </c>
      <c r="AU80" s="35" t="s">
        <v>132</v>
      </c>
      <c r="AV80" s="35" t="s">
        <v>132</v>
      </c>
      <c r="AW80" s="36" t="s">
        <v>133</v>
      </c>
      <c r="AX80" s="36" t="s">
        <v>133</v>
      </c>
      <c r="AY80" s="36" t="s">
        <v>133</v>
      </c>
      <c r="AZ80" s="36" t="s">
        <v>133</v>
      </c>
      <c r="BA80" s="36" t="s">
        <v>133</v>
      </c>
      <c r="BB80" s="35" t="s">
        <v>135</v>
      </c>
      <c r="BC80" s="39">
        <v>1.0</v>
      </c>
      <c r="BD80" s="40">
        <v>1.0</v>
      </c>
      <c r="BE80" s="35">
        <v>1.0</v>
      </c>
      <c r="BF80" s="35">
        <v>2.0</v>
      </c>
      <c r="BG80" s="35">
        <v>3.0</v>
      </c>
      <c r="BH80" s="35">
        <v>2.0</v>
      </c>
      <c r="BI80" s="44" t="str">
        <f t="shared" si="3"/>
        <v>11232</v>
      </c>
      <c r="BJ80" s="35">
        <v>70.0</v>
      </c>
      <c r="BK80" s="35">
        <v>3.0</v>
      </c>
      <c r="BL80" s="35">
        <v>3.0</v>
      </c>
      <c r="BM80" s="35">
        <v>2.0</v>
      </c>
      <c r="BN80" s="35">
        <v>2.0</v>
      </c>
      <c r="BO80" s="35">
        <v>2.0</v>
      </c>
      <c r="BP80" s="35">
        <v>3.0</v>
      </c>
      <c r="BQ80" s="35">
        <v>3.0</v>
      </c>
      <c r="BR80" s="35">
        <v>3.0</v>
      </c>
      <c r="BS80" s="35">
        <v>2.0</v>
      </c>
      <c r="BT80" s="35">
        <v>4.0</v>
      </c>
      <c r="BU80" s="44">
        <f t="shared" si="4"/>
        <v>4</v>
      </c>
      <c r="BV80" s="44">
        <f t="shared" si="5"/>
        <v>2</v>
      </c>
      <c r="BW80" s="44">
        <f t="shared" si="53"/>
        <v>27</v>
      </c>
      <c r="BX80" s="44" t="str">
        <f t="shared" si="7"/>
        <v>FATIGA</v>
      </c>
      <c r="BY80" s="35">
        <v>0.0</v>
      </c>
      <c r="BZ80" s="35">
        <v>0.0</v>
      </c>
      <c r="CA80" s="35">
        <v>0.0</v>
      </c>
      <c r="CB80" s="35">
        <v>0.0</v>
      </c>
      <c r="CC80" s="35">
        <v>0.0</v>
      </c>
      <c r="CD80" s="35">
        <v>0.0</v>
      </c>
      <c r="CE80" s="35">
        <v>4.0</v>
      </c>
      <c r="CF80" s="35">
        <v>0.0</v>
      </c>
      <c r="CG80" s="35">
        <v>30.0</v>
      </c>
      <c r="CH80" s="35">
        <v>4.0</v>
      </c>
      <c r="CI80" s="35">
        <v>0.0</v>
      </c>
      <c r="CJ80" s="44">
        <f t="shared" si="27"/>
        <v>396</v>
      </c>
      <c r="CK80" s="44">
        <f t="shared" si="28"/>
        <v>4</v>
      </c>
      <c r="CL80" s="44" t="b">
        <f t="shared" si="29"/>
        <v>0</v>
      </c>
      <c r="CM80" s="44" t="b">
        <f t="shared" si="30"/>
        <v>0</v>
      </c>
      <c r="CN80" s="45" t="str">
        <f t="shared" si="31"/>
        <v>Nivel de actividad física bajo</v>
      </c>
      <c r="CO80" s="35">
        <v>3.0</v>
      </c>
      <c r="CP80" s="35">
        <v>30.0</v>
      </c>
      <c r="CQ80" s="44">
        <f t="shared" si="32"/>
        <v>1</v>
      </c>
      <c r="CR80" s="35">
        <v>9.0</v>
      </c>
      <c r="CS80" s="35">
        <v>0.0</v>
      </c>
      <c r="CT80" s="35">
        <v>6.0</v>
      </c>
      <c r="CU80" s="35">
        <v>6.0</v>
      </c>
      <c r="CV80" s="35">
        <v>3.0</v>
      </c>
      <c r="CW80" s="35">
        <v>2.0</v>
      </c>
      <c r="CX80" s="35">
        <v>0.0</v>
      </c>
      <c r="CY80" s="35">
        <v>2.0</v>
      </c>
      <c r="CZ80" s="35">
        <v>0.0</v>
      </c>
      <c r="DA80" s="35">
        <v>2.0</v>
      </c>
      <c r="DB80" s="35">
        <v>2.0</v>
      </c>
      <c r="DC80" s="35">
        <v>2.0</v>
      </c>
      <c r="DD80" s="35">
        <v>2.0</v>
      </c>
      <c r="DE80" s="35">
        <v>2.0</v>
      </c>
      <c r="DF80" s="35" t="s">
        <v>304</v>
      </c>
      <c r="DG80" s="53">
        <f t="shared" si="55"/>
        <v>14</v>
      </c>
      <c r="DH80" s="35">
        <v>2.0</v>
      </c>
      <c r="DI80" s="35">
        <v>1.0</v>
      </c>
      <c r="DJ80" s="35">
        <v>3.0</v>
      </c>
      <c r="DK80" s="35">
        <v>2.0</v>
      </c>
      <c r="DL80" s="46">
        <f t="shared" si="34"/>
        <v>100</v>
      </c>
      <c r="DM80" s="44">
        <f t="shared" si="35"/>
        <v>1</v>
      </c>
      <c r="DN80" s="44">
        <f t="shared" si="36"/>
        <v>2</v>
      </c>
      <c r="DO80" s="44">
        <f t="shared" si="37"/>
        <v>2</v>
      </c>
      <c r="DP80" s="44">
        <f t="shared" si="38"/>
        <v>3</v>
      </c>
      <c r="DQ80" s="44">
        <f t="shared" si="39"/>
        <v>0</v>
      </c>
      <c r="DR80" s="44">
        <f t="shared" ref="DR80:DS80" si="119">(DH80)</f>
        <v>2</v>
      </c>
      <c r="DS80" s="44">
        <f t="shared" si="119"/>
        <v>1</v>
      </c>
      <c r="DT80" s="44">
        <f t="shared" si="41"/>
        <v>11</v>
      </c>
      <c r="DU80" s="44" t="str">
        <f t="shared" si="42"/>
        <v>poor sleep quality</v>
      </c>
      <c r="DV80" s="35">
        <v>3.0</v>
      </c>
      <c r="DW80" s="35" t="s">
        <v>247</v>
      </c>
      <c r="DX80" s="35" t="s">
        <v>146</v>
      </c>
      <c r="DY80" s="35">
        <v>1.0</v>
      </c>
      <c r="DZ80" s="35" t="s">
        <v>131</v>
      </c>
      <c r="EA80" s="35" t="s">
        <v>178</v>
      </c>
      <c r="EB80" s="35" t="s">
        <v>248</v>
      </c>
      <c r="EC80" s="36" t="s">
        <v>133</v>
      </c>
      <c r="ED80" s="35" t="s">
        <v>132</v>
      </c>
      <c r="EE80" s="35" t="s">
        <v>141</v>
      </c>
      <c r="EF80" s="35">
        <f t="shared" si="120"/>
        <v>587</v>
      </c>
      <c r="EG80" s="35">
        <f t="shared" si="121"/>
        <v>497</v>
      </c>
      <c r="EH80" s="47">
        <f t="shared" si="24"/>
        <v>20.44444444</v>
      </c>
    </row>
    <row r="81" ht="15.75" customHeight="1">
      <c r="A81" s="35" t="s">
        <v>363</v>
      </c>
      <c r="B81" s="36" t="s">
        <v>175</v>
      </c>
      <c r="C81" s="37">
        <v>45150.0</v>
      </c>
      <c r="D81" s="48">
        <v>41.0</v>
      </c>
      <c r="E81" s="35" t="s">
        <v>130</v>
      </c>
      <c r="F81" s="57">
        <v>160.0</v>
      </c>
      <c r="G81" s="57">
        <v>60.0</v>
      </c>
      <c r="H81" s="35" t="s">
        <v>131</v>
      </c>
      <c r="I81" s="35">
        <v>2.0</v>
      </c>
      <c r="J81" s="55">
        <v>44713.0</v>
      </c>
      <c r="K81" s="35" t="s">
        <v>131</v>
      </c>
      <c r="L81" s="35">
        <v>3.0</v>
      </c>
      <c r="M81" s="55">
        <v>44562.0</v>
      </c>
      <c r="N81" s="35">
        <v>0.0</v>
      </c>
      <c r="O81" s="57" t="s">
        <v>133</v>
      </c>
      <c r="P81" s="35" t="s">
        <v>132</v>
      </c>
      <c r="Q81" s="36" t="s">
        <v>133</v>
      </c>
      <c r="R81" s="36" t="s">
        <v>133</v>
      </c>
      <c r="S81" s="36" t="s">
        <v>133</v>
      </c>
      <c r="T81" s="36" t="s">
        <v>133</v>
      </c>
      <c r="U81" s="36" t="s">
        <v>133</v>
      </c>
      <c r="V81" s="36" t="str">
        <f t="shared" si="2"/>
        <v>Paciente ambulatorio</v>
      </c>
      <c r="W81" s="57" t="s">
        <v>143</v>
      </c>
      <c r="X81" s="35" t="s">
        <v>132</v>
      </c>
      <c r="Y81" s="57">
        <v>1.0</v>
      </c>
      <c r="Z81" s="35">
        <v>2.0</v>
      </c>
      <c r="AA81" s="57">
        <v>3.0</v>
      </c>
      <c r="AB81" s="57">
        <v>3.0</v>
      </c>
      <c r="AC81" s="57">
        <v>3.0</v>
      </c>
      <c r="AD81" s="57">
        <v>2.0</v>
      </c>
      <c r="AE81" s="35">
        <v>2.0</v>
      </c>
      <c r="AF81" s="35">
        <v>1.0</v>
      </c>
      <c r="AG81" s="35">
        <v>1.0</v>
      </c>
      <c r="AH81" s="35">
        <v>1.0</v>
      </c>
      <c r="AI81" s="35">
        <v>1.0</v>
      </c>
      <c r="AJ81" s="35">
        <v>1.0</v>
      </c>
      <c r="AK81" s="39"/>
      <c r="AL81" s="59" t="s">
        <v>132</v>
      </c>
      <c r="AM81" s="35" t="s">
        <v>132</v>
      </c>
      <c r="AN81" s="35" t="s">
        <v>132</v>
      </c>
      <c r="AO81" s="35" t="s">
        <v>132</v>
      </c>
      <c r="AP81" s="35" t="s">
        <v>132</v>
      </c>
      <c r="AQ81" s="35" t="s">
        <v>132</v>
      </c>
      <c r="AR81" s="35" t="s">
        <v>132</v>
      </c>
      <c r="AS81" s="35" t="s">
        <v>132</v>
      </c>
      <c r="AT81" s="35" t="s">
        <v>132</v>
      </c>
      <c r="AU81" s="35" t="s">
        <v>132</v>
      </c>
      <c r="AV81" s="35" t="s">
        <v>132</v>
      </c>
      <c r="AW81" s="36" t="s">
        <v>133</v>
      </c>
      <c r="AX81" s="57" t="s">
        <v>165</v>
      </c>
      <c r="AY81" s="57" t="s">
        <v>133</v>
      </c>
      <c r="AZ81" s="57" t="s">
        <v>133</v>
      </c>
      <c r="BA81" s="50">
        <v>5.0</v>
      </c>
      <c r="BB81" s="57" t="s">
        <v>135</v>
      </c>
      <c r="BC81" s="39">
        <v>1.0</v>
      </c>
      <c r="BD81" s="59">
        <v>1.0</v>
      </c>
      <c r="BE81" s="35">
        <v>1.0</v>
      </c>
      <c r="BF81" s="57">
        <v>1.0</v>
      </c>
      <c r="BG81" s="57">
        <v>3.0</v>
      </c>
      <c r="BH81" s="57">
        <v>3.0</v>
      </c>
      <c r="BI81" s="44" t="str">
        <f t="shared" si="3"/>
        <v>11133</v>
      </c>
      <c r="BJ81" s="57">
        <v>90.0</v>
      </c>
      <c r="BK81" s="57">
        <v>1.0</v>
      </c>
      <c r="BL81" s="57">
        <v>4.0</v>
      </c>
      <c r="BM81" s="57">
        <v>4.0</v>
      </c>
      <c r="BN81" s="57">
        <v>4.0</v>
      </c>
      <c r="BO81" s="35">
        <v>3.0</v>
      </c>
      <c r="BP81" s="35">
        <v>2.0</v>
      </c>
      <c r="BQ81" s="57">
        <v>2.0</v>
      </c>
      <c r="BR81" s="57">
        <v>1.0</v>
      </c>
      <c r="BS81" s="57">
        <v>4.0</v>
      </c>
      <c r="BT81" s="57">
        <v>5.0</v>
      </c>
      <c r="BU81" s="44">
        <f t="shared" si="4"/>
        <v>2</v>
      </c>
      <c r="BV81" s="44">
        <f t="shared" si="5"/>
        <v>1</v>
      </c>
      <c r="BW81" s="44">
        <f t="shared" si="53"/>
        <v>27</v>
      </c>
      <c r="BX81" s="44" t="str">
        <f t="shared" si="7"/>
        <v>FATIGA</v>
      </c>
      <c r="BY81" s="57">
        <v>0.0</v>
      </c>
      <c r="BZ81" s="57">
        <v>0.0</v>
      </c>
      <c r="CA81" s="35">
        <v>0.0</v>
      </c>
      <c r="CB81" s="35">
        <v>0.0</v>
      </c>
      <c r="CC81" s="35">
        <v>0.0</v>
      </c>
      <c r="CD81" s="35">
        <v>0.0</v>
      </c>
      <c r="CE81" s="57">
        <v>2.0</v>
      </c>
      <c r="CF81" s="35">
        <v>0.0</v>
      </c>
      <c r="CG81" s="57">
        <v>20.0</v>
      </c>
      <c r="CH81" s="57">
        <v>8.0</v>
      </c>
      <c r="CI81" s="35">
        <v>0.0</v>
      </c>
      <c r="CJ81" s="44">
        <f t="shared" si="27"/>
        <v>132</v>
      </c>
      <c r="CK81" s="44">
        <f t="shared" si="28"/>
        <v>2</v>
      </c>
      <c r="CL81" s="44" t="b">
        <f t="shared" si="29"/>
        <v>0</v>
      </c>
      <c r="CM81" s="44" t="b">
        <f t="shared" si="30"/>
        <v>0</v>
      </c>
      <c r="CN81" s="45" t="str">
        <f t="shared" si="31"/>
        <v>Nivel de actividad física bajo</v>
      </c>
      <c r="CO81" s="35">
        <v>23.0</v>
      </c>
      <c r="CP81" s="57">
        <v>30.0</v>
      </c>
      <c r="CQ81" s="44">
        <f t="shared" si="32"/>
        <v>1</v>
      </c>
      <c r="CR81" s="57">
        <v>6.0</v>
      </c>
      <c r="CS81" s="35">
        <v>0.0</v>
      </c>
      <c r="CT81" s="35">
        <v>9.0</v>
      </c>
      <c r="CU81" s="35">
        <v>5.0</v>
      </c>
      <c r="CV81" s="57">
        <v>2.0</v>
      </c>
      <c r="CW81" s="57">
        <v>3.0</v>
      </c>
      <c r="CX81" s="57">
        <v>3.0</v>
      </c>
      <c r="CY81" s="57">
        <v>0.0</v>
      </c>
      <c r="CZ81" s="57">
        <v>0.0</v>
      </c>
      <c r="DA81" s="57">
        <v>2.0</v>
      </c>
      <c r="DB81" s="57">
        <v>2.0</v>
      </c>
      <c r="DC81" s="57">
        <v>2.0</v>
      </c>
      <c r="DD81" s="35">
        <v>0.0</v>
      </c>
      <c r="DE81" s="35">
        <v>0.0</v>
      </c>
      <c r="DF81" s="36" t="s">
        <v>133</v>
      </c>
      <c r="DG81" s="53">
        <f t="shared" si="55"/>
        <v>12</v>
      </c>
      <c r="DH81" s="35">
        <v>2.0</v>
      </c>
      <c r="DI81" s="35">
        <v>0.0</v>
      </c>
      <c r="DJ81" s="35">
        <v>3.0</v>
      </c>
      <c r="DK81" s="57">
        <v>2.0</v>
      </c>
      <c r="DL81" s="46">
        <f t="shared" si="34"/>
        <v>55.55555556</v>
      </c>
      <c r="DM81" s="44">
        <f t="shared" si="35"/>
        <v>2</v>
      </c>
      <c r="DN81" s="44">
        <f t="shared" si="36"/>
        <v>2</v>
      </c>
      <c r="DO81" s="44">
        <f t="shared" si="37"/>
        <v>2</v>
      </c>
      <c r="DP81" s="44">
        <f t="shared" si="38"/>
        <v>3</v>
      </c>
      <c r="DQ81" s="44">
        <f t="shared" si="39"/>
        <v>3</v>
      </c>
      <c r="DR81" s="44">
        <f t="shared" ref="DR81:DS81" si="122">(DH81)</f>
        <v>2</v>
      </c>
      <c r="DS81" s="44">
        <f t="shared" si="122"/>
        <v>0</v>
      </c>
      <c r="DT81" s="44">
        <f t="shared" si="41"/>
        <v>14</v>
      </c>
      <c r="DU81" s="44" t="str">
        <f t="shared" si="42"/>
        <v>poor sleep quality</v>
      </c>
      <c r="DV81" s="35">
        <v>1.0</v>
      </c>
      <c r="DW81" s="35" t="s">
        <v>314</v>
      </c>
      <c r="DX81" s="35" t="s">
        <v>146</v>
      </c>
      <c r="DY81" s="35">
        <v>1.0</v>
      </c>
      <c r="DZ81" s="35" t="s">
        <v>131</v>
      </c>
      <c r="EA81" s="57" t="s">
        <v>138</v>
      </c>
      <c r="EB81" s="57" t="s">
        <v>139</v>
      </c>
      <c r="EC81" s="36" t="s">
        <v>133</v>
      </c>
      <c r="ED81" s="35" t="s">
        <v>132</v>
      </c>
      <c r="EE81" s="35" t="s">
        <v>141</v>
      </c>
      <c r="EF81" s="35">
        <f t="shared" si="120"/>
        <v>588</v>
      </c>
      <c r="EG81" s="57" t="s">
        <v>133</v>
      </c>
      <c r="EH81" s="47">
        <f t="shared" si="24"/>
        <v>23.4375</v>
      </c>
    </row>
    <row r="82" ht="15.75" customHeight="1">
      <c r="A82" s="35" t="s">
        <v>364</v>
      </c>
      <c r="B82" s="36" t="s">
        <v>129</v>
      </c>
      <c r="C82" s="37">
        <v>45149.0</v>
      </c>
      <c r="D82" s="48">
        <v>47.0</v>
      </c>
      <c r="E82" s="35" t="s">
        <v>153</v>
      </c>
      <c r="F82" s="35">
        <v>174.0</v>
      </c>
      <c r="G82" s="39">
        <v>72.0</v>
      </c>
      <c r="H82" s="40" t="s">
        <v>131</v>
      </c>
      <c r="I82" s="35">
        <v>2.0</v>
      </c>
      <c r="J82" s="55">
        <v>44228.0</v>
      </c>
      <c r="K82" s="35" t="s">
        <v>132</v>
      </c>
      <c r="L82" s="36" t="s">
        <v>133</v>
      </c>
      <c r="M82" s="42" t="s">
        <v>133</v>
      </c>
      <c r="N82" s="36" t="s">
        <v>133</v>
      </c>
      <c r="O82" s="42" t="s">
        <v>133</v>
      </c>
      <c r="P82" s="36" t="s">
        <v>133</v>
      </c>
      <c r="Q82" s="36" t="s">
        <v>133</v>
      </c>
      <c r="R82" s="36" t="s">
        <v>133</v>
      </c>
      <c r="S82" s="36" t="s">
        <v>133</v>
      </c>
      <c r="T82" s="36" t="s">
        <v>133</v>
      </c>
      <c r="U82" s="36" t="s">
        <v>133</v>
      </c>
      <c r="V82" s="36" t="str">
        <f t="shared" si="2"/>
        <v>No infectado</v>
      </c>
      <c r="W82" s="36" t="s">
        <v>133</v>
      </c>
      <c r="X82" s="36" t="s">
        <v>133</v>
      </c>
      <c r="Y82" s="36" t="s">
        <v>133</v>
      </c>
      <c r="Z82" s="36" t="s">
        <v>133</v>
      </c>
      <c r="AA82" s="36" t="s">
        <v>133</v>
      </c>
      <c r="AB82" s="36" t="s">
        <v>133</v>
      </c>
      <c r="AC82" s="36" t="s">
        <v>133</v>
      </c>
      <c r="AD82" s="36" t="s">
        <v>133</v>
      </c>
      <c r="AE82" s="36" t="s">
        <v>133</v>
      </c>
      <c r="AF82" s="36" t="s">
        <v>133</v>
      </c>
      <c r="AG82" s="36" t="s">
        <v>133</v>
      </c>
      <c r="AH82" s="36" t="s">
        <v>133</v>
      </c>
      <c r="AI82" s="36" t="s">
        <v>133</v>
      </c>
      <c r="AJ82" s="36" t="s">
        <v>133</v>
      </c>
      <c r="AK82" s="36" t="s">
        <v>133</v>
      </c>
      <c r="AL82" s="40" t="s">
        <v>132</v>
      </c>
      <c r="AM82" s="35" t="s">
        <v>132</v>
      </c>
      <c r="AN82" s="35" t="s">
        <v>132</v>
      </c>
      <c r="AO82" s="35" t="s">
        <v>132</v>
      </c>
      <c r="AP82" s="35" t="s">
        <v>132</v>
      </c>
      <c r="AQ82" s="35" t="s">
        <v>132</v>
      </c>
      <c r="AR82" s="35" t="s">
        <v>132</v>
      </c>
      <c r="AS82" s="35" t="s">
        <v>132</v>
      </c>
      <c r="AT82" s="35" t="s">
        <v>132</v>
      </c>
      <c r="AU82" s="35" t="s">
        <v>132</v>
      </c>
      <c r="AV82" s="35" t="s">
        <v>131</v>
      </c>
      <c r="AW82" s="36" t="s">
        <v>133</v>
      </c>
      <c r="AX82" s="35" t="s">
        <v>132</v>
      </c>
      <c r="AY82" s="36" t="s">
        <v>133</v>
      </c>
      <c r="AZ82" s="36" t="s">
        <v>133</v>
      </c>
      <c r="BA82" s="36" t="s">
        <v>133</v>
      </c>
      <c r="BB82" s="35" t="s">
        <v>135</v>
      </c>
      <c r="BC82" s="39">
        <v>3.0</v>
      </c>
      <c r="BD82" s="40">
        <v>1.0</v>
      </c>
      <c r="BE82" s="35">
        <v>1.0</v>
      </c>
      <c r="BF82" s="35">
        <v>2.0</v>
      </c>
      <c r="BG82" s="35">
        <v>1.0</v>
      </c>
      <c r="BH82" s="35">
        <v>3.0</v>
      </c>
      <c r="BI82" s="44" t="str">
        <f t="shared" si="3"/>
        <v>11213</v>
      </c>
      <c r="BJ82" s="35">
        <v>90.0</v>
      </c>
      <c r="BK82" s="35">
        <v>2.0</v>
      </c>
      <c r="BL82" s="35">
        <v>1.0</v>
      </c>
      <c r="BM82" s="35">
        <v>2.0</v>
      </c>
      <c r="BN82" s="35">
        <v>4.0</v>
      </c>
      <c r="BO82" s="35">
        <v>2.0</v>
      </c>
      <c r="BP82" s="35">
        <v>2.0</v>
      </c>
      <c r="BQ82" s="35">
        <v>1.0</v>
      </c>
      <c r="BR82" s="35">
        <v>2.0</v>
      </c>
      <c r="BS82" s="35">
        <v>2.0</v>
      </c>
      <c r="BT82" s="35">
        <v>4.0</v>
      </c>
      <c r="BU82" s="44">
        <f t="shared" si="4"/>
        <v>2</v>
      </c>
      <c r="BV82" s="44">
        <f t="shared" si="5"/>
        <v>2</v>
      </c>
      <c r="BW82" s="44">
        <f t="shared" si="53"/>
        <v>20</v>
      </c>
      <c r="BX82" s="44" t="str">
        <f t="shared" si="7"/>
        <v>NO HAY FATIGA</v>
      </c>
      <c r="BY82" s="35">
        <v>7.0</v>
      </c>
      <c r="BZ82" s="35">
        <v>0.0</v>
      </c>
      <c r="CA82" s="35">
        <v>45.0</v>
      </c>
      <c r="CB82" s="35">
        <v>3.0</v>
      </c>
      <c r="CC82" s="35">
        <v>0.0</v>
      </c>
      <c r="CD82" s="35">
        <v>10.0</v>
      </c>
      <c r="CE82" s="35">
        <v>7.0</v>
      </c>
      <c r="CF82" s="35">
        <v>0.0</v>
      </c>
      <c r="CG82" s="35">
        <v>10.0</v>
      </c>
      <c r="CH82" s="35">
        <v>4.0</v>
      </c>
      <c r="CI82" s="35">
        <v>0.0</v>
      </c>
      <c r="CJ82" s="44">
        <f t="shared" si="27"/>
        <v>2871</v>
      </c>
      <c r="CK82" s="44">
        <f t="shared" si="28"/>
        <v>17</v>
      </c>
      <c r="CL82" s="44" t="str">
        <f t="shared" si="29"/>
        <v>Nivel de actividad física alto</v>
      </c>
      <c r="CM82" s="44" t="str">
        <f t="shared" si="30"/>
        <v>Nivel de actividad física moderado</v>
      </c>
      <c r="CN82" s="45" t="str">
        <f t="shared" si="31"/>
        <v>Nivel de actividad física alto</v>
      </c>
      <c r="CO82" s="35">
        <v>1.0</v>
      </c>
      <c r="CP82" s="35">
        <v>60.0</v>
      </c>
      <c r="CQ82" s="44">
        <f t="shared" si="32"/>
        <v>2</v>
      </c>
      <c r="CR82" s="35">
        <v>7.0</v>
      </c>
      <c r="CS82" s="35">
        <v>0.0</v>
      </c>
      <c r="CT82" s="35">
        <v>6.0</v>
      </c>
      <c r="CU82" s="35">
        <v>6.0</v>
      </c>
      <c r="CV82" s="35">
        <v>3.0</v>
      </c>
      <c r="CW82" s="35">
        <v>0.0</v>
      </c>
      <c r="CX82" s="35">
        <v>0.0</v>
      </c>
      <c r="CY82" s="35">
        <v>0.0</v>
      </c>
      <c r="CZ82" s="35">
        <v>0.0</v>
      </c>
      <c r="DA82" s="35">
        <v>0.0</v>
      </c>
      <c r="DB82" s="35">
        <v>0.0</v>
      </c>
      <c r="DC82" s="35">
        <v>0.0</v>
      </c>
      <c r="DD82" s="35">
        <v>0.0</v>
      </c>
      <c r="DE82" s="35">
        <v>0.0</v>
      </c>
      <c r="DF82" s="36" t="s">
        <v>133</v>
      </c>
      <c r="DG82" s="53">
        <f t="shared" si="55"/>
        <v>0</v>
      </c>
      <c r="DH82" s="35">
        <v>2.0</v>
      </c>
      <c r="DI82" s="35">
        <v>0.0</v>
      </c>
      <c r="DJ82" s="35">
        <v>3.0</v>
      </c>
      <c r="DK82" s="35">
        <v>1.0</v>
      </c>
      <c r="DL82" s="46">
        <f t="shared" si="34"/>
        <v>100</v>
      </c>
      <c r="DM82" s="44">
        <f t="shared" si="35"/>
        <v>1</v>
      </c>
      <c r="DN82" s="44">
        <f t="shared" si="36"/>
        <v>0</v>
      </c>
      <c r="DO82" s="44">
        <f t="shared" si="37"/>
        <v>3</v>
      </c>
      <c r="DP82" s="44">
        <f t="shared" si="38"/>
        <v>2</v>
      </c>
      <c r="DQ82" s="44">
        <f t="shared" si="39"/>
        <v>0</v>
      </c>
      <c r="DR82" s="44">
        <f t="shared" ref="DR82:DS82" si="123">(DH82)</f>
        <v>2</v>
      </c>
      <c r="DS82" s="44">
        <f t="shared" si="123"/>
        <v>0</v>
      </c>
      <c r="DT82" s="44">
        <f t="shared" si="41"/>
        <v>8</v>
      </c>
      <c r="DU82" s="44" t="str">
        <f t="shared" si="42"/>
        <v>poor sleep quality</v>
      </c>
      <c r="DV82" s="35">
        <v>0.0</v>
      </c>
      <c r="DW82" s="36" t="s">
        <v>133</v>
      </c>
      <c r="DX82" s="35" t="s">
        <v>213</v>
      </c>
      <c r="DY82" s="35">
        <v>1.0</v>
      </c>
      <c r="DZ82" s="35" t="s">
        <v>131</v>
      </c>
      <c r="EA82" s="35" t="s">
        <v>157</v>
      </c>
      <c r="EB82" s="35" t="s">
        <v>139</v>
      </c>
      <c r="EC82" s="35" t="s">
        <v>140</v>
      </c>
      <c r="ED82" s="35" t="s">
        <v>132</v>
      </c>
      <c r="EE82" s="35" t="s">
        <v>140</v>
      </c>
      <c r="EF82" s="36" t="s">
        <v>133</v>
      </c>
      <c r="EG82" s="36" t="s">
        <v>133</v>
      </c>
      <c r="EH82" s="47">
        <f t="shared" si="24"/>
        <v>23.78121284</v>
      </c>
    </row>
    <row r="83" ht="15.75" customHeight="1">
      <c r="A83" s="35" t="s">
        <v>365</v>
      </c>
      <c r="B83" s="36" t="s">
        <v>175</v>
      </c>
      <c r="C83" s="37">
        <v>45156.0</v>
      </c>
      <c r="D83" s="48">
        <v>50.0</v>
      </c>
      <c r="E83" s="35" t="s">
        <v>130</v>
      </c>
      <c r="F83" s="35">
        <v>164.0</v>
      </c>
      <c r="G83" s="35">
        <v>78.0</v>
      </c>
      <c r="H83" s="35" t="s">
        <v>131</v>
      </c>
      <c r="I83" s="35">
        <v>2.0</v>
      </c>
      <c r="J83" s="41">
        <v>44339.0</v>
      </c>
      <c r="K83" s="35" t="s">
        <v>131</v>
      </c>
      <c r="L83" s="35">
        <v>1.0</v>
      </c>
      <c r="M83" s="41">
        <v>44564.0</v>
      </c>
      <c r="N83" s="35">
        <v>2.0</v>
      </c>
      <c r="O83" s="41">
        <v>44564.0</v>
      </c>
      <c r="P83" s="35" t="s">
        <v>132</v>
      </c>
      <c r="Q83" s="36" t="s">
        <v>133</v>
      </c>
      <c r="R83" s="36" t="s">
        <v>133</v>
      </c>
      <c r="S83" s="36" t="s">
        <v>133</v>
      </c>
      <c r="T83" s="36" t="s">
        <v>133</v>
      </c>
      <c r="U83" s="36" t="s">
        <v>133</v>
      </c>
      <c r="V83" s="36" t="str">
        <f t="shared" si="2"/>
        <v>Paciente ambulatorio</v>
      </c>
      <c r="W83" s="35" t="s">
        <v>176</v>
      </c>
      <c r="X83" s="35" t="s">
        <v>132</v>
      </c>
      <c r="Y83" s="35">
        <v>1.0</v>
      </c>
      <c r="Z83" s="35">
        <v>1.0</v>
      </c>
      <c r="AA83" s="35">
        <v>2.0</v>
      </c>
      <c r="AB83" s="35">
        <v>2.0</v>
      </c>
      <c r="AC83" s="35">
        <v>3.0</v>
      </c>
      <c r="AD83" s="35">
        <v>1.0</v>
      </c>
      <c r="AE83" s="35">
        <v>1.0</v>
      </c>
      <c r="AF83" s="35">
        <v>1.0</v>
      </c>
      <c r="AG83" s="35">
        <v>1.0</v>
      </c>
      <c r="AH83" s="35">
        <v>1.0</v>
      </c>
      <c r="AI83" s="35">
        <v>1.0</v>
      </c>
      <c r="AJ83" s="35">
        <v>1.0</v>
      </c>
      <c r="AK83" s="39" t="s">
        <v>366</v>
      </c>
      <c r="AL83" s="40" t="s">
        <v>132</v>
      </c>
      <c r="AM83" s="35" t="s">
        <v>132</v>
      </c>
      <c r="AN83" s="35" t="s">
        <v>132</v>
      </c>
      <c r="AO83" s="35" t="s">
        <v>132</v>
      </c>
      <c r="AP83" s="35" t="s">
        <v>132</v>
      </c>
      <c r="AQ83" s="35" t="s">
        <v>132</v>
      </c>
      <c r="AR83" s="35" t="s">
        <v>132</v>
      </c>
      <c r="AS83" s="35" t="s">
        <v>132</v>
      </c>
      <c r="AT83" s="35" t="s">
        <v>132</v>
      </c>
      <c r="AU83" s="35" t="s">
        <v>132</v>
      </c>
      <c r="AV83" s="35" t="s">
        <v>131</v>
      </c>
      <c r="AW83" s="35" t="s">
        <v>367</v>
      </c>
      <c r="AX83" s="35" t="s">
        <v>132</v>
      </c>
      <c r="AY83" s="36" t="s">
        <v>133</v>
      </c>
      <c r="AZ83" s="36" t="s">
        <v>133</v>
      </c>
      <c r="BA83" s="36" t="s">
        <v>133</v>
      </c>
      <c r="BB83" s="35" t="s">
        <v>135</v>
      </c>
      <c r="BC83" s="39">
        <v>1.0</v>
      </c>
      <c r="BD83" s="40">
        <v>2.0</v>
      </c>
      <c r="BE83" s="35">
        <v>1.0</v>
      </c>
      <c r="BF83" s="35">
        <v>1.0</v>
      </c>
      <c r="BG83" s="35">
        <v>2.0</v>
      </c>
      <c r="BH83" s="35">
        <v>4.0</v>
      </c>
      <c r="BI83" s="44" t="str">
        <f t="shared" si="3"/>
        <v>21124</v>
      </c>
      <c r="BJ83" s="35">
        <v>50.0</v>
      </c>
      <c r="BK83" s="35">
        <v>4.0</v>
      </c>
      <c r="BL83" s="35">
        <v>3.0</v>
      </c>
      <c r="BM83" s="35">
        <v>3.0</v>
      </c>
      <c r="BN83" s="35">
        <v>3.0</v>
      </c>
      <c r="BO83" s="35">
        <v>4.0</v>
      </c>
      <c r="BP83" s="35">
        <v>5.0</v>
      </c>
      <c r="BQ83" s="35">
        <v>4.0</v>
      </c>
      <c r="BR83" s="35">
        <v>4.0</v>
      </c>
      <c r="BS83" s="35">
        <v>5.0</v>
      </c>
      <c r="BT83" s="35">
        <v>3.0</v>
      </c>
      <c r="BU83" s="44">
        <f t="shared" si="4"/>
        <v>3</v>
      </c>
      <c r="BV83" s="44">
        <f t="shared" si="5"/>
        <v>3</v>
      </c>
      <c r="BW83" s="44">
        <f t="shared" si="53"/>
        <v>38</v>
      </c>
      <c r="BX83" s="44" t="str">
        <f t="shared" si="7"/>
        <v>FATIGA EXTREMA</v>
      </c>
      <c r="BY83" s="35">
        <v>3.0</v>
      </c>
      <c r="BZ83" s="35">
        <v>1.0</v>
      </c>
      <c r="CA83" s="35">
        <v>30.0</v>
      </c>
      <c r="CB83" s="35">
        <v>0.0</v>
      </c>
      <c r="CC83" s="35">
        <v>0.0</v>
      </c>
      <c r="CD83" s="35">
        <v>0.0</v>
      </c>
      <c r="CE83" s="35">
        <v>7.0</v>
      </c>
      <c r="CF83" s="35">
        <v>0.0</v>
      </c>
      <c r="CG83" s="35">
        <v>30.0</v>
      </c>
      <c r="CH83" s="35">
        <v>10.0</v>
      </c>
      <c r="CI83" s="35">
        <v>0.0</v>
      </c>
      <c r="CJ83" s="44">
        <f t="shared" si="27"/>
        <v>2853</v>
      </c>
      <c r="CK83" s="44">
        <f t="shared" si="28"/>
        <v>10</v>
      </c>
      <c r="CL83" s="44" t="str">
        <f t="shared" si="29"/>
        <v>Nivel de actividad física alto</v>
      </c>
      <c r="CM83" s="44" t="str">
        <f t="shared" si="30"/>
        <v>Nivel de actividad física moderado</v>
      </c>
      <c r="CN83" s="45" t="str">
        <f t="shared" si="31"/>
        <v>Nivel de actividad física alto</v>
      </c>
      <c r="CO83" s="35">
        <v>0.0</v>
      </c>
      <c r="CP83" s="35">
        <v>60.0</v>
      </c>
      <c r="CQ83" s="44">
        <f t="shared" si="32"/>
        <v>2</v>
      </c>
      <c r="CR83" s="35">
        <v>5.0</v>
      </c>
      <c r="CS83" s="35">
        <v>0.0</v>
      </c>
      <c r="CT83" s="35">
        <v>5.0</v>
      </c>
      <c r="CU83" s="35">
        <v>4.0</v>
      </c>
      <c r="CV83" s="35">
        <v>3.0</v>
      </c>
      <c r="CW83" s="35">
        <v>3.0</v>
      </c>
      <c r="CX83" s="35">
        <v>2.0</v>
      </c>
      <c r="CY83" s="35">
        <v>3.0</v>
      </c>
      <c r="CZ83" s="35">
        <v>0.0</v>
      </c>
      <c r="DA83" s="35">
        <v>1.0</v>
      </c>
      <c r="DB83" s="35">
        <v>0.0</v>
      </c>
      <c r="DC83" s="35">
        <v>1.0</v>
      </c>
      <c r="DD83" s="35">
        <v>0.0</v>
      </c>
      <c r="DE83" s="35">
        <v>0.0</v>
      </c>
      <c r="DF83" s="36" t="s">
        <v>133</v>
      </c>
      <c r="DG83" s="53">
        <f t="shared" si="55"/>
        <v>10</v>
      </c>
      <c r="DH83" s="35">
        <v>2.0</v>
      </c>
      <c r="DI83" s="35">
        <v>3.0</v>
      </c>
      <c r="DJ83" s="35">
        <v>3.0</v>
      </c>
      <c r="DK83" s="35">
        <v>3.0</v>
      </c>
      <c r="DL83" s="46">
        <f t="shared" si="34"/>
        <v>80</v>
      </c>
      <c r="DM83" s="44">
        <f t="shared" si="35"/>
        <v>3</v>
      </c>
      <c r="DN83" s="44">
        <f t="shared" si="36"/>
        <v>2</v>
      </c>
      <c r="DO83" s="44">
        <f t="shared" si="37"/>
        <v>3</v>
      </c>
      <c r="DP83" s="44">
        <f t="shared" si="38"/>
        <v>3</v>
      </c>
      <c r="DQ83" s="44">
        <f t="shared" si="39"/>
        <v>1</v>
      </c>
      <c r="DR83" s="44">
        <f t="shared" ref="DR83:DS83" si="124">(DH83)</f>
        <v>2</v>
      </c>
      <c r="DS83" s="44">
        <f t="shared" si="124"/>
        <v>3</v>
      </c>
      <c r="DT83" s="44">
        <f t="shared" si="41"/>
        <v>17</v>
      </c>
      <c r="DU83" s="44" t="str">
        <f t="shared" si="42"/>
        <v>poor sleep quality</v>
      </c>
      <c r="DV83" s="35">
        <v>2.0</v>
      </c>
      <c r="DW83" s="35" t="s">
        <v>185</v>
      </c>
      <c r="DX83" s="35" t="s">
        <v>146</v>
      </c>
      <c r="DY83" s="35">
        <v>1.0</v>
      </c>
      <c r="DZ83" s="35" t="s">
        <v>131</v>
      </c>
      <c r="EA83" s="35" t="s">
        <v>147</v>
      </c>
      <c r="EB83" s="35" t="s">
        <v>139</v>
      </c>
      <c r="EC83" s="36" t="s">
        <v>133</v>
      </c>
      <c r="ED83" s="35" t="s">
        <v>132</v>
      </c>
      <c r="EE83" s="35" t="s">
        <v>141</v>
      </c>
      <c r="EF83" s="35">
        <f t="shared" ref="EF83:EF84" si="126">C83-M83</f>
        <v>592</v>
      </c>
      <c r="EG83" s="35">
        <f t="shared" ref="EG83:EG84" si="127">C83-O83</f>
        <v>592</v>
      </c>
      <c r="EH83" s="47">
        <f t="shared" si="24"/>
        <v>29.00059488</v>
      </c>
    </row>
    <row r="84" ht="18.75" customHeight="1">
      <c r="A84" s="35" t="s">
        <v>368</v>
      </c>
      <c r="B84" s="36" t="s">
        <v>175</v>
      </c>
      <c r="C84" s="37">
        <v>45156.0</v>
      </c>
      <c r="D84" s="48">
        <v>50.0</v>
      </c>
      <c r="E84" s="35" t="s">
        <v>130</v>
      </c>
      <c r="F84" s="35">
        <v>165.0</v>
      </c>
      <c r="G84" s="39">
        <v>90.0</v>
      </c>
      <c r="H84" s="40" t="s">
        <v>131</v>
      </c>
      <c r="I84" s="35">
        <v>2.0</v>
      </c>
      <c r="J84" s="42" t="s">
        <v>133</v>
      </c>
      <c r="K84" s="35" t="s">
        <v>131</v>
      </c>
      <c r="L84" s="35">
        <v>2.0</v>
      </c>
      <c r="M84" s="41">
        <v>44378.0</v>
      </c>
      <c r="N84" s="35" t="s">
        <v>131</v>
      </c>
      <c r="O84" s="41">
        <v>45108.0</v>
      </c>
      <c r="P84" s="35" t="s">
        <v>132</v>
      </c>
      <c r="Q84" s="36" t="s">
        <v>133</v>
      </c>
      <c r="R84" s="36" t="s">
        <v>133</v>
      </c>
      <c r="S84" s="36" t="s">
        <v>133</v>
      </c>
      <c r="T84" s="36" t="s">
        <v>133</v>
      </c>
      <c r="U84" s="36" t="s">
        <v>133</v>
      </c>
      <c r="V84" s="36" t="str">
        <f t="shared" si="2"/>
        <v>Paciente ambulatorio</v>
      </c>
      <c r="W84" s="35" t="s">
        <v>176</v>
      </c>
      <c r="X84" s="35" t="s">
        <v>132</v>
      </c>
      <c r="Y84" s="35">
        <v>2.0</v>
      </c>
      <c r="Z84" s="35">
        <v>1.0</v>
      </c>
      <c r="AA84" s="35">
        <v>3.0</v>
      </c>
      <c r="AB84" s="35">
        <v>2.0</v>
      </c>
      <c r="AC84" s="35">
        <v>1.0</v>
      </c>
      <c r="AD84" s="35">
        <v>1.0</v>
      </c>
      <c r="AE84" s="35">
        <v>1.0</v>
      </c>
      <c r="AF84" s="35">
        <v>1.0</v>
      </c>
      <c r="AG84" s="35">
        <v>1.0</v>
      </c>
      <c r="AH84" s="35">
        <v>1.0</v>
      </c>
      <c r="AI84" s="35">
        <v>1.0</v>
      </c>
      <c r="AJ84" s="35">
        <v>1.0</v>
      </c>
      <c r="AK84" s="36" t="s">
        <v>133</v>
      </c>
      <c r="AL84" s="40" t="s">
        <v>131</v>
      </c>
      <c r="AM84" s="35" t="s">
        <v>132</v>
      </c>
      <c r="AN84" s="35" t="s">
        <v>132</v>
      </c>
      <c r="AO84" s="35" t="s">
        <v>131</v>
      </c>
      <c r="AP84" s="35" t="s">
        <v>132</v>
      </c>
      <c r="AQ84" s="35" t="s">
        <v>132</v>
      </c>
      <c r="AR84" s="35" t="s">
        <v>132</v>
      </c>
      <c r="AS84" s="35" t="s">
        <v>131</v>
      </c>
      <c r="AT84" s="35" t="s">
        <v>132</v>
      </c>
      <c r="AU84" s="35" t="s">
        <v>132</v>
      </c>
      <c r="AV84" s="35" t="s">
        <v>131</v>
      </c>
      <c r="AW84" s="35" t="s">
        <v>369</v>
      </c>
      <c r="AX84" s="35" t="s">
        <v>131</v>
      </c>
      <c r="AY84" s="35">
        <v>15.0</v>
      </c>
      <c r="AZ84" s="36" t="s">
        <v>133</v>
      </c>
      <c r="BA84" s="36" t="s">
        <v>133</v>
      </c>
      <c r="BB84" s="35" t="s">
        <v>145</v>
      </c>
      <c r="BC84" s="36" t="s">
        <v>133</v>
      </c>
      <c r="BD84" s="40">
        <v>1.0</v>
      </c>
      <c r="BE84" s="35">
        <v>1.0</v>
      </c>
      <c r="BF84" s="35">
        <v>3.0</v>
      </c>
      <c r="BG84" s="35">
        <v>3.0</v>
      </c>
      <c r="BH84" s="35">
        <v>1.0</v>
      </c>
      <c r="BI84" s="44" t="str">
        <f t="shared" si="3"/>
        <v>11331</v>
      </c>
      <c r="BJ84" s="35">
        <v>60.0</v>
      </c>
      <c r="BK84" s="35">
        <v>4.0</v>
      </c>
      <c r="BL84" s="35">
        <v>4.0</v>
      </c>
      <c r="BM84" s="35">
        <v>3.0</v>
      </c>
      <c r="BN84" s="35">
        <v>2.0</v>
      </c>
      <c r="BO84" s="35">
        <v>3.0</v>
      </c>
      <c r="BP84" s="35">
        <v>3.0</v>
      </c>
      <c r="BQ84" s="35">
        <v>4.0</v>
      </c>
      <c r="BR84" s="35">
        <v>3.0</v>
      </c>
      <c r="BS84" s="35">
        <v>4.0</v>
      </c>
      <c r="BT84" s="35">
        <v>3.0</v>
      </c>
      <c r="BU84" s="44">
        <f t="shared" si="4"/>
        <v>4</v>
      </c>
      <c r="BV84" s="44">
        <f t="shared" si="5"/>
        <v>3</v>
      </c>
      <c r="BW84" s="44">
        <f t="shared" si="53"/>
        <v>34</v>
      </c>
      <c r="BX84" s="44" t="str">
        <f t="shared" si="7"/>
        <v>FATIGA</v>
      </c>
      <c r="BY84" s="35">
        <v>0.0</v>
      </c>
      <c r="BZ84" s="35">
        <v>0.0</v>
      </c>
      <c r="CA84" s="35">
        <v>0.0</v>
      </c>
      <c r="CB84" s="35">
        <v>2.0</v>
      </c>
      <c r="CC84" s="35">
        <v>0.0</v>
      </c>
      <c r="CD84" s="35">
        <v>15.0</v>
      </c>
      <c r="CE84" s="35">
        <v>7.0</v>
      </c>
      <c r="CF84" s="35">
        <v>0.0</v>
      </c>
      <c r="CG84" s="35">
        <v>20.0</v>
      </c>
      <c r="CH84" s="35">
        <v>1.0</v>
      </c>
      <c r="CI84" s="35">
        <v>0.0</v>
      </c>
      <c r="CJ84" s="44">
        <f t="shared" si="27"/>
        <v>582</v>
      </c>
      <c r="CK84" s="44">
        <f t="shared" si="28"/>
        <v>9</v>
      </c>
      <c r="CL84" s="44" t="b">
        <f t="shared" si="29"/>
        <v>0</v>
      </c>
      <c r="CM84" s="44" t="str">
        <f t="shared" si="30"/>
        <v>Nivel de actividad física moderado</v>
      </c>
      <c r="CN84" s="45" t="str">
        <f t="shared" si="31"/>
        <v>Nivel de actividad física moderado</v>
      </c>
      <c r="CO84" s="35">
        <v>0.0</v>
      </c>
      <c r="CP84" s="35">
        <v>180.0</v>
      </c>
      <c r="CQ84" s="44">
        <f t="shared" si="32"/>
        <v>3</v>
      </c>
      <c r="CR84" s="35">
        <v>6.0</v>
      </c>
      <c r="CS84" s="35">
        <v>30.0</v>
      </c>
      <c r="CT84" s="35">
        <v>6.5</v>
      </c>
      <c r="CU84" s="35">
        <v>3.0</v>
      </c>
      <c r="CV84" s="35">
        <v>3.0</v>
      </c>
      <c r="CW84" s="35">
        <v>3.0</v>
      </c>
      <c r="CX84" s="35">
        <v>3.0</v>
      </c>
      <c r="CY84" s="35">
        <v>1.0</v>
      </c>
      <c r="CZ84" s="35">
        <v>1.0</v>
      </c>
      <c r="DA84" s="35">
        <v>3.0</v>
      </c>
      <c r="DB84" s="35">
        <v>3.0</v>
      </c>
      <c r="DC84" s="35">
        <v>0.0</v>
      </c>
      <c r="DD84" s="35">
        <v>0.0</v>
      </c>
      <c r="DE84" s="35">
        <v>0.0</v>
      </c>
      <c r="DF84" s="36" t="s">
        <v>133</v>
      </c>
      <c r="DG84" s="53">
        <f t="shared" si="55"/>
        <v>14</v>
      </c>
      <c r="DH84" s="35">
        <v>2.0</v>
      </c>
      <c r="DI84" s="35">
        <v>1.0</v>
      </c>
      <c r="DJ84" s="35">
        <v>3.0</v>
      </c>
      <c r="DK84" s="35">
        <v>0.0</v>
      </c>
      <c r="DL84" s="46">
        <f t="shared" si="34"/>
        <v>46.15384615</v>
      </c>
      <c r="DM84" s="44">
        <f t="shared" si="35"/>
        <v>3</v>
      </c>
      <c r="DN84" s="44">
        <f t="shared" si="36"/>
        <v>2</v>
      </c>
      <c r="DO84" s="44">
        <f t="shared" si="37"/>
        <v>3</v>
      </c>
      <c r="DP84" s="44">
        <f t="shared" si="38"/>
        <v>2</v>
      </c>
      <c r="DQ84" s="44">
        <f t="shared" si="39"/>
        <v>3</v>
      </c>
      <c r="DR84" s="44">
        <f t="shared" ref="DR84:DS84" si="125">(DH84)</f>
        <v>2</v>
      </c>
      <c r="DS84" s="44">
        <f t="shared" si="125"/>
        <v>1</v>
      </c>
      <c r="DT84" s="44">
        <f t="shared" si="41"/>
        <v>16</v>
      </c>
      <c r="DU84" s="44" t="str">
        <f t="shared" si="42"/>
        <v>poor sleep quality</v>
      </c>
      <c r="DV84" s="36" t="s">
        <v>133</v>
      </c>
      <c r="DW84" s="35" t="s">
        <v>155</v>
      </c>
      <c r="DX84" s="35" t="s">
        <v>146</v>
      </c>
      <c r="DY84" s="35">
        <v>1.0</v>
      </c>
      <c r="DZ84" s="35" t="s">
        <v>131</v>
      </c>
      <c r="EA84" s="35" t="s">
        <v>167</v>
      </c>
      <c r="EB84" s="35" t="s">
        <v>139</v>
      </c>
      <c r="EC84" s="36" t="s">
        <v>133</v>
      </c>
      <c r="ED84" s="35" t="s">
        <v>131</v>
      </c>
      <c r="EE84" s="35" t="s">
        <v>141</v>
      </c>
      <c r="EF84" s="35">
        <f t="shared" si="126"/>
        <v>778</v>
      </c>
      <c r="EG84" s="35">
        <f t="shared" si="127"/>
        <v>48</v>
      </c>
      <c r="EH84" s="47">
        <f t="shared" si="24"/>
        <v>33.05785124</v>
      </c>
    </row>
    <row r="85" ht="18.75" customHeight="1">
      <c r="A85" s="35" t="s">
        <v>370</v>
      </c>
      <c r="B85" s="36" t="s">
        <v>129</v>
      </c>
      <c r="C85" s="37">
        <v>45171.0</v>
      </c>
      <c r="D85" s="48">
        <v>37.0</v>
      </c>
      <c r="E85" s="35" t="s">
        <v>153</v>
      </c>
      <c r="F85" s="35">
        <v>180.0</v>
      </c>
      <c r="G85" s="39">
        <v>78.0</v>
      </c>
      <c r="H85" s="40" t="s">
        <v>131</v>
      </c>
      <c r="I85" s="35">
        <v>2.0</v>
      </c>
      <c r="J85" s="41">
        <v>44482.0</v>
      </c>
      <c r="K85" s="35" t="s">
        <v>132</v>
      </c>
      <c r="L85" s="36" t="s">
        <v>133</v>
      </c>
      <c r="M85" s="42" t="s">
        <v>133</v>
      </c>
      <c r="N85" s="36" t="s">
        <v>133</v>
      </c>
      <c r="O85" s="42" t="s">
        <v>133</v>
      </c>
      <c r="P85" s="36" t="s">
        <v>133</v>
      </c>
      <c r="Q85" s="36" t="s">
        <v>133</v>
      </c>
      <c r="R85" s="36" t="s">
        <v>133</v>
      </c>
      <c r="S85" s="36" t="s">
        <v>133</v>
      </c>
      <c r="T85" s="36" t="s">
        <v>133</v>
      </c>
      <c r="U85" s="36" t="s">
        <v>133</v>
      </c>
      <c r="V85" s="36" t="str">
        <f t="shared" si="2"/>
        <v>No infectado</v>
      </c>
      <c r="W85" s="36" t="s">
        <v>133</v>
      </c>
      <c r="X85" s="36" t="s">
        <v>133</v>
      </c>
      <c r="Y85" s="36" t="s">
        <v>133</v>
      </c>
      <c r="Z85" s="36" t="s">
        <v>133</v>
      </c>
      <c r="AA85" s="36" t="s">
        <v>133</v>
      </c>
      <c r="AB85" s="36" t="s">
        <v>133</v>
      </c>
      <c r="AC85" s="36" t="s">
        <v>133</v>
      </c>
      <c r="AD85" s="36" t="s">
        <v>133</v>
      </c>
      <c r="AE85" s="36" t="s">
        <v>133</v>
      </c>
      <c r="AF85" s="36" t="s">
        <v>133</v>
      </c>
      <c r="AG85" s="36" t="s">
        <v>133</v>
      </c>
      <c r="AH85" s="36" t="s">
        <v>133</v>
      </c>
      <c r="AI85" s="36" t="s">
        <v>133</v>
      </c>
      <c r="AJ85" s="36" t="s">
        <v>133</v>
      </c>
      <c r="AK85" s="36" t="s">
        <v>133</v>
      </c>
      <c r="AL85" s="40" t="s">
        <v>131</v>
      </c>
      <c r="AM85" s="35" t="s">
        <v>132</v>
      </c>
      <c r="AN85" s="35" t="s">
        <v>132</v>
      </c>
      <c r="AO85" s="35" t="s">
        <v>132</v>
      </c>
      <c r="AP85" s="35" t="s">
        <v>132</v>
      </c>
      <c r="AQ85" s="35" t="s">
        <v>132</v>
      </c>
      <c r="AR85" s="35" t="s">
        <v>132</v>
      </c>
      <c r="AS85" s="35" t="s">
        <v>131</v>
      </c>
      <c r="AT85" s="35" t="s">
        <v>132</v>
      </c>
      <c r="AU85" s="35" t="s">
        <v>132</v>
      </c>
      <c r="AV85" s="35" t="s">
        <v>132</v>
      </c>
      <c r="AW85" s="36" t="s">
        <v>133</v>
      </c>
      <c r="AX85" s="35" t="s">
        <v>131</v>
      </c>
      <c r="AY85" s="35">
        <v>40.0</v>
      </c>
      <c r="AZ85" s="35">
        <v>23.0</v>
      </c>
      <c r="BA85" s="36" t="s">
        <v>133</v>
      </c>
      <c r="BB85" s="35" t="s">
        <v>145</v>
      </c>
      <c r="BC85" s="36" t="s">
        <v>133</v>
      </c>
      <c r="BD85" s="40">
        <v>1.0</v>
      </c>
      <c r="BE85" s="35">
        <v>1.0</v>
      </c>
      <c r="BF85" s="35">
        <v>2.0</v>
      </c>
      <c r="BG85" s="35">
        <v>2.0</v>
      </c>
      <c r="BH85" s="35">
        <v>1.0</v>
      </c>
      <c r="BI85" s="44" t="str">
        <f t="shared" si="3"/>
        <v>11221</v>
      </c>
      <c r="BJ85" s="35">
        <v>65.0</v>
      </c>
      <c r="BK85" s="35">
        <v>2.0</v>
      </c>
      <c r="BL85" s="35">
        <v>2.0</v>
      </c>
      <c r="BM85" s="35">
        <v>1.0</v>
      </c>
      <c r="BN85" s="35">
        <v>1.0</v>
      </c>
      <c r="BO85" s="35">
        <v>2.0</v>
      </c>
      <c r="BP85" s="35">
        <v>2.0</v>
      </c>
      <c r="BQ85" s="35">
        <v>1.0</v>
      </c>
      <c r="BR85" s="35">
        <v>1.0</v>
      </c>
      <c r="BS85" s="35">
        <v>3.0</v>
      </c>
      <c r="BT85" s="35">
        <v>4.0</v>
      </c>
      <c r="BU85" s="44">
        <f t="shared" si="4"/>
        <v>5</v>
      </c>
      <c r="BV85" s="44">
        <f t="shared" si="5"/>
        <v>2</v>
      </c>
      <c r="BW85" s="44">
        <f t="shared" si="53"/>
        <v>20</v>
      </c>
      <c r="BX85" s="44" t="str">
        <f t="shared" si="7"/>
        <v>NO HAY FATIGA</v>
      </c>
      <c r="BY85" s="35">
        <v>5.0</v>
      </c>
      <c r="BZ85" s="35">
        <v>8.0</v>
      </c>
      <c r="CA85" s="35">
        <v>0.0</v>
      </c>
      <c r="CB85" s="35">
        <v>5.0</v>
      </c>
      <c r="CC85" s="35">
        <v>2.0</v>
      </c>
      <c r="CD85" s="35">
        <v>0.0</v>
      </c>
      <c r="CE85" s="35">
        <v>7.0</v>
      </c>
      <c r="CF85" s="35">
        <v>0.0</v>
      </c>
      <c r="CG85" s="35">
        <v>40.0</v>
      </c>
      <c r="CH85" s="35">
        <v>3.0</v>
      </c>
      <c r="CI85" s="35">
        <v>0.0</v>
      </c>
      <c r="CJ85" s="44">
        <f t="shared" si="27"/>
        <v>22524</v>
      </c>
      <c r="CK85" s="44">
        <f t="shared" si="28"/>
        <v>17</v>
      </c>
      <c r="CL85" s="44" t="str">
        <f t="shared" si="29"/>
        <v>Nivel de actividad física alto</v>
      </c>
      <c r="CM85" s="44" t="str">
        <f t="shared" si="30"/>
        <v>Nivel de actividad física moderado</v>
      </c>
      <c r="CN85" s="45" t="str">
        <f t="shared" si="31"/>
        <v>Nivel de actividad física alto</v>
      </c>
      <c r="CO85" s="51">
        <v>0.9791666666666666</v>
      </c>
      <c r="CP85" s="35">
        <v>180.0</v>
      </c>
      <c r="CQ85" s="44">
        <f t="shared" si="32"/>
        <v>3</v>
      </c>
      <c r="CR85" s="35">
        <v>9.0</v>
      </c>
      <c r="CS85" s="35">
        <v>30.0</v>
      </c>
      <c r="CT85" s="35">
        <v>10.0</v>
      </c>
      <c r="CU85" s="35">
        <v>6.0</v>
      </c>
      <c r="CV85" s="35">
        <v>3.0</v>
      </c>
      <c r="CW85" s="35">
        <v>0.0</v>
      </c>
      <c r="CX85" s="35">
        <v>3.0</v>
      </c>
      <c r="CY85" s="35">
        <v>1.0</v>
      </c>
      <c r="CZ85" s="35">
        <v>0.0</v>
      </c>
      <c r="DA85" s="35">
        <v>0.0</v>
      </c>
      <c r="DB85" s="35">
        <v>2.0</v>
      </c>
      <c r="DC85" s="35">
        <v>0.0</v>
      </c>
      <c r="DD85" s="35">
        <v>0.0</v>
      </c>
      <c r="DE85" s="35">
        <v>0.0</v>
      </c>
      <c r="DF85" s="36" t="s">
        <v>133</v>
      </c>
      <c r="DG85" s="53">
        <f t="shared" si="55"/>
        <v>6</v>
      </c>
      <c r="DH85" s="35">
        <v>2.0</v>
      </c>
      <c r="DI85" s="35">
        <v>0.0</v>
      </c>
      <c r="DJ85" s="35">
        <v>2.0</v>
      </c>
      <c r="DK85" s="35">
        <v>0.0</v>
      </c>
      <c r="DL85" s="46">
        <f t="shared" si="34"/>
        <v>60</v>
      </c>
      <c r="DM85" s="44">
        <f t="shared" si="35"/>
        <v>1</v>
      </c>
      <c r="DN85" s="44">
        <f t="shared" si="36"/>
        <v>1</v>
      </c>
      <c r="DO85" s="44">
        <f t="shared" si="37"/>
        <v>3</v>
      </c>
      <c r="DP85" s="44">
        <f t="shared" si="38"/>
        <v>1</v>
      </c>
      <c r="DQ85" s="44">
        <f t="shared" si="39"/>
        <v>3</v>
      </c>
      <c r="DR85" s="44">
        <f t="shared" ref="DR85:DS85" si="128">(DH85)</f>
        <v>2</v>
      </c>
      <c r="DS85" s="44">
        <f t="shared" si="128"/>
        <v>0</v>
      </c>
      <c r="DT85" s="44">
        <f t="shared" si="41"/>
        <v>11</v>
      </c>
      <c r="DU85" s="44" t="str">
        <f t="shared" si="42"/>
        <v>poor sleep quality</v>
      </c>
      <c r="DV85" s="35">
        <v>1.0</v>
      </c>
      <c r="DW85" s="35" t="s">
        <v>247</v>
      </c>
      <c r="DX85" s="35" t="s">
        <v>137</v>
      </c>
      <c r="DY85" s="35">
        <v>1.0</v>
      </c>
      <c r="DZ85" s="35" t="s">
        <v>131</v>
      </c>
      <c r="EA85" s="35" t="s">
        <v>202</v>
      </c>
      <c r="EB85" s="35" t="s">
        <v>139</v>
      </c>
      <c r="EC85" s="36" t="s">
        <v>133</v>
      </c>
      <c r="ED85" s="35" t="s">
        <v>132</v>
      </c>
      <c r="EE85" s="35" t="s">
        <v>141</v>
      </c>
      <c r="EF85" s="36" t="s">
        <v>133</v>
      </c>
      <c r="EG85" s="36" t="s">
        <v>133</v>
      </c>
      <c r="EH85" s="47">
        <f t="shared" si="24"/>
        <v>24.07407407</v>
      </c>
    </row>
    <row r="86" ht="18.75" customHeight="1">
      <c r="A86" s="35" t="s">
        <v>371</v>
      </c>
      <c r="B86" s="36" t="s">
        <v>129</v>
      </c>
      <c r="C86" s="37">
        <v>45177.0</v>
      </c>
      <c r="D86" s="48">
        <v>57.0</v>
      </c>
      <c r="E86" s="35" t="s">
        <v>130</v>
      </c>
      <c r="F86" s="35">
        <v>160.0</v>
      </c>
      <c r="G86" s="39">
        <v>64.0</v>
      </c>
      <c r="H86" s="40" t="s">
        <v>131</v>
      </c>
      <c r="I86" s="35">
        <v>3.0</v>
      </c>
      <c r="J86" s="41">
        <v>44591.0</v>
      </c>
      <c r="K86" s="35" t="s">
        <v>132</v>
      </c>
      <c r="L86" s="36" t="s">
        <v>133</v>
      </c>
      <c r="M86" s="42" t="s">
        <v>133</v>
      </c>
      <c r="N86" s="36" t="s">
        <v>133</v>
      </c>
      <c r="O86" s="42" t="s">
        <v>133</v>
      </c>
      <c r="P86" s="36" t="s">
        <v>133</v>
      </c>
      <c r="Q86" s="36" t="s">
        <v>133</v>
      </c>
      <c r="R86" s="36" t="s">
        <v>133</v>
      </c>
      <c r="S86" s="36" t="s">
        <v>133</v>
      </c>
      <c r="T86" s="36" t="s">
        <v>133</v>
      </c>
      <c r="U86" s="36" t="s">
        <v>133</v>
      </c>
      <c r="V86" s="36" t="str">
        <f t="shared" si="2"/>
        <v>No infectado</v>
      </c>
      <c r="W86" s="36" t="s">
        <v>133</v>
      </c>
      <c r="X86" s="36" t="s">
        <v>133</v>
      </c>
      <c r="Y86" s="36" t="s">
        <v>133</v>
      </c>
      <c r="Z86" s="36" t="s">
        <v>133</v>
      </c>
      <c r="AA86" s="36" t="s">
        <v>133</v>
      </c>
      <c r="AB86" s="36" t="s">
        <v>133</v>
      </c>
      <c r="AC86" s="36" t="s">
        <v>133</v>
      </c>
      <c r="AD86" s="36" t="s">
        <v>133</v>
      </c>
      <c r="AE86" s="36" t="s">
        <v>133</v>
      </c>
      <c r="AF86" s="36" t="s">
        <v>133</v>
      </c>
      <c r="AG86" s="36" t="s">
        <v>133</v>
      </c>
      <c r="AH86" s="36" t="s">
        <v>133</v>
      </c>
      <c r="AI86" s="36" t="s">
        <v>133</v>
      </c>
      <c r="AJ86" s="36" t="s">
        <v>133</v>
      </c>
      <c r="AK86" s="36" t="s">
        <v>133</v>
      </c>
      <c r="AL86" s="40" t="s">
        <v>132</v>
      </c>
      <c r="AM86" s="35" t="s">
        <v>132</v>
      </c>
      <c r="AN86" s="35" t="s">
        <v>132</v>
      </c>
      <c r="AO86" s="35" t="s">
        <v>132</v>
      </c>
      <c r="AP86" s="35" t="s">
        <v>132</v>
      </c>
      <c r="AQ86" s="35" t="s">
        <v>132</v>
      </c>
      <c r="AR86" s="35" t="s">
        <v>132</v>
      </c>
      <c r="AS86" s="35" t="s">
        <v>132</v>
      </c>
      <c r="AT86" s="35" t="s">
        <v>132</v>
      </c>
      <c r="AU86" s="35" t="s">
        <v>132</v>
      </c>
      <c r="AV86" s="35" t="s">
        <v>132</v>
      </c>
      <c r="AW86" s="36" t="s">
        <v>133</v>
      </c>
      <c r="AX86" s="35" t="s">
        <v>131</v>
      </c>
      <c r="AY86" s="35">
        <v>20.0</v>
      </c>
      <c r="AZ86" s="36" t="s">
        <v>133</v>
      </c>
      <c r="BA86" s="36" t="s">
        <v>133</v>
      </c>
      <c r="BB86" s="35" t="s">
        <v>135</v>
      </c>
      <c r="BC86" s="39">
        <v>4.0</v>
      </c>
      <c r="BD86" s="40">
        <v>1.0</v>
      </c>
      <c r="BE86" s="35">
        <v>1.0</v>
      </c>
      <c r="BF86" s="35">
        <v>1.0</v>
      </c>
      <c r="BG86" s="35">
        <v>1.0</v>
      </c>
      <c r="BH86" s="35">
        <v>1.0</v>
      </c>
      <c r="BI86" s="44" t="str">
        <f t="shared" si="3"/>
        <v>11111</v>
      </c>
      <c r="BJ86" s="35">
        <v>90.0</v>
      </c>
      <c r="BK86" s="35">
        <v>1.0</v>
      </c>
      <c r="BL86" s="35">
        <v>2.0</v>
      </c>
      <c r="BM86" s="35">
        <v>2.0</v>
      </c>
      <c r="BN86" s="35">
        <v>5.0</v>
      </c>
      <c r="BO86" s="35">
        <v>2.0</v>
      </c>
      <c r="BP86" s="35">
        <v>2.0</v>
      </c>
      <c r="BQ86" s="35">
        <v>1.0</v>
      </c>
      <c r="BR86" s="35">
        <v>2.0</v>
      </c>
      <c r="BS86" s="35">
        <v>2.0</v>
      </c>
      <c r="BT86" s="35">
        <v>5.0</v>
      </c>
      <c r="BU86" s="44">
        <f t="shared" si="4"/>
        <v>1</v>
      </c>
      <c r="BV86" s="44">
        <f t="shared" si="5"/>
        <v>1</v>
      </c>
      <c r="BW86" s="44">
        <f t="shared" si="53"/>
        <v>20</v>
      </c>
      <c r="BX86" s="44" t="str">
        <f t="shared" si="7"/>
        <v>NO HAY FATIGA</v>
      </c>
      <c r="BY86" s="35">
        <v>3.0</v>
      </c>
      <c r="BZ86" s="35">
        <v>3.0</v>
      </c>
      <c r="CA86" s="35">
        <v>0.0</v>
      </c>
      <c r="CB86" s="35">
        <v>2.0</v>
      </c>
      <c r="CC86" s="35">
        <v>6.0</v>
      </c>
      <c r="CD86" s="35">
        <v>0.0</v>
      </c>
      <c r="CE86" s="35">
        <v>1.0</v>
      </c>
      <c r="CF86" s="35">
        <v>0.0</v>
      </c>
      <c r="CG86" s="35">
        <v>17.0</v>
      </c>
      <c r="CH86" s="35">
        <v>3.0</v>
      </c>
      <c r="CI86" s="35">
        <v>0.0</v>
      </c>
      <c r="CJ86" s="44">
        <f t="shared" si="27"/>
        <v>7256.1</v>
      </c>
      <c r="CK86" s="44">
        <f t="shared" si="28"/>
        <v>6</v>
      </c>
      <c r="CL86" s="44" t="b">
        <f t="shared" si="29"/>
        <v>0</v>
      </c>
      <c r="CM86" s="44" t="str">
        <f t="shared" si="30"/>
        <v>Nivel de actividad física moderado</v>
      </c>
      <c r="CN86" s="45" t="str">
        <f t="shared" si="31"/>
        <v>Nivel de actividad física moderado</v>
      </c>
      <c r="CO86" s="35">
        <v>0.0</v>
      </c>
      <c r="CP86" s="35">
        <v>80.0</v>
      </c>
      <c r="CQ86" s="44">
        <f t="shared" si="32"/>
        <v>3</v>
      </c>
      <c r="CR86" s="35">
        <v>7.0</v>
      </c>
      <c r="CS86" s="35">
        <v>0.0</v>
      </c>
      <c r="CT86" s="35">
        <v>7.0</v>
      </c>
      <c r="CU86" s="35">
        <v>4.0</v>
      </c>
      <c r="CV86" s="35">
        <v>3.0</v>
      </c>
      <c r="CW86" s="35">
        <v>3.0</v>
      </c>
      <c r="CX86" s="35">
        <v>3.0</v>
      </c>
      <c r="CY86" s="35">
        <v>0.0</v>
      </c>
      <c r="CZ86" s="35">
        <v>0.0</v>
      </c>
      <c r="DA86" s="35">
        <v>0.0</v>
      </c>
      <c r="DB86" s="35">
        <v>0.0</v>
      </c>
      <c r="DC86" s="35">
        <v>0.0</v>
      </c>
      <c r="DD86" s="35">
        <v>0.0</v>
      </c>
      <c r="DE86" s="35">
        <v>3.0</v>
      </c>
      <c r="DF86" s="36" t="s">
        <v>133</v>
      </c>
      <c r="DG86" s="53">
        <f t="shared" si="55"/>
        <v>9</v>
      </c>
      <c r="DH86" s="35">
        <v>3.0</v>
      </c>
      <c r="DI86" s="35">
        <v>0.0</v>
      </c>
      <c r="DJ86" s="35">
        <v>0.0</v>
      </c>
      <c r="DK86" s="35">
        <v>0.0</v>
      </c>
      <c r="DL86" s="46">
        <f t="shared" si="34"/>
        <v>57.14285714</v>
      </c>
      <c r="DM86" s="44">
        <f t="shared" si="35"/>
        <v>3</v>
      </c>
      <c r="DN86" s="44">
        <f t="shared" si="36"/>
        <v>1</v>
      </c>
      <c r="DO86" s="44">
        <f t="shared" si="37"/>
        <v>3</v>
      </c>
      <c r="DP86" s="44">
        <f t="shared" si="38"/>
        <v>0</v>
      </c>
      <c r="DQ86" s="44">
        <f t="shared" si="39"/>
        <v>3</v>
      </c>
      <c r="DR86" s="44">
        <f t="shared" ref="DR86:DS86" si="129">(DH86)</f>
        <v>3</v>
      </c>
      <c r="DS86" s="44">
        <f t="shared" si="129"/>
        <v>0</v>
      </c>
      <c r="DT86" s="44">
        <f t="shared" si="41"/>
        <v>13</v>
      </c>
      <c r="DU86" s="44" t="str">
        <f t="shared" si="42"/>
        <v>poor sleep quality</v>
      </c>
      <c r="DV86" s="35">
        <v>1.0</v>
      </c>
      <c r="DW86" s="35" t="s">
        <v>314</v>
      </c>
      <c r="DX86" s="35" t="s">
        <v>146</v>
      </c>
      <c r="DY86" s="35">
        <v>1.0</v>
      </c>
      <c r="DZ86" s="35" t="s">
        <v>131</v>
      </c>
      <c r="EA86" s="35" t="s">
        <v>167</v>
      </c>
      <c r="EB86" s="35" t="s">
        <v>261</v>
      </c>
      <c r="EC86" s="36" t="s">
        <v>133</v>
      </c>
      <c r="ED86" s="35" t="s">
        <v>132</v>
      </c>
      <c r="EE86" s="35" t="s">
        <v>151</v>
      </c>
      <c r="EF86" s="36" t="s">
        <v>133</v>
      </c>
      <c r="EG86" s="36" t="s">
        <v>133</v>
      </c>
      <c r="EH86" s="47">
        <f t="shared" si="24"/>
        <v>25</v>
      </c>
    </row>
    <row r="87" ht="18.75" customHeight="1">
      <c r="A87" s="35" t="s">
        <v>372</v>
      </c>
      <c r="B87" s="36" t="s">
        <v>129</v>
      </c>
      <c r="C87" s="37">
        <v>45173.0</v>
      </c>
      <c r="D87" s="48">
        <v>58.0</v>
      </c>
      <c r="E87" s="35" t="s">
        <v>130</v>
      </c>
      <c r="F87" s="35">
        <v>164.0</v>
      </c>
      <c r="G87" s="39">
        <v>93.0</v>
      </c>
      <c r="H87" s="40" t="s">
        <v>131</v>
      </c>
      <c r="I87" s="35">
        <v>3.0</v>
      </c>
      <c r="J87" s="55">
        <v>45078.0</v>
      </c>
      <c r="K87" s="35" t="s">
        <v>131</v>
      </c>
      <c r="L87" s="36" t="s">
        <v>133</v>
      </c>
      <c r="M87" s="41">
        <v>44166.0</v>
      </c>
      <c r="N87" s="35">
        <v>0.0</v>
      </c>
      <c r="O87" s="41">
        <v>44896.0</v>
      </c>
      <c r="P87" s="35" t="s">
        <v>132</v>
      </c>
      <c r="Q87" s="36" t="s">
        <v>133</v>
      </c>
      <c r="R87" s="36" t="s">
        <v>133</v>
      </c>
      <c r="S87" s="36" t="s">
        <v>133</v>
      </c>
      <c r="T87" s="36" t="s">
        <v>133</v>
      </c>
      <c r="U87" s="36" t="s">
        <v>133</v>
      </c>
      <c r="V87" s="36" t="str">
        <f t="shared" si="2"/>
        <v>Paciente ambulatorio</v>
      </c>
      <c r="W87" s="35" t="s">
        <v>143</v>
      </c>
      <c r="X87" s="35" t="s">
        <v>132</v>
      </c>
      <c r="Y87" s="35">
        <v>2.0</v>
      </c>
      <c r="Z87" s="35">
        <v>1.0</v>
      </c>
      <c r="AA87" s="35">
        <v>3.0</v>
      </c>
      <c r="AB87" s="35">
        <v>3.0</v>
      </c>
      <c r="AC87" s="35">
        <v>3.0</v>
      </c>
      <c r="AD87" s="35">
        <v>3.0</v>
      </c>
      <c r="AE87" s="35">
        <v>2.0</v>
      </c>
      <c r="AF87" s="35">
        <v>3.0</v>
      </c>
      <c r="AG87" s="35">
        <v>3.0</v>
      </c>
      <c r="AH87" s="35">
        <v>3.0</v>
      </c>
      <c r="AI87" s="35">
        <v>3.0</v>
      </c>
      <c r="AJ87" s="35">
        <v>3.0</v>
      </c>
      <c r="AK87" s="36" t="s">
        <v>133</v>
      </c>
      <c r="AL87" s="40" t="s">
        <v>131</v>
      </c>
      <c r="AM87" s="35" t="s">
        <v>132</v>
      </c>
      <c r="AN87" s="35" t="s">
        <v>132</v>
      </c>
      <c r="AO87" s="35" t="s">
        <v>132</v>
      </c>
      <c r="AP87" s="35" t="s">
        <v>132</v>
      </c>
      <c r="AQ87" s="35" t="s">
        <v>132</v>
      </c>
      <c r="AR87" s="35" t="s">
        <v>132</v>
      </c>
      <c r="AS87" s="35" t="s">
        <v>131</v>
      </c>
      <c r="AT87" s="35" t="s">
        <v>132</v>
      </c>
      <c r="AU87" s="35" t="s">
        <v>132</v>
      </c>
      <c r="AV87" s="35" t="s">
        <v>132</v>
      </c>
      <c r="AW87" s="35" t="s">
        <v>373</v>
      </c>
      <c r="AX87" s="35" t="s">
        <v>165</v>
      </c>
      <c r="AY87" s="36" t="s">
        <v>133</v>
      </c>
      <c r="AZ87" s="36" t="s">
        <v>133</v>
      </c>
      <c r="BA87" s="35">
        <v>25.0</v>
      </c>
      <c r="BB87" s="35" t="s">
        <v>135</v>
      </c>
      <c r="BC87" s="39">
        <v>1.0</v>
      </c>
      <c r="BD87" s="40">
        <v>1.0</v>
      </c>
      <c r="BE87" s="35">
        <v>1.0</v>
      </c>
      <c r="BF87" s="35">
        <v>2.0</v>
      </c>
      <c r="BG87" s="35">
        <v>1.0</v>
      </c>
      <c r="BH87" s="36" t="s">
        <v>133</v>
      </c>
      <c r="BI87" s="44" t="str">
        <f t="shared" si="3"/>
        <v>1121NaN</v>
      </c>
      <c r="BJ87" s="35">
        <v>80.0</v>
      </c>
      <c r="BK87" s="35">
        <v>2.0</v>
      </c>
      <c r="BL87" s="35">
        <v>2.0</v>
      </c>
      <c r="BM87" s="35">
        <v>2.0</v>
      </c>
      <c r="BN87" s="35">
        <v>3.0</v>
      </c>
      <c r="BO87" s="35">
        <v>1.0</v>
      </c>
      <c r="BP87" s="35">
        <v>2.0</v>
      </c>
      <c r="BQ87" s="35">
        <v>1.0</v>
      </c>
      <c r="BR87" s="35">
        <v>2.0</v>
      </c>
      <c r="BS87" s="35">
        <v>1.0</v>
      </c>
      <c r="BT87" s="35">
        <v>5.0</v>
      </c>
      <c r="BU87" s="44">
        <f t="shared" si="4"/>
        <v>3</v>
      </c>
      <c r="BV87" s="44">
        <f t="shared" si="5"/>
        <v>1</v>
      </c>
      <c r="BW87" s="44">
        <f t="shared" si="53"/>
        <v>19</v>
      </c>
      <c r="BX87" s="44" t="str">
        <f t="shared" si="7"/>
        <v>NO HAY FATIGA</v>
      </c>
      <c r="BY87" s="35">
        <v>0.0</v>
      </c>
      <c r="BZ87" s="35">
        <v>0.0</v>
      </c>
      <c r="CA87" s="35">
        <v>0.0</v>
      </c>
      <c r="CB87" s="35">
        <v>0.0</v>
      </c>
      <c r="CC87" s="35">
        <v>0.0</v>
      </c>
      <c r="CD87" s="35">
        <v>0.0</v>
      </c>
      <c r="CE87" s="35">
        <v>4.0</v>
      </c>
      <c r="CF87" s="35">
        <v>0.0</v>
      </c>
      <c r="CG87" s="35">
        <v>15.0</v>
      </c>
      <c r="CH87" s="35">
        <v>2.0</v>
      </c>
      <c r="CI87" s="35">
        <v>0.0</v>
      </c>
      <c r="CJ87" s="44">
        <f t="shared" si="27"/>
        <v>198</v>
      </c>
      <c r="CK87" s="44">
        <f t="shared" si="28"/>
        <v>4</v>
      </c>
      <c r="CL87" s="44" t="b">
        <f t="shared" si="29"/>
        <v>0</v>
      </c>
      <c r="CM87" s="44" t="b">
        <f t="shared" si="30"/>
        <v>0</v>
      </c>
      <c r="CN87" s="45" t="str">
        <f t="shared" si="31"/>
        <v>Nivel de actividad física bajo</v>
      </c>
      <c r="CO87" s="51">
        <v>0.9375</v>
      </c>
      <c r="CP87" s="35">
        <v>10.0</v>
      </c>
      <c r="CQ87" s="44">
        <f t="shared" si="32"/>
        <v>0</v>
      </c>
      <c r="CR87" s="35">
        <v>7.0</v>
      </c>
      <c r="CS87" s="35">
        <v>0.0</v>
      </c>
      <c r="CT87" s="35">
        <v>8.5</v>
      </c>
      <c r="CU87" s="35">
        <v>6.0</v>
      </c>
      <c r="CV87" s="35">
        <v>0.0</v>
      </c>
      <c r="CW87" s="35">
        <v>3.0</v>
      </c>
      <c r="CX87" s="35">
        <v>3.0</v>
      </c>
      <c r="CY87" s="35">
        <v>0.0</v>
      </c>
      <c r="CZ87" s="35">
        <v>3.0</v>
      </c>
      <c r="DA87" s="35">
        <v>0.0</v>
      </c>
      <c r="DB87" s="35">
        <v>1.0</v>
      </c>
      <c r="DC87" s="35">
        <v>0.0</v>
      </c>
      <c r="DD87" s="35">
        <v>0.0</v>
      </c>
      <c r="DE87" s="36" t="s">
        <v>133</v>
      </c>
      <c r="DF87" s="36" t="s">
        <v>133</v>
      </c>
      <c r="DG87" s="53">
        <f t="shared" si="55"/>
        <v>10</v>
      </c>
      <c r="DH87" s="35">
        <v>1.0</v>
      </c>
      <c r="DI87" s="35">
        <v>0.0</v>
      </c>
      <c r="DJ87" s="35">
        <v>0.0</v>
      </c>
      <c r="DK87" s="35">
        <v>1.0</v>
      </c>
      <c r="DL87" s="46">
        <f t="shared" si="34"/>
        <v>70.58823529</v>
      </c>
      <c r="DM87" s="44">
        <f t="shared" si="35"/>
        <v>1</v>
      </c>
      <c r="DN87" s="44">
        <f t="shared" si="36"/>
        <v>2</v>
      </c>
      <c r="DO87" s="44">
        <f t="shared" si="37"/>
        <v>0</v>
      </c>
      <c r="DP87" s="44">
        <f t="shared" si="38"/>
        <v>1</v>
      </c>
      <c r="DQ87" s="44">
        <f t="shared" si="39"/>
        <v>2</v>
      </c>
      <c r="DR87" s="44">
        <f t="shared" ref="DR87:DS87" si="130">(DH87)</f>
        <v>1</v>
      </c>
      <c r="DS87" s="44">
        <f t="shared" si="130"/>
        <v>0</v>
      </c>
      <c r="DT87" s="44">
        <f t="shared" si="41"/>
        <v>7</v>
      </c>
      <c r="DU87" s="44" t="str">
        <f t="shared" si="42"/>
        <v>poor sleep quality</v>
      </c>
      <c r="DV87" s="35">
        <v>3.0</v>
      </c>
      <c r="DW87" s="35" t="s">
        <v>149</v>
      </c>
      <c r="DX87" s="35" t="s">
        <v>146</v>
      </c>
      <c r="DY87" s="35" t="s">
        <v>156</v>
      </c>
      <c r="DZ87" s="35" t="s">
        <v>131</v>
      </c>
      <c r="EA87" s="35" t="s">
        <v>167</v>
      </c>
      <c r="EB87" s="35" t="s">
        <v>222</v>
      </c>
      <c r="EC87" s="35" t="s">
        <v>131</v>
      </c>
      <c r="ED87" s="35" t="s">
        <v>132</v>
      </c>
      <c r="EE87" s="35" t="s">
        <v>141</v>
      </c>
      <c r="EF87" s="35">
        <f>C87-M87</f>
        <v>1007</v>
      </c>
      <c r="EG87" s="35">
        <f>C87-O87</f>
        <v>277</v>
      </c>
      <c r="EH87" s="47">
        <f t="shared" si="24"/>
        <v>34.57763236</v>
      </c>
    </row>
    <row r="88" ht="18.75" customHeight="1">
      <c r="A88" s="35" t="s">
        <v>374</v>
      </c>
      <c r="B88" s="36" t="s">
        <v>129</v>
      </c>
      <c r="C88" s="37">
        <v>45173.0</v>
      </c>
      <c r="D88" s="48">
        <v>57.0</v>
      </c>
      <c r="E88" s="35" t="s">
        <v>130</v>
      </c>
      <c r="F88" s="35">
        <v>160.0</v>
      </c>
      <c r="G88" s="39">
        <v>84.0</v>
      </c>
      <c r="H88" s="40" t="s">
        <v>131</v>
      </c>
      <c r="I88" s="35">
        <v>4.0</v>
      </c>
      <c r="J88" s="41">
        <v>45108.0</v>
      </c>
      <c r="K88" s="35" t="s">
        <v>132</v>
      </c>
      <c r="L88" s="36" t="s">
        <v>133</v>
      </c>
      <c r="M88" s="42" t="s">
        <v>133</v>
      </c>
      <c r="N88" s="36" t="s">
        <v>133</v>
      </c>
      <c r="O88" s="42" t="s">
        <v>133</v>
      </c>
      <c r="P88" s="36" t="s">
        <v>133</v>
      </c>
      <c r="Q88" s="36" t="s">
        <v>133</v>
      </c>
      <c r="R88" s="36" t="s">
        <v>133</v>
      </c>
      <c r="S88" s="36" t="s">
        <v>133</v>
      </c>
      <c r="T88" s="36" t="s">
        <v>133</v>
      </c>
      <c r="U88" s="36" t="s">
        <v>133</v>
      </c>
      <c r="V88" s="36" t="str">
        <f t="shared" si="2"/>
        <v>No infectado</v>
      </c>
      <c r="W88" s="36" t="s">
        <v>133</v>
      </c>
      <c r="X88" s="36" t="s">
        <v>133</v>
      </c>
      <c r="Y88" s="36" t="s">
        <v>133</v>
      </c>
      <c r="Z88" s="36" t="s">
        <v>133</v>
      </c>
      <c r="AA88" s="36" t="s">
        <v>133</v>
      </c>
      <c r="AB88" s="36" t="s">
        <v>133</v>
      </c>
      <c r="AC88" s="36" t="s">
        <v>133</v>
      </c>
      <c r="AD88" s="36" t="s">
        <v>133</v>
      </c>
      <c r="AE88" s="36" t="s">
        <v>133</v>
      </c>
      <c r="AF88" s="36" t="s">
        <v>133</v>
      </c>
      <c r="AG88" s="36" t="s">
        <v>133</v>
      </c>
      <c r="AH88" s="36" t="s">
        <v>133</v>
      </c>
      <c r="AI88" s="36" t="s">
        <v>133</v>
      </c>
      <c r="AJ88" s="36" t="s">
        <v>133</v>
      </c>
      <c r="AK88" s="36" t="s">
        <v>133</v>
      </c>
      <c r="AL88" s="40" t="s">
        <v>132</v>
      </c>
      <c r="AM88" s="35" t="s">
        <v>132</v>
      </c>
      <c r="AN88" s="35" t="s">
        <v>132</v>
      </c>
      <c r="AO88" s="35" t="s">
        <v>131</v>
      </c>
      <c r="AP88" s="35" t="s">
        <v>132</v>
      </c>
      <c r="AQ88" s="35" t="s">
        <v>132</v>
      </c>
      <c r="AR88" s="35" t="s">
        <v>132</v>
      </c>
      <c r="AS88" s="35" t="s">
        <v>132</v>
      </c>
      <c r="AT88" s="35" t="s">
        <v>132</v>
      </c>
      <c r="AU88" s="35" t="s">
        <v>131</v>
      </c>
      <c r="AV88" s="35" t="s">
        <v>132</v>
      </c>
      <c r="AW88" s="36" t="s">
        <v>133</v>
      </c>
      <c r="AX88" s="35" t="s">
        <v>132</v>
      </c>
      <c r="AY88" s="36" t="s">
        <v>133</v>
      </c>
      <c r="AZ88" s="36" t="s">
        <v>133</v>
      </c>
      <c r="BA88" s="36" t="s">
        <v>133</v>
      </c>
      <c r="BB88" s="35" t="s">
        <v>145</v>
      </c>
      <c r="BC88" s="36" t="s">
        <v>133</v>
      </c>
      <c r="BD88" s="40">
        <v>1.0</v>
      </c>
      <c r="BE88" s="35">
        <v>1.0</v>
      </c>
      <c r="BF88" s="35">
        <v>1.0</v>
      </c>
      <c r="BG88" s="35">
        <v>2.0</v>
      </c>
      <c r="BH88" s="35">
        <v>4.0</v>
      </c>
      <c r="BI88" s="44" t="str">
        <f t="shared" si="3"/>
        <v>11124</v>
      </c>
      <c r="BJ88" s="35">
        <v>80.0</v>
      </c>
      <c r="BK88" s="35">
        <v>2.0</v>
      </c>
      <c r="BL88" s="35">
        <v>2.0</v>
      </c>
      <c r="BM88" s="35">
        <v>3.0</v>
      </c>
      <c r="BN88" s="35">
        <v>5.0</v>
      </c>
      <c r="BO88" s="35">
        <v>1.0</v>
      </c>
      <c r="BP88" s="35">
        <v>1.0</v>
      </c>
      <c r="BQ88" s="35">
        <v>3.0</v>
      </c>
      <c r="BR88" s="35">
        <v>1.0</v>
      </c>
      <c r="BS88" s="35">
        <v>2.0</v>
      </c>
      <c r="BT88" s="35">
        <v>2.0</v>
      </c>
      <c r="BU88" s="44">
        <f t="shared" si="4"/>
        <v>1</v>
      </c>
      <c r="BV88" s="44">
        <f t="shared" si="5"/>
        <v>4</v>
      </c>
      <c r="BW88" s="44">
        <f t="shared" si="53"/>
        <v>21</v>
      </c>
      <c r="BX88" s="44" t="str">
        <f t="shared" si="7"/>
        <v>NO HAY FATIGA</v>
      </c>
      <c r="BY88" s="35">
        <v>0.0</v>
      </c>
      <c r="BZ88" s="35">
        <v>0.0</v>
      </c>
      <c r="CA88" s="35">
        <v>0.0</v>
      </c>
      <c r="CB88" s="35">
        <v>0.0</v>
      </c>
      <c r="CC88" s="35">
        <v>0.0</v>
      </c>
      <c r="CD88" s="35">
        <v>0.0</v>
      </c>
      <c r="CE88" s="35">
        <v>2.0</v>
      </c>
      <c r="CF88" s="35">
        <v>0.0</v>
      </c>
      <c r="CG88" s="35">
        <v>30.0</v>
      </c>
      <c r="CH88" s="35">
        <v>6.0</v>
      </c>
      <c r="CI88" s="35">
        <v>0.0</v>
      </c>
      <c r="CJ88" s="44">
        <f t="shared" si="27"/>
        <v>198</v>
      </c>
      <c r="CK88" s="44">
        <f t="shared" si="28"/>
        <v>2</v>
      </c>
      <c r="CL88" s="44" t="b">
        <f t="shared" si="29"/>
        <v>0</v>
      </c>
      <c r="CM88" s="44" t="b">
        <f t="shared" si="30"/>
        <v>0</v>
      </c>
      <c r="CN88" s="45" t="str">
        <f t="shared" si="31"/>
        <v>Nivel de actividad física bajo</v>
      </c>
      <c r="CO88" s="51">
        <v>0.020833333333333332</v>
      </c>
      <c r="CP88" s="35">
        <v>20.0</v>
      </c>
      <c r="CQ88" s="44">
        <f t="shared" si="32"/>
        <v>1</v>
      </c>
      <c r="CR88" s="35">
        <v>6.0</v>
      </c>
      <c r="CS88" s="35">
        <v>30.0</v>
      </c>
      <c r="CT88" s="35">
        <v>6.0</v>
      </c>
      <c r="CU88" s="35">
        <v>6.5</v>
      </c>
      <c r="CV88" s="35">
        <v>2.0</v>
      </c>
      <c r="CW88" s="35">
        <v>3.0</v>
      </c>
      <c r="CX88" s="35">
        <v>3.0</v>
      </c>
      <c r="CY88" s="35">
        <v>0.0</v>
      </c>
      <c r="CZ88" s="35">
        <v>0.0</v>
      </c>
      <c r="DA88" s="35">
        <v>0.0</v>
      </c>
      <c r="DB88" s="35">
        <v>1.0</v>
      </c>
      <c r="DC88" s="35">
        <v>0.0</v>
      </c>
      <c r="DD88" s="35">
        <v>0.0</v>
      </c>
      <c r="DE88" s="36" t="s">
        <v>133</v>
      </c>
      <c r="DF88" s="36" t="s">
        <v>133</v>
      </c>
      <c r="DG88" s="53">
        <f t="shared" si="55"/>
        <v>7</v>
      </c>
      <c r="DH88" s="35">
        <v>1.0</v>
      </c>
      <c r="DI88" s="35">
        <v>0.0</v>
      </c>
      <c r="DJ88" s="35">
        <v>0.0</v>
      </c>
      <c r="DK88" s="35">
        <v>2.0</v>
      </c>
      <c r="DL88" s="46">
        <f t="shared" si="34"/>
        <v>108.3333333</v>
      </c>
      <c r="DM88" s="44">
        <f t="shared" si="35"/>
        <v>1</v>
      </c>
      <c r="DN88" s="44">
        <f t="shared" si="36"/>
        <v>1</v>
      </c>
      <c r="DO88" s="44">
        <f t="shared" si="37"/>
        <v>2</v>
      </c>
      <c r="DP88" s="44">
        <f t="shared" si="38"/>
        <v>1</v>
      </c>
      <c r="DQ88" s="44">
        <f t="shared" si="39"/>
        <v>0</v>
      </c>
      <c r="DR88" s="44">
        <f t="shared" ref="DR88:DS88" si="131">(DH88)</f>
        <v>1</v>
      </c>
      <c r="DS88" s="44">
        <f t="shared" si="131"/>
        <v>0</v>
      </c>
      <c r="DT88" s="44">
        <f t="shared" si="41"/>
        <v>6</v>
      </c>
      <c r="DU88" s="44" t="str">
        <f t="shared" si="42"/>
        <v>poor sleep quality</v>
      </c>
      <c r="DV88" s="35">
        <v>1.0</v>
      </c>
      <c r="DW88" s="35" t="s">
        <v>314</v>
      </c>
      <c r="DX88" s="35" t="s">
        <v>146</v>
      </c>
      <c r="DY88" s="35">
        <v>2.0</v>
      </c>
      <c r="DZ88" s="35" t="s">
        <v>131</v>
      </c>
      <c r="EA88" s="35" t="s">
        <v>167</v>
      </c>
      <c r="EB88" s="35" t="s">
        <v>172</v>
      </c>
      <c r="EC88" s="36" t="s">
        <v>133</v>
      </c>
      <c r="ED88" s="36" t="s">
        <v>133</v>
      </c>
      <c r="EE88" s="35" t="s">
        <v>203</v>
      </c>
      <c r="EF88" s="36" t="s">
        <v>133</v>
      </c>
      <c r="EG88" s="36" t="s">
        <v>133</v>
      </c>
      <c r="EH88" s="47">
        <f t="shared" si="24"/>
        <v>32.8125</v>
      </c>
    </row>
    <row r="89" ht="18.75" customHeight="1">
      <c r="A89" s="35" t="s">
        <v>375</v>
      </c>
      <c r="B89" s="36" t="s">
        <v>175</v>
      </c>
      <c r="C89" s="37">
        <v>45191.0</v>
      </c>
      <c r="D89" s="48">
        <v>50.0</v>
      </c>
      <c r="E89" s="35" t="s">
        <v>153</v>
      </c>
      <c r="F89" s="35">
        <v>169.0</v>
      </c>
      <c r="G89" s="39">
        <v>90.0</v>
      </c>
      <c r="H89" s="40" t="s">
        <v>131</v>
      </c>
      <c r="I89" s="35">
        <v>2.0</v>
      </c>
      <c r="J89" s="41">
        <v>44440.0</v>
      </c>
      <c r="K89" s="35" t="s">
        <v>131</v>
      </c>
      <c r="L89" s="35">
        <v>1.0</v>
      </c>
      <c r="M89" s="41">
        <v>44409.0</v>
      </c>
      <c r="N89" s="35">
        <v>1.0</v>
      </c>
      <c r="O89" s="41">
        <v>44409.0</v>
      </c>
      <c r="P89" s="35" t="s">
        <v>132</v>
      </c>
      <c r="Q89" s="36" t="s">
        <v>133</v>
      </c>
      <c r="R89" s="36" t="s">
        <v>133</v>
      </c>
      <c r="S89" s="36" t="s">
        <v>133</v>
      </c>
      <c r="T89" s="36" t="s">
        <v>133</v>
      </c>
      <c r="U89" s="36" t="s">
        <v>133</v>
      </c>
      <c r="V89" s="36" t="str">
        <f t="shared" si="2"/>
        <v>Paciente ambulatorio</v>
      </c>
      <c r="W89" s="35" t="s">
        <v>183</v>
      </c>
      <c r="X89" s="35" t="s">
        <v>132</v>
      </c>
      <c r="Y89" s="35">
        <v>1.0</v>
      </c>
      <c r="Z89" s="35">
        <v>1.0</v>
      </c>
      <c r="AA89" s="35">
        <v>2.0</v>
      </c>
      <c r="AB89" s="35">
        <v>2.0</v>
      </c>
      <c r="AC89" s="35">
        <v>3.0</v>
      </c>
      <c r="AD89" s="35">
        <v>1.0</v>
      </c>
      <c r="AE89" s="35">
        <v>1.0</v>
      </c>
      <c r="AF89" s="35">
        <v>1.0</v>
      </c>
      <c r="AG89" s="35">
        <v>3.0</v>
      </c>
      <c r="AH89" s="35">
        <v>1.0</v>
      </c>
      <c r="AI89" s="35">
        <v>1.0</v>
      </c>
      <c r="AJ89" s="35">
        <v>1.0</v>
      </c>
      <c r="AK89" s="39" t="s">
        <v>376</v>
      </c>
      <c r="AL89" s="40" t="s">
        <v>131</v>
      </c>
      <c r="AM89" s="35" t="s">
        <v>132</v>
      </c>
      <c r="AN89" s="35" t="s">
        <v>132</v>
      </c>
      <c r="AO89" s="35" t="s">
        <v>131</v>
      </c>
      <c r="AP89" s="35" t="s">
        <v>132</v>
      </c>
      <c r="AQ89" s="35" t="s">
        <v>131</v>
      </c>
      <c r="AR89" s="35" t="s">
        <v>132</v>
      </c>
      <c r="AS89" s="35" t="s">
        <v>132</v>
      </c>
      <c r="AT89" s="35" t="s">
        <v>132</v>
      </c>
      <c r="AU89" s="35" t="s">
        <v>132</v>
      </c>
      <c r="AV89" s="35" t="s">
        <v>131</v>
      </c>
      <c r="AW89" s="35" t="s">
        <v>377</v>
      </c>
      <c r="AX89" s="35" t="s">
        <v>131</v>
      </c>
      <c r="AY89" s="35">
        <v>1.0</v>
      </c>
      <c r="AZ89" s="36" t="s">
        <v>133</v>
      </c>
      <c r="BA89" s="36" t="s">
        <v>133</v>
      </c>
      <c r="BB89" s="35" t="s">
        <v>135</v>
      </c>
      <c r="BC89" s="39">
        <v>4.0</v>
      </c>
      <c r="BD89" s="40">
        <v>1.0</v>
      </c>
      <c r="BE89" s="35">
        <v>1.0</v>
      </c>
      <c r="BF89" s="35">
        <v>1.0</v>
      </c>
      <c r="BG89" s="35">
        <v>3.0</v>
      </c>
      <c r="BH89" s="35">
        <v>2.0</v>
      </c>
      <c r="BI89" s="44" t="str">
        <f t="shared" si="3"/>
        <v>11132</v>
      </c>
      <c r="BJ89" s="35">
        <v>70.0</v>
      </c>
      <c r="BK89" s="35">
        <v>3.0</v>
      </c>
      <c r="BL89" s="35">
        <v>2.0</v>
      </c>
      <c r="BM89" s="35">
        <v>2.0</v>
      </c>
      <c r="BN89" s="35">
        <v>4.0</v>
      </c>
      <c r="BO89" s="35">
        <v>2.0</v>
      </c>
      <c r="BP89" s="35">
        <v>2.0</v>
      </c>
      <c r="BQ89" s="35">
        <v>4.0</v>
      </c>
      <c r="BR89" s="35">
        <v>2.0</v>
      </c>
      <c r="BS89" s="35">
        <v>3.0</v>
      </c>
      <c r="BT89" s="35">
        <v>4.0</v>
      </c>
      <c r="BU89" s="44">
        <f t="shared" si="4"/>
        <v>2</v>
      </c>
      <c r="BV89" s="44">
        <f t="shared" ref="BV89:BV90" si="133">IF(BS89=1,5,IF(BS89=2,4,IF(BS89=3,3,IF(BS89=4,2,IF(BS89=5,1)))))</f>
        <v>3</v>
      </c>
      <c r="BW89" s="44">
        <f t="shared" ref="BW89:BW90" si="134">SUM(BK89,BL89,BM89,BN89,BO89,BP89,BQ89,BR89,BS89,BV89)</f>
        <v>27</v>
      </c>
      <c r="BX89" s="44" t="str">
        <f t="shared" si="7"/>
        <v>FATIGA</v>
      </c>
      <c r="BY89" s="35">
        <v>0.0</v>
      </c>
      <c r="BZ89" s="35">
        <v>0.0</v>
      </c>
      <c r="CA89" s="35">
        <v>0.0</v>
      </c>
      <c r="CB89" s="35">
        <v>0.0</v>
      </c>
      <c r="CC89" s="35">
        <v>0.0</v>
      </c>
      <c r="CD89" s="35">
        <v>0.0</v>
      </c>
      <c r="CE89" s="35">
        <v>0.0</v>
      </c>
      <c r="CF89" s="35">
        <v>0.0</v>
      </c>
      <c r="CG89" s="35">
        <v>0.0</v>
      </c>
      <c r="CH89" s="35">
        <v>3.0</v>
      </c>
      <c r="CI89" s="35">
        <v>0.0</v>
      </c>
      <c r="CJ89" s="44">
        <f t="shared" si="27"/>
        <v>0</v>
      </c>
      <c r="CK89" s="44">
        <f t="shared" si="28"/>
        <v>0</v>
      </c>
      <c r="CL89" s="44" t="b">
        <f t="shared" si="29"/>
        <v>0</v>
      </c>
      <c r="CM89" s="44" t="b">
        <f t="shared" si="30"/>
        <v>0</v>
      </c>
      <c r="CN89" s="45" t="str">
        <f t="shared" si="31"/>
        <v>Nivel de actividad física bajo</v>
      </c>
      <c r="CO89" s="35">
        <v>0.0</v>
      </c>
      <c r="CP89" s="35">
        <v>20.0</v>
      </c>
      <c r="CQ89" s="44">
        <f t="shared" si="32"/>
        <v>1</v>
      </c>
      <c r="CR89" s="35">
        <v>9.0</v>
      </c>
      <c r="CS89" s="35">
        <v>0.0</v>
      </c>
      <c r="CT89" s="35">
        <v>8.75</v>
      </c>
      <c r="CU89" s="35">
        <v>8.0</v>
      </c>
      <c r="CV89" s="35">
        <v>0.0</v>
      </c>
      <c r="CW89" s="35">
        <v>0.0</v>
      </c>
      <c r="CX89" s="35">
        <v>0.0</v>
      </c>
      <c r="CY89" s="35">
        <v>0.0</v>
      </c>
      <c r="CZ89" s="35">
        <v>3.0</v>
      </c>
      <c r="DA89" s="35">
        <v>2.0</v>
      </c>
      <c r="DB89" s="35">
        <v>2.0</v>
      </c>
      <c r="DC89" s="35">
        <v>0.0</v>
      </c>
      <c r="DD89" s="35">
        <v>0.0</v>
      </c>
      <c r="DE89" s="35">
        <v>0.0</v>
      </c>
      <c r="DF89" s="36" t="s">
        <v>133</v>
      </c>
      <c r="DG89" s="53">
        <f t="shared" si="55"/>
        <v>7</v>
      </c>
      <c r="DH89" s="35">
        <v>1.0</v>
      </c>
      <c r="DI89" s="35">
        <v>0.0</v>
      </c>
      <c r="DJ89" s="35">
        <v>2.0</v>
      </c>
      <c r="DK89" s="35">
        <v>0.0</v>
      </c>
      <c r="DL89" s="46">
        <f t="shared" si="34"/>
        <v>91.42857143</v>
      </c>
      <c r="DM89" s="44">
        <f t="shared" si="35"/>
        <v>0</v>
      </c>
      <c r="DN89" s="44">
        <f t="shared" si="36"/>
        <v>1</v>
      </c>
      <c r="DO89" s="44">
        <f t="shared" si="37"/>
        <v>1</v>
      </c>
      <c r="DP89" s="44">
        <f t="shared" si="38"/>
        <v>1</v>
      </c>
      <c r="DQ89" s="44">
        <f t="shared" si="39"/>
        <v>0</v>
      </c>
      <c r="DR89" s="44">
        <f t="shared" ref="DR89:DS89" si="132">(DH89)</f>
        <v>1</v>
      </c>
      <c r="DS89" s="44">
        <f t="shared" si="132"/>
        <v>0</v>
      </c>
      <c r="DT89" s="44">
        <f t="shared" si="41"/>
        <v>4</v>
      </c>
      <c r="DU89" s="44" t="str">
        <f t="shared" si="42"/>
        <v>good sleep quality</v>
      </c>
      <c r="DV89" s="35">
        <v>1.0</v>
      </c>
      <c r="DW89" s="35" t="s">
        <v>378</v>
      </c>
      <c r="DX89" s="35" t="s">
        <v>146</v>
      </c>
      <c r="DY89" s="35">
        <v>1.0</v>
      </c>
      <c r="DZ89" s="35" t="s">
        <v>131</v>
      </c>
      <c r="EA89" s="35" t="s">
        <v>202</v>
      </c>
      <c r="EB89" s="35" t="s">
        <v>139</v>
      </c>
      <c r="EC89" s="36" t="s">
        <v>133</v>
      </c>
      <c r="ED89" s="35" t="s">
        <v>131</v>
      </c>
      <c r="EE89" s="35" t="s">
        <v>141</v>
      </c>
      <c r="EF89" s="35">
        <f>C89-M89</f>
        <v>782</v>
      </c>
      <c r="EG89" s="35">
        <f>C89-O89</f>
        <v>782</v>
      </c>
      <c r="EH89" s="47">
        <f t="shared" si="24"/>
        <v>31.5115017</v>
      </c>
    </row>
    <row r="90" ht="18.75" customHeight="1">
      <c r="A90" s="35" t="s">
        <v>379</v>
      </c>
      <c r="B90" s="36" t="s">
        <v>129</v>
      </c>
      <c r="C90" s="37">
        <v>45248.0</v>
      </c>
      <c r="D90" s="48">
        <v>45.0</v>
      </c>
      <c r="E90" s="35" t="s">
        <v>153</v>
      </c>
      <c r="F90" s="35">
        <v>179.0</v>
      </c>
      <c r="G90" s="39">
        <v>77.0</v>
      </c>
      <c r="H90" s="40" t="s">
        <v>131</v>
      </c>
      <c r="I90" s="35">
        <v>4.0</v>
      </c>
      <c r="J90" s="41">
        <v>44726.0</v>
      </c>
      <c r="K90" s="35" t="s">
        <v>132</v>
      </c>
      <c r="L90" s="36" t="s">
        <v>133</v>
      </c>
      <c r="M90" s="42" t="s">
        <v>133</v>
      </c>
      <c r="N90" s="36" t="s">
        <v>133</v>
      </c>
      <c r="O90" s="42" t="s">
        <v>133</v>
      </c>
      <c r="P90" s="36" t="s">
        <v>133</v>
      </c>
      <c r="Q90" s="36" t="s">
        <v>133</v>
      </c>
      <c r="R90" s="36" t="s">
        <v>133</v>
      </c>
      <c r="S90" s="36" t="s">
        <v>133</v>
      </c>
      <c r="T90" s="36" t="s">
        <v>133</v>
      </c>
      <c r="U90" s="36" t="s">
        <v>133</v>
      </c>
      <c r="V90" s="36" t="str">
        <f t="shared" si="2"/>
        <v>No infectado</v>
      </c>
      <c r="W90" s="36" t="s">
        <v>133</v>
      </c>
      <c r="X90" s="36" t="s">
        <v>133</v>
      </c>
      <c r="Y90" s="36" t="s">
        <v>133</v>
      </c>
      <c r="Z90" s="36" t="s">
        <v>133</v>
      </c>
      <c r="AA90" s="36" t="s">
        <v>133</v>
      </c>
      <c r="AB90" s="36" t="s">
        <v>133</v>
      </c>
      <c r="AC90" s="36" t="s">
        <v>133</v>
      </c>
      <c r="AD90" s="36" t="s">
        <v>133</v>
      </c>
      <c r="AE90" s="36" t="s">
        <v>133</v>
      </c>
      <c r="AF90" s="36" t="s">
        <v>133</v>
      </c>
      <c r="AG90" s="36" t="s">
        <v>133</v>
      </c>
      <c r="AH90" s="36" t="s">
        <v>133</v>
      </c>
      <c r="AI90" s="36" t="s">
        <v>133</v>
      </c>
      <c r="AJ90" s="36" t="s">
        <v>133</v>
      </c>
      <c r="AK90" s="36" t="s">
        <v>133</v>
      </c>
      <c r="AL90" s="40" t="s">
        <v>132</v>
      </c>
      <c r="AM90" s="35" t="s">
        <v>132</v>
      </c>
      <c r="AN90" s="35" t="s">
        <v>132</v>
      </c>
      <c r="AO90" s="35" t="s">
        <v>132</v>
      </c>
      <c r="AP90" s="35" t="s">
        <v>132</v>
      </c>
      <c r="AQ90" s="35" t="s">
        <v>132</v>
      </c>
      <c r="AR90" s="35" t="s">
        <v>132</v>
      </c>
      <c r="AS90" s="35" t="s">
        <v>132</v>
      </c>
      <c r="AT90" s="35" t="s">
        <v>132</v>
      </c>
      <c r="AU90" s="35" t="s">
        <v>132</v>
      </c>
      <c r="AV90" s="35" t="s">
        <v>132</v>
      </c>
      <c r="AW90" s="36" t="s">
        <v>133</v>
      </c>
      <c r="AX90" s="35" t="s">
        <v>132</v>
      </c>
      <c r="AY90" s="36" t="s">
        <v>133</v>
      </c>
      <c r="AZ90" s="36" t="s">
        <v>133</v>
      </c>
      <c r="BA90" s="36" t="s">
        <v>133</v>
      </c>
      <c r="BB90" s="35" t="s">
        <v>145</v>
      </c>
      <c r="BC90" s="36" t="s">
        <v>133</v>
      </c>
      <c r="BD90" s="40">
        <v>1.0</v>
      </c>
      <c r="BE90" s="35">
        <v>1.0</v>
      </c>
      <c r="BF90" s="35">
        <v>1.0</v>
      </c>
      <c r="BG90" s="35">
        <v>1.0</v>
      </c>
      <c r="BH90" s="35">
        <v>1.0</v>
      </c>
      <c r="BI90" s="44" t="str">
        <f t="shared" si="3"/>
        <v>11111</v>
      </c>
      <c r="BJ90" s="35">
        <v>95.0</v>
      </c>
      <c r="BK90" s="35">
        <v>1.0</v>
      </c>
      <c r="BL90" s="35">
        <v>2.0</v>
      </c>
      <c r="BM90" s="35">
        <v>3.0</v>
      </c>
      <c r="BN90" s="35">
        <v>5.0</v>
      </c>
      <c r="BO90" s="35">
        <v>2.0</v>
      </c>
      <c r="BP90" s="35">
        <v>1.0</v>
      </c>
      <c r="BQ90" s="35">
        <v>2.0</v>
      </c>
      <c r="BR90" s="35">
        <v>2.0</v>
      </c>
      <c r="BS90" s="35">
        <v>2.0</v>
      </c>
      <c r="BT90" s="35">
        <v>3.0</v>
      </c>
      <c r="BU90" s="44">
        <f t="shared" si="4"/>
        <v>1</v>
      </c>
      <c r="BV90" s="44">
        <f t="shared" si="133"/>
        <v>4</v>
      </c>
      <c r="BW90" s="44">
        <f t="shared" si="134"/>
        <v>24</v>
      </c>
      <c r="BX90" s="44" t="str">
        <f t="shared" si="7"/>
        <v>FATIGA</v>
      </c>
      <c r="BY90" s="35">
        <v>1.0</v>
      </c>
      <c r="BZ90" s="35">
        <v>0.0</v>
      </c>
      <c r="CA90" s="35">
        <v>40.0</v>
      </c>
      <c r="CB90" s="35">
        <v>1.0</v>
      </c>
      <c r="CC90" s="35">
        <v>0.0</v>
      </c>
      <c r="CD90" s="35">
        <v>20.0</v>
      </c>
      <c r="CE90" s="35">
        <v>3.0</v>
      </c>
      <c r="CF90" s="35">
        <v>0.0</v>
      </c>
      <c r="CG90" s="35">
        <v>10.0</v>
      </c>
      <c r="CH90" s="35">
        <v>10.0</v>
      </c>
      <c r="CI90" s="35">
        <v>0.0</v>
      </c>
      <c r="CJ90" s="44">
        <f t="shared" si="27"/>
        <v>499</v>
      </c>
      <c r="CK90" s="44">
        <f t="shared" si="28"/>
        <v>5</v>
      </c>
      <c r="CL90" s="44" t="b">
        <f t="shared" si="29"/>
        <v>0</v>
      </c>
      <c r="CM90" s="44" t="b">
        <f t="shared" si="30"/>
        <v>0</v>
      </c>
      <c r="CN90" s="45" t="str">
        <f t="shared" si="31"/>
        <v>Nivel de actividad física bajo</v>
      </c>
      <c r="CO90" s="35">
        <v>0.0</v>
      </c>
      <c r="CP90" s="35">
        <v>90.0</v>
      </c>
      <c r="CQ90" s="44">
        <f t="shared" si="32"/>
        <v>3</v>
      </c>
      <c r="CR90" s="35">
        <v>9.0</v>
      </c>
      <c r="CS90" s="35">
        <v>0.0</v>
      </c>
      <c r="CT90" s="35">
        <v>9.0</v>
      </c>
      <c r="CU90" s="35">
        <v>6.0</v>
      </c>
      <c r="CV90" s="35">
        <v>3.0</v>
      </c>
      <c r="CW90" s="35">
        <v>3.0</v>
      </c>
      <c r="CX90" s="35">
        <v>3.0</v>
      </c>
      <c r="CY90" s="35">
        <v>0.0</v>
      </c>
      <c r="CZ90" s="35">
        <v>0.0</v>
      </c>
      <c r="DA90" s="35">
        <v>0.0</v>
      </c>
      <c r="DB90" s="35">
        <v>0.0</v>
      </c>
      <c r="DC90" s="35">
        <v>0.0</v>
      </c>
      <c r="DD90" s="35">
        <v>0.0</v>
      </c>
      <c r="DE90" s="35">
        <v>2.0</v>
      </c>
      <c r="DF90" s="35" t="s">
        <v>380</v>
      </c>
      <c r="DG90" s="53">
        <f t="shared" si="55"/>
        <v>8</v>
      </c>
      <c r="DH90" s="35">
        <v>2.0</v>
      </c>
      <c r="DI90" s="35">
        <v>0.0</v>
      </c>
      <c r="DJ90" s="35">
        <v>2.0</v>
      </c>
      <c r="DK90" s="35">
        <v>0.0</v>
      </c>
      <c r="DL90" s="46">
        <f t="shared" si="34"/>
        <v>66.66666667</v>
      </c>
      <c r="DM90" s="44">
        <f t="shared" si="35"/>
        <v>1</v>
      </c>
      <c r="DN90" s="44">
        <f t="shared" si="36"/>
        <v>1</v>
      </c>
      <c r="DO90" s="44">
        <f t="shared" si="37"/>
        <v>3</v>
      </c>
      <c r="DP90" s="44">
        <f t="shared" si="38"/>
        <v>1</v>
      </c>
      <c r="DQ90" s="44">
        <f t="shared" si="39"/>
        <v>2</v>
      </c>
      <c r="DR90" s="44">
        <f t="shared" ref="DR90:DS90" si="135">(DH90)</f>
        <v>2</v>
      </c>
      <c r="DS90" s="44">
        <f t="shared" si="135"/>
        <v>0</v>
      </c>
      <c r="DT90" s="44">
        <f t="shared" si="41"/>
        <v>10</v>
      </c>
      <c r="DU90" s="44" t="str">
        <f t="shared" si="42"/>
        <v>poor sleep quality</v>
      </c>
      <c r="DV90" s="35">
        <v>1.0</v>
      </c>
      <c r="DW90" s="35" t="s">
        <v>247</v>
      </c>
      <c r="DX90" s="35" t="s">
        <v>207</v>
      </c>
      <c r="DY90" s="35">
        <v>1.0</v>
      </c>
      <c r="DZ90" s="35" t="s">
        <v>131</v>
      </c>
      <c r="EA90" s="35" t="s">
        <v>138</v>
      </c>
      <c r="EB90" s="35" t="s">
        <v>139</v>
      </c>
      <c r="EC90" s="36" t="s">
        <v>133</v>
      </c>
      <c r="ED90" s="35" t="s">
        <v>131</v>
      </c>
      <c r="EE90" s="35" t="s">
        <v>141</v>
      </c>
      <c r="EF90" s="36" t="s">
        <v>133</v>
      </c>
      <c r="EG90" s="36" t="s">
        <v>133</v>
      </c>
      <c r="EH90" s="47">
        <f t="shared" si="24"/>
        <v>24.03170937</v>
      </c>
    </row>
    <row r="91" ht="18.75" customHeight="1">
      <c r="A91" s="35" t="s">
        <v>381</v>
      </c>
      <c r="B91" s="36" t="s">
        <v>175</v>
      </c>
      <c r="C91" s="37">
        <v>45199.0</v>
      </c>
      <c r="D91" s="48">
        <v>55.0</v>
      </c>
      <c r="E91" s="35" t="s">
        <v>153</v>
      </c>
      <c r="F91" s="35">
        <v>183.0</v>
      </c>
      <c r="G91" s="39">
        <v>103.0</v>
      </c>
      <c r="H91" s="40" t="s">
        <v>131</v>
      </c>
      <c r="I91" s="35">
        <v>3.0</v>
      </c>
      <c r="J91" s="41">
        <v>44701.0</v>
      </c>
      <c r="K91" s="35" t="s">
        <v>131</v>
      </c>
      <c r="L91" s="35">
        <v>1.0</v>
      </c>
      <c r="M91" s="41">
        <v>44501.0</v>
      </c>
      <c r="N91" s="35">
        <v>2.0</v>
      </c>
      <c r="O91" s="42" t="s">
        <v>133</v>
      </c>
      <c r="P91" s="35" t="s">
        <v>132</v>
      </c>
      <c r="Q91" s="36" t="s">
        <v>133</v>
      </c>
      <c r="R91" s="36" t="s">
        <v>133</v>
      </c>
      <c r="S91" s="36" t="s">
        <v>133</v>
      </c>
      <c r="T91" s="36" t="s">
        <v>133</v>
      </c>
      <c r="U91" s="36" t="s">
        <v>133</v>
      </c>
      <c r="V91" s="36" t="str">
        <f t="shared" si="2"/>
        <v>Paciente ambulatorio</v>
      </c>
      <c r="W91" s="35" t="s">
        <v>176</v>
      </c>
      <c r="X91" s="35" t="s">
        <v>132</v>
      </c>
      <c r="Y91" s="35">
        <v>3.0</v>
      </c>
      <c r="Z91" s="35">
        <v>1.0</v>
      </c>
      <c r="AA91" s="35">
        <v>2.0</v>
      </c>
      <c r="AB91" s="35">
        <v>2.0</v>
      </c>
      <c r="AC91" s="35">
        <v>1.0</v>
      </c>
      <c r="AD91" s="35">
        <v>1.0</v>
      </c>
      <c r="AE91" s="35">
        <v>1.0</v>
      </c>
      <c r="AF91" s="35">
        <v>1.0</v>
      </c>
      <c r="AG91" s="35">
        <v>3.0</v>
      </c>
      <c r="AH91" s="35">
        <v>3.0</v>
      </c>
      <c r="AI91" s="35">
        <v>1.0</v>
      </c>
      <c r="AJ91" s="35">
        <v>1.0</v>
      </c>
      <c r="AK91" s="36" t="s">
        <v>133</v>
      </c>
      <c r="AL91" s="40" t="s">
        <v>132</v>
      </c>
      <c r="AM91" s="35" t="s">
        <v>132</v>
      </c>
      <c r="AN91" s="35" t="s">
        <v>132</v>
      </c>
      <c r="AO91" s="35" t="s">
        <v>132</v>
      </c>
      <c r="AP91" s="35" t="s">
        <v>132</v>
      </c>
      <c r="AQ91" s="35" t="s">
        <v>132</v>
      </c>
      <c r="AR91" s="35" t="s">
        <v>132</v>
      </c>
      <c r="AS91" s="35" t="s">
        <v>132</v>
      </c>
      <c r="AT91" s="35" t="s">
        <v>132</v>
      </c>
      <c r="AU91" s="35" t="s">
        <v>132</v>
      </c>
      <c r="AV91" s="35" t="s">
        <v>131</v>
      </c>
      <c r="AW91" s="35" t="s">
        <v>382</v>
      </c>
      <c r="AX91" s="35" t="s">
        <v>132</v>
      </c>
      <c r="AY91" s="36" t="s">
        <v>133</v>
      </c>
      <c r="AZ91" s="36" t="s">
        <v>133</v>
      </c>
      <c r="BA91" s="36" t="s">
        <v>133</v>
      </c>
      <c r="BB91" s="35" t="s">
        <v>135</v>
      </c>
      <c r="BC91" s="39">
        <v>2.0</v>
      </c>
      <c r="BD91" s="40">
        <v>1.0</v>
      </c>
      <c r="BE91" s="35">
        <v>1.0</v>
      </c>
      <c r="BF91" s="35">
        <v>1.0</v>
      </c>
      <c r="BG91" s="35">
        <v>2.0</v>
      </c>
      <c r="BH91" s="35">
        <v>1.0</v>
      </c>
      <c r="BI91" s="44" t="str">
        <f t="shared" si="3"/>
        <v>11121</v>
      </c>
      <c r="BJ91" s="35">
        <v>75.0</v>
      </c>
      <c r="BK91" s="35">
        <v>3.0</v>
      </c>
      <c r="BL91" s="35">
        <v>2.0</v>
      </c>
      <c r="BM91" s="35">
        <v>2.0</v>
      </c>
      <c r="BN91" s="35">
        <v>3.0</v>
      </c>
      <c r="BO91" s="35">
        <v>3.0</v>
      </c>
      <c r="BP91" s="35">
        <v>2.0</v>
      </c>
      <c r="BQ91" s="35">
        <v>2.0</v>
      </c>
      <c r="BR91" s="35">
        <v>2.0</v>
      </c>
      <c r="BS91" s="35">
        <v>3.0</v>
      </c>
      <c r="BT91" s="35">
        <v>2.0</v>
      </c>
      <c r="BU91" s="44">
        <f t="shared" si="4"/>
        <v>3</v>
      </c>
      <c r="BV91" s="44">
        <f t="shared" ref="BV91:BV121" si="137">IF(BT91=1,5,IF(BT91=2,4,IF(BT91=3,3,IF(BT91=4,2,IF(BT91=5,1)))))</f>
        <v>4</v>
      </c>
      <c r="BW91" s="44">
        <f t="shared" ref="BW91:BW121" si="138">SUM(BK91,BL91,BM91,BO91,BP91,BQ91,BR91,BS91,BT91,BV91)</f>
        <v>25</v>
      </c>
      <c r="BX91" s="44" t="str">
        <f t="shared" si="7"/>
        <v>FATIGA</v>
      </c>
      <c r="BY91" s="35">
        <v>0.0</v>
      </c>
      <c r="BZ91" s="35">
        <v>0.0</v>
      </c>
      <c r="CA91" s="35">
        <v>0.0</v>
      </c>
      <c r="CB91" s="35">
        <v>6.0</v>
      </c>
      <c r="CC91" s="35">
        <v>2.0</v>
      </c>
      <c r="CD91" s="35">
        <v>0.0</v>
      </c>
      <c r="CE91" s="35">
        <v>1.0</v>
      </c>
      <c r="CF91" s="35">
        <v>1.0</v>
      </c>
      <c r="CG91" s="35">
        <v>0.0</v>
      </c>
      <c r="CH91" s="35">
        <v>4.0</v>
      </c>
      <c r="CI91" s="35">
        <v>0.0</v>
      </c>
      <c r="CJ91" s="44">
        <f t="shared" si="27"/>
        <v>3078</v>
      </c>
      <c r="CK91" s="44">
        <f t="shared" si="28"/>
        <v>7</v>
      </c>
      <c r="CL91" s="44" t="str">
        <f t="shared" si="29"/>
        <v>Nivel de actividad física alto</v>
      </c>
      <c r="CM91" s="44" t="str">
        <f t="shared" si="30"/>
        <v>Nivel de actividad física moderado</v>
      </c>
      <c r="CN91" s="45" t="str">
        <f t="shared" si="31"/>
        <v>Nivel de actividad física alto</v>
      </c>
      <c r="CO91" s="35">
        <v>23.0</v>
      </c>
      <c r="CP91" s="35">
        <v>5.0</v>
      </c>
      <c r="CQ91" s="44">
        <f t="shared" si="32"/>
        <v>0</v>
      </c>
      <c r="CR91" s="35">
        <v>5.0</v>
      </c>
      <c r="CS91" s="35">
        <v>0.0</v>
      </c>
      <c r="CT91" s="35">
        <v>6.0</v>
      </c>
      <c r="CU91" s="35">
        <v>5.0</v>
      </c>
      <c r="CV91" s="35">
        <v>0.0</v>
      </c>
      <c r="CW91" s="35">
        <v>3.0</v>
      </c>
      <c r="CX91" s="35">
        <v>3.0</v>
      </c>
      <c r="CY91" s="35">
        <v>0.0</v>
      </c>
      <c r="CZ91" s="35">
        <v>0.0</v>
      </c>
      <c r="DA91" s="35">
        <v>0.0</v>
      </c>
      <c r="DB91" s="35">
        <v>0.0</v>
      </c>
      <c r="DC91" s="35">
        <v>0.0</v>
      </c>
      <c r="DD91" s="35">
        <v>2.0</v>
      </c>
      <c r="DE91" s="35">
        <v>0.0</v>
      </c>
      <c r="DF91" s="36" t="s">
        <v>133</v>
      </c>
      <c r="DG91" s="53">
        <f t="shared" si="55"/>
        <v>8</v>
      </c>
      <c r="DH91" s="35">
        <v>1.0</v>
      </c>
      <c r="DI91" s="35">
        <v>0.0</v>
      </c>
      <c r="DJ91" s="35">
        <v>1.0</v>
      </c>
      <c r="DK91" s="35">
        <v>0.0</v>
      </c>
      <c r="DL91" s="46">
        <f t="shared" si="34"/>
        <v>83.33333333</v>
      </c>
      <c r="DM91" s="44">
        <f t="shared" si="35"/>
        <v>2</v>
      </c>
      <c r="DN91" s="44">
        <f t="shared" si="36"/>
        <v>1</v>
      </c>
      <c r="DO91" s="44">
        <f t="shared" si="37"/>
        <v>0</v>
      </c>
      <c r="DP91" s="44">
        <f t="shared" si="38"/>
        <v>1</v>
      </c>
      <c r="DQ91" s="44">
        <f t="shared" si="39"/>
        <v>1</v>
      </c>
      <c r="DR91" s="44">
        <f t="shared" ref="DR91:DS91" si="136">(DH91)</f>
        <v>1</v>
      </c>
      <c r="DS91" s="44">
        <f t="shared" si="136"/>
        <v>0</v>
      </c>
      <c r="DT91" s="44">
        <f t="shared" si="41"/>
        <v>6</v>
      </c>
      <c r="DU91" s="44" t="str">
        <f t="shared" si="42"/>
        <v>poor sleep quality</v>
      </c>
      <c r="DV91" s="35">
        <v>1.0</v>
      </c>
      <c r="DW91" s="35" t="s">
        <v>247</v>
      </c>
      <c r="DX91" s="35" t="s">
        <v>146</v>
      </c>
      <c r="DY91" s="35">
        <v>1.0</v>
      </c>
      <c r="DZ91" s="35" t="s">
        <v>131</v>
      </c>
      <c r="EA91" s="35" t="s">
        <v>202</v>
      </c>
      <c r="EB91" s="35" t="s">
        <v>139</v>
      </c>
      <c r="EC91" s="36" t="s">
        <v>133</v>
      </c>
      <c r="ED91" s="35" t="s">
        <v>132</v>
      </c>
      <c r="EE91" s="35" t="s">
        <v>141</v>
      </c>
      <c r="EF91" s="35">
        <f t="shared" ref="EF91:EF99" si="140">C91-M91</f>
        <v>698</v>
      </c>
      <c r="EG91" s="36" t="s">
        <v>133</v>
      </c>
      <c r="EH91" s="47">
        <f t="shared" si="24"/>
        <v>30.75636776</v>
      </c>
    </row>
    <row r="92" ht="15.75" customHeight="1">
      <c r="A92" s="35" t="s">
        <v>383</v>
      </c>
      <c r="B92" s="36" t="s">
        <v>175</v>
      </c>
      <c r="C92" s="37">
        <v>45201.0</v>
      </c>
      <c r="D92" s="48">
        <v>44.0</v>
      </c>
      <c r="E92" s="35" t="s">
        <v>153</v>
      </c>
      <c r="F92" s="35">
        <v>170.0</v>
      </c>
      <c r="G92" s="39">
        <v>111.0</v>
      </c>
      <c r="H92" s="40" t="s">
        <v>131</v>
      </c>
      <c r="I92" s="35">
        <v>5.0</v>
      </c>
      <c r="J92" s="41">
        <v>44896.0</v>
      </c>
      <c r="K92" s="35" t="s">
        <v>131</v>
      </c>
      <c r="L92" s="35">
        <v>2.0</v>
      </c>
      <c r="M92" s="41">
        <v>43977.0</v>
      </c>
      <c r="N92" s="35">
        <v>0.0</v>
      </c>
      <c r="O92" s="41">
        <v>44470.0</v>
      </c>
      <c r="P92" s="35" t="s">
        <v>131</v>
      </c>
      <c r="Q92" s="56">
        <v>43978.0</v>
      </c>
      <c r="R92" s="56">
        <v>44010.0</v>
      </c>
      <c r="S92" s="35" t="s">
        <v>132</v>
      </c>
      <c r="T92" s="36" t="s">
        <v>133</v>
      </c>
      <c r="U92" s="35" t="s">
        <v>132</v>
      </c>
      <c r="V92" s="36" t="str">
        <f t="shared" si="2"/>
        <v>Internación moderada</v>
      </c>
      <c r="W92" s="35" t="s">
        <v>183</v>
      </c>
      <c r="X92" s="35" t="s">
        <v>132</v>
      </c>
      <c r="Y92" s="35">
        <v>1.0</v>
      </c>
      <c r="Z92" s="35">
        <v>1.0</v>
      </c>
      <c r="AA92" s="35">
        <v>2.0</v>
      </c>
      <c r="AB92" s="35">
        <v>2.0</v>
      </c>
      <c r="AC92" s="35">
        <v>1.0</v>
      </c>
      <c r="AD92" s="35">
        <v>1.0</v>
      </c>
      <c r="AE92" s="35">
        <v>2.0</v>
      </c>
      <c r="AF92" s="35">
        <v>1.0</v>
      </c>
      <c r="AG92" s="35">
        <v>3.0</v>
      </c>
      <c r="AH92" s="35">
        <v>1.0</v>
      </c>
      <c r="AI92" s="35">
        <v>1.0</v>
      </c>
      <c r="AJ92" s="35">
        <v>1.0</v>
      </c>
      <c r="AK92" s="39" t="s">
        <v>384</v>
      </c>
      <c r="AL92" s="40" t="s">
        <v>131</v>
      </c>
      <c r="AM92" s="35" t="s">
        <v>132</v>
      </c>
      <c r="AN92" s="35" t="s">
        <v>132</v>
      </c>
      <c r="AO92" s="35" t="s">
        <v>132</v>
      </c>
      <c r="AP92" s="35" t="s">
        <v>132</v>
      </c>
      <c r="AQ92" s="35" t="s">
        <v>132</v>
      </c>
      <c r="AR92" s="35" t="s">
        <v>132</v>
      </c>
      <c r="AS92" s="35" t="s">
        <v>131</v>
      </c>
      <c r="AT92" s="35" t="s">
        <v>132</v>
      </c>
      <c r="AU92" s="35" t="s">
        <v>132</v>
      </c>
      <c r="AV92" s="35" t="s">
        <v>131</v>
      </c>
      <c r="AW92" s="35" t="s">
        <v>385</v>
      </c>
      <c r="AX92" s="35" t="s">
        <v>165</v>
      </c>
      <c r="AY92" s="36" t="s">
        <v>133</v>
      </c>
      <c r="AZ92" s="36" t="s">
        <v>133</v>
      </c>
      <c r="BA92" s="35">
        <v>6.0</v>
      </c>
      <c r="BB92" s="35" t="s">
        <v>135</v>
      </c>
      <c r="BC92" s="39">
        <v>2.0</v>
      </c>
      <c r="BD92" s="40">
        <v>1.0</v>
      </c>
      <c r="BE92" s="35">
        <v>1.0</v>
      </c>
      <c r="BF92" s="35">
        <v>1.0</v>
      </c>
      <c r="BG92" s="35">
        <v>2.0</v>
      </c>
      <c r="BH92" s="35">
        <v>3.0</v>
      </c>
      <c r="BI92" s="44" t="str">
        <f t="shared" si="3"/>
        <v>11123</v>
      </c>
      <c r="BJ92" s="35">
        <v>50.0</v>
      </c>
      <c r="BK92" s="35">
        <v>3.0</v>
      </c>
      <c r="BL92" s="35">
        <v>3.0</v>
      </c>
      <c r="BM92" s="35">
        <v>5.0</v>
      </c>
      <c r="BN92" s="35">
        <v>3.0</v>
      </c>
      <c r="BO92" s="35">
        <v>4.0</v>
      </c>
      <c r="BP92" s="35">
        <v>4.0</v>
      </c>
      <c r="BQ92" s="35">
        <v>4.0</v>
      </c>
      <c r="BR92" s="35">
        <v>3.0</v>
      </c>
      <c r="BS92" s="35">
        <v>5.0</v>
      </c>
      <c r="BT92" s="35">
        <v>2.0</v>
      </c>
      <c r="BU92" s="44">
        <f t="shared" si="4"/>
        <v>3</v>
      </c>
      <c r="BV92" s="44">
        <f t="shared" si="137"/>
        <v>4</v>
      </c>
      <c r="BW92" s="44">
        <f t="shared" si="138"/>
        <v>37</v>
      </c>
      <c r="BX92" s="44" t="str">
        <f t="shared" si="7"/>
        <v>FATIGA EXTREMA</v>
      </c>
      <c r="BY92" s="35">
        <v>0.0</v>
      </c>
      <c r="BZ92" s="35">
        <v>0.0</v>
      </c>
      <c r="CA92" s="35">
        <v>0.0</v>
      </c>
      <c r="CB92" s="35">
        <v>2.0</v>
      </c>
      <c r="CC92" s="35">
        <v>0.0</v>
      </c>
      <c r="CD92" s="35">
        <v>40.0</v>
      </c>
      <c r="CE92" s="35">
        <v>5.0</v>
      </c>
      <c r="CF92" s="35">
        <v>0.0</v>
      </c>
      <c r="CG92" s="35">
        <v>30.0</v>
      </c>
      <c r="CH92" s="35">
        <v>4.0</v>
      </c>
      <c r="CI92" s="35">
        <v>0.0</v>
      </c>
      <c r="CJ92" s="44">
        <f t="shared" si="27"/>
        <v>815</v>
      </c>
      <c r="CK92" s="44">
        <f t="shared" si="28"/>
        <v>7</v>
      </c>
      <c r="CL92" s="44" t="b">
        <f t="shared" si="29"/>
        <v>0</v>
      </c>
      <c r="CM92" s="44" t="str">
        <f t="shared" si="30"/>
        <v>Nivel de actividad física moderado</v>
      </c>
      <c r="CN92" s="45" t="str">
        <f t="shared" si="31"/>
        <v>Nivel de actividad física moderado</v>
      </c>
      <c r="CO92" s="35">
        <v>1.0</v>
      </c>
      <c r="CP92" s="35">
        <v>120.0</v>
      </c>
      <c r="CQ92" s="44">
        <f t="shared" si="32"/>
        <v>3</v>
      </c>
      <c r="CR92" s="35">
        <v>10.0</v>
      </c>
      <c r="CS92" s="35">
        <v>0.0</v>
      </c>
      <c r="CT92" s="35">
        <v>9.0</v>
      </c>
      <c r="CU92" s="35">
        <v>7.0</v>
      </c>
      <c r="CV92" s="35">
        <v>3.0</v>
      </c>
      <c r="CW92" s="35">
        <v>3.0</v>
      </c>
      <c r="CX92" s="35">
        <v>3.0</v>
      </c>
      <c r="CY92" s="35">
        <v>0.0</v>
      </c>
      <c r="CZ92" s="35">
        <v>0.0</v>
      </c>
      <c r="DA92" s="35">
        <v>3.0</v>
      </c>
      <c r="DB92" s="35">
        <v>3.0</v>
      </c>
      <c r="DC92" s="35">
        <v>3.0</v>
      </c>
      <c r="DD92" s="35">
        <v>3.0</v>
      </c>
      <c r="DE92" s="35">
        <v>3.0</v>
      </c>
      <c r="DF92" s="35" t="s">
        <v>193</v>
      </c>
      <c r="DG92" s="53">
        <f t="shared" si="55"/>
        <v>21</v>
      </c>
      <c r="DH92" s="35">
        <v>2.0</v>
      </c>
      <c r="DI92" s="35">
        <v>0.0</v>
      </c>
      <c r="DJ92" s="35">
        <v>0.0</v>
      </c>
      <c r="DK92" s="35">
        <v>3.0</v>
      </c>
      <c r="DL92" s="46">
        <f t="shared" si="34"/>
        <v>77.77777778</v>
      </c>
      <c r="DM92" s="44">
        <f t="shared" si="35"/>
        <v>0</v>
      </c>
      <c r="DN92" s="44">
        <f t="shared" si="36"/>
        <v>3</v>
      </c>
      <c r="DO92" s="44">
        <f t="shared" si="37"/>
        <v>3</v>
      </c>
      <c r="DP92" s="44">
        <f t="shared" si="38"/>
        <v>2</v>
      </c>
      <c r="DQ92" s="44">
        <f t="shared" si="39"/>
        <v>1</v>
      </c>
      <c r="DR92" s="44">
        <f t="shared" ref="DR92:DS92" si="139">(DH92)</f>
        <v>2</v>
      </c>
      <c r="DS92" s="44">
        <f t="shared" si="139"/>
        <v>0</v>
      </c>
      <c r="DT92" s="44">
        <f t="shared" si="41"/>
        <v>11</v>
      </c>
      <c r="DU92" s="44" t="str">
        <f t="shared" si="42"/>
        <v>poor sleep quality</v>
      </c>
      <c r="DV92" s="35">
        <v>3.0</v>
      </c>
      <c r="DW92" s="35" t="s">
        <v>314</v>
      </c>
      <c r="DX92" s="35" t="s">
        <v>137</v>
      </c>
      <c r="DY92" s="35">
        <v>1.0</v>
      </c>
      <c r="DZ92" s="35" t="s">
        <v>131</v>
      </c>
      <c r="EA92" s="35" t="s">
        <v>157</v>
      </c>
      <c r="EB92" s="35" t="s">
        <v>139</v>
      </c>
      <c r="EC92" s="36" t="s">
        <v>133</v>
      </c>
      <c r="ED92" s="36" t="s">
        <v>133</v>
      </c>
      <c r="EE92" s="35" t="s">
        <v>141</v>
      </c>
      <c r="EF92" s="35">
        <f t="shared" si="140"/>
        <v>1224</v>
      </c>
      <c r="EG92" s="35">
        <f t="shared" ref="EG92:EG93" si="142">C92-O92</f>
        <v>731</v>
      </c>
      <c r="EH92" s="47">
        <f t="shared" si="24"/>
        <v>38.4083045</v>
      </c>
    </row>
    <row r="93" ht="15.75" customHeight="1">
      <c r="A93" s="43" t="s">
        <v>386</v>
      </c>
      <c r="B93" s="36" t="s">
        <v>175</v>
      </c>
      <c r="C93" s="37">
        <v>45208.0</v>
      </c>
      <c r="D93" s="48">
        <v>59.0</v>
      </c>
      <c r="E93" s="35" t="s">
        <v>153</v>
      </c>
      <c r="F93" s="35">
        <v>170.0</v>
      </c>
      <c r="G93" s="39">
        <v>86.0</v>
      </c>
      <c r="H93" s="40" t="s">
        <v>131</v>
      </c>
      <c r="I93" s="35">
        <v>4.0</v>
      </c>
      <c r="J93" s="41">
        <v>44774.0</v>
      </c>
      <c r="K93" s="35" t="s">
        <v>131</v>
      </c>
      <c r="L93" s="35">
        <v>4.0</v>
      </c>
      <c r="M93" s="41">
        <v>43983.0</v>
      </c>
      <c r="N93" s="35">
        <v>0.0</v>
      </c>
      <c r="O93" s="41">
        <v>45078.0</v>
      </c>
      <c r="P93" s="35" t="s">
        <v>131</v>
      </c>
      <c r="Q93" s="60">
        <v>43983.0</v>
      </c>
      <c r="R93" s="36" t="s">
        <v>133</v>
      </c>
      <c r="S93" s="35" t="s">
        <v>132</v>
      </c>
      <c r="T93" s="36" t="s">
        <v>133</v>
      </c>
      <c r="U93" s="35" t="s">
        <v>132</v>
      </c>
      <c r="V93" s="36" t="str">
        <f t="shared" si="2"/>
        <v>Internación moderada</v>
      </c>
      <c r="W93" s="35" t="s">
        <v>190</v>
      </c>
      <c r="X93" s="35" t="s">
        <v>131</v>
      </c>
      <c r="Y93" s="35">
        <v>1.0</v>
      </c>
      <c r="Z93" s="35">
        <v>1.0</v>
      </c>
      <c r="AA93" s="35">
        <v>1.0</v>
      </c>
      <c r="AB93" s="35">
        <v>1.0</v>
      </c>
      <c r="AC93" s="35">
        <v>1.0</v>
      </c>
      <c r="AD93" s="35">
        <v>1.0</v>
      </c>
      <c r="AE93" s="35">
        <v>1.0</v>
      </c>
      <c r="AF93" s="35">
        <v>1.0</v>
      </c>
      <c r="AG93" s="35">
        <v>1.0</v>
      </c>
      <c r="AH93" s="35">
        <v>1.0</v>
      </c>
      <c r="AI93" s="35">
        <v>1.0</v>
      </c>
      <c r="AJ93" s="35">
        <v>1.0</v>
      </c>
      <c r="AK93" s="36" t="s">
        <v>133</v>
      </c>
      <c r="AL93" s="40" t="s">
        <v>132</v>
      </c>
      <c r="AM93" s="35" t="s">
        <v>132</v>
      </c>
      <c r="AN93" s="35" t="s">
        <v>132</v>
      </c>
      <c r="AO93" s="35" t="s">
        <v>132</v>
      </c>
      <c r="AP93" s="35" t="s">
        <v>132</v>
      </c>
      <c r="AQ93" s="35" t="s">
        <v>132</v>
      </c>
      <c r="AR93" s="35" t="s">
        <v>132</v>
      </c>
      <c r="AS93" s="35" t="s">
        <v>132</v>
      </c>
      <c r="AT93" s="35" t="s">
        <v>132</v>
      </c>
      <c r="AU93" s="35" t="s">
        <v>132</v>
      </c>
      <c r="AV93" s="35" t="s">
        <v>132</v>
      </c>
      <c r="AW93" s="36" t="s">
        <v>133</v>
      </c>
      <c r="AX93" s="35" t="s">
        <v>131</v>
      </c>
      <c r="AY93" s="35">
        <v>60.0</v>
      </c>
      <c r="AZ93" s="35">
        <v>30.0</v>
      </c>
      <c r="BA93" s="36" t="s">
        <v>133</v>
      </c>
      <c r="BB93" s="35" t="s">
        <v>135</v>
      </c>
      <c r="BC93" s="39">
        <v>1.0</v>
      </c>
      <c r="BD93" s="40">
        <v>2.0</v>
      </c>
      <c r="BE93" s="35">
        <v>2.0</v>
      </c>
      <c r="BF93" s="35">
        <v>4.0</v>
      </c>
      <c r="BG93" s="35">
        <v>4.0</v>
      </c>
      <c r="BH93" s="35">
        <v>3.0</v>
      </c>
      <c r="BI93" s="44" t="str">
        <f t="shared" si="3"/>
        <v>22443</v>
      </c>
      <c r="BJ93" s="35">
        <v>60.0</v>
      </c>
      <c r="BK93" s="35">
        <v>3.0</v>
      </c>
      <c r="BL93" s="35">
        <v>5.0</v>
      </c>
      <c r="BM93" s="35">
        <v>3.0</v>
      </c>
      <c r="BN93" s="35">
        <v>2.0</v>
      </c>
      <c r="BO93" s="35">
        <v>3.0</v>
      </c>
      <c r="BP93" s="35">
        <v>5.0</v>
      </c>
      <c r="BQ93" s="35">
        <v>5.0</v>
      </c>
      <c r="BR93" s="35">
        <v>2.0</v>
      </c>
      <c r="BS93" s="35">
        <v>5.0</v>
      </c>
      <c r="BT93" s="35">
        <v>2.0</v>
      </c>
      <c r="BU93" s="44">
        <f t="shared" si="4"/>
        <v>4</v>
      </c>
      <c r="BV93" s="44">
        <f t="shared" si="137"/>
        <v>4</v>
      </c>
      <c r="BW93" s="44">
        <f t="shared" si="138"/>
        <v>37</v>
      </c>
      <c r="BX93" s="44" t="str">
        <f t="shared" si="7"/>
        <v>FATIGA EXTREMA</v>
      </c>
      <c r="BY93" s="35">
        <v>0.0</v>
      </c>
      <c r="BZ93" s="35">
        <v>0.0</v>
      </c>
      <c r="CA93" s="35">
        <v>0.0</v>
      </c>
      <c r="CB93" s="35">
        <v>7.0</v>
      </c>
      <c r="CC93" s="35">
        <v>8.0</v>
      </c>
      <c r="CD93" s="35">
        <v>0.0</v>
      </c>
      <c r="CE93" s="35">
        <v>0.0</v>
      </c>
      <c r="CF93" s="35">
        <v>0.0</v>
      </c>
      <c r="CG93" s="35">
        <v>0.0</v>
      </c>
      <c r="CH93" s="35">
        <v>4.0</v>
      </c>
      <c r="CI93" s="35">
        <v>0.0</v>
      </c>
      <c r="CJ93" s="44">
        <f t="shared" si="27"/>
        <v>13440</v>
      </c>
      <c r="CK93" s="44">
        <f t="shared" si="28"/>
        <v>7</v>
      </c>
      <c r="CL93" s="44" t="str">
        <f t="shared" si="29"/>
        <v>Nivel de actividad física alto</v>
      </c>
      <c r="CM93" s="44" t="str">
        <f t="shared" si="30"/>
        <v>Nivel de actividad física moderado</v>
      </c>
      <c r="CN93" s="45" t="str">
        <f t="shared" si="31"/>
        <v>Nivel de actividad física alto</v>
      </c>
      <c r="CO93" s="35">
        <v>21.0</v>
      </c>
      <c r="CP93" s="35">
        <v>120.0</v>
      </c>
      <c r="CQ93" s="44">
        <f t="shared" si="32"/>
        <v>3</v>
      </c>
      <c r="CR93" s="35">
        <v>4.0</v>
      </c>
      <c r="CS93" s="35">
        <v>0.0</v>
      </c>
      <c r="CT93" s="35">
        <v>7.0</v>
      </c>
      <c r="CU93" s="35">
        <v>3.0</v>
      </c>
      <c r="CV93" s="35">
        <v>3.0</v>
      </c>
      <c r="CW93" s="35">
        <v>3.0</v>
      </c>
      <c r="CX93" s="35">
        <v>3.0</v>
      </c>
      <c r="CY93" s="35">
        <v>3.0</v>
      </c>
      <c r="CZ93" s="35">
        <v>3.0</v>
      </c>
      <c r="DA93" s="35">
        <v>3.0</v>
      </c>
      <c r="DB93" s="35">
        <v>0.0</v>
      </c>
      <c r="DC93" s="35">
        <v>0.0</v>
      </c>
      <c r="DD93" s="35">
        <v>3.0</v>
      </c>
      <c r="DE93" s="35">
        <v>3.0</v>
      </c>
      <c r="DF93" s="35" t="s">
        <v>193</v>
      </c>
      <c r="DG93" s="53">
        <f t="shared" si="55"/>
        <v>21</v>
      </c>
      <c r="DH93" s="35">
        <v>2.0</v>
      </c>
      <c r="DI93" s="35">
        <v>3.0</v>
      </c>
      <c r="DJ93" s="35">
        <v>3.0</v>
      </c>
      <c r="DK93" s="35">
        <v>2.0</v>
      </c>
      <c r="DL93" s="46">
        <f t="shared" si="34"/>
        <v>42.85714286</v>
      </c>
      <c r="DM93" s="44">
        <f t="shared" si="35"/>
        <v>3</v>
      </c>
      <c r="DN93" s="44">
        <f t="shared" si="36"/>
        <v>3</v>
      </c>
      <c r="DO93" s="44">
        <f t="shared" si="37"/>
        <v>3</v>
      </c>
      <c r="DP93" s="44">
        <f t="shared" si="38"/>
        <v>3</v>
      </c>
      <c r="DQ93" s="44">
        <f t="shared" si="39"/>
        <v>3</v>
      </c>
      <c r="DR93" s="44">
        <f t="shared" ref="DR93:DS93" si="141">(DH93)</f>
        <v>2</v>
      </c>
      <c r="DS93" s="44">
        <f t="shared" si="141"/>
        <v>3</v>
      </c>
      <c r="DT93" s="44">
        <f t="shared" si="41"/>
        <v>20</v>
      </c>
      <c r="DU93" s="44" t="str">
        <f t="shared" si="42"/>
        <v>poor sleep quality</v>
      </c>
      <c r="DV93" s="35">
        <v>3.0</v>
      </c>
      <c r="DW93" s="35" t="s">
        <v>149</v>
      </c>
      <c r="DX93" s="35" t="s">
        <v>137</v>
      </c>
      <c r="DY93" s="35">
        <v>1.0</v>
      </c>
      <c r="DZ93" s="35" t="s">
        <v>131</v>
      </c>
      <c r="EA93" s="35" t="s">
        <v>150</v>
      </c>
      <c r="EB93" s="35" t="s">
        <v>323</v>
      </c>
      <c r="EC93" s="36" t="s">
        <v>133</v>
      </c>
      <c r="ED93" s="36" t="s">
        <v>133</v>
      </c>
      <c r="EE93" s="35" t="s">
        <v>158</v>
      </c>
      <c r="EF93" s="35">
        <f t="shared" si="140"/>
        <v>1225</v>
      </c>
      <c r="EG93" s="35">
        <f t="shared" si="142"/>
        <v>130</v>
      </c>
      <c r="EH93" s="47">
        <f t="shared" si="24"/>
        <v>29.75778547</v>
      </c>
    </row>
    <row r="94" ht="15.75" customHeight="1">
      <c r="A94" s="35" t="s">
        <v>387</v>
      </c>
      <c r="B94" s="36" t="s">
        <v>175</v>
      </c>
      <c r="C94" s="37">
        <v>45178.0</v>
      </c>
      <c r="D94" s="48">
        <v>45.0</v>
      </c>
      <c r="E94" s="35" t="s">
        <v>130</v>
      </c>
      <c r="F94" s="35">
        <v>170.0</v>
      </c>
      <c r="G94" s="61">
        <v>134.0</v>
      </c>
      <c r="H94" s="40" t="s">
        <v>131</v>
      </c>
      <c r="I94" s="35">
        <v>2.0</v>
      </c>
      <c r="J94" s="42" t="s">
        <v>133</v>
      </c>
      <c r="K94" s="35" t="s">
        <v>131</v>
      </c>
      <c r="L94" s="35">
        <v>4.0</v>
      </c>
      <c r="M94" s="41">
        <v>44197.0</v>
      </c>
      <c r="N94" s="35">
        <v>1.0</v>
      </c>
      <c r="O94" s="42" t="s">
        <v>133</v>
      </c>
      <c r="P94" s="35" t="s">
        <v>132</v>
      </c>
      <c r="Q94" s="36" t="s">
        <v>133</v>
      </c>
      <c r="R94" s="36" t="s">
        <v>133</v>
      </c>
      <c r="S94" s="36" t="s">
        <v>133</v>
      </c>
      <c r="T94" s="36" t="s">
        <v>133</v>
      </c>
      <c r="U94" s="36" t="s">
        <v>133</v>
      </c>
      <c r="V94" s="36" t="str">
        <f t="shared" si="2"/>
        <v>Paciente ambulatorio</v>
      </c>
      <c r="W94" s="35" t="s">
        <v>176</v>
      </c>
      <c r="X94" s="35" t="s">
        <v>132</v>
      </c>
      <c r="Y94" s="35">
        <v>1.0</v>
      </c>
      <c r="Z94" s="35">
        <v>1.0</v>
      </c>
      <c r="AA94" s="35">
        <v>2.0</v>
      </c>
      <c r="AB94" s="35">
        <v>3.0</v>
      </c>
      <c r="AC94" s="35">
        <v>1.0</v>
      </c>
      <c r="AD94" s="35">
        <v>2.0</v>
      </c>
      <c r="AE94" s="35">
        <v>1.0</v>
      </c>
      <c r="AF94" s="35">
        <v>1.0</v>
      </c>
      <c r="AG94" s="35">
        <v>1.0</v>
      </c>
      <c r="AH94" s="35">
        <v>1.0</v>
      </c>
      <c r="AI94" s="35">
        <v>1.0</v>
      </c>
      <c r="AJ94" s="35">
        <v>1.0</v>
      </c>
      <c r="AK94" s="39" t="s">
        <v>388</v>
      </c>
      <c r="AL94" s="40" t="s">
        <v>132</v>
      </c>
      <c r="AM94" s="35" t="s">
        <v>131</v>
      </c>
      <c r="AN94" s="35" t="s">
        <v>132</v>
      </c>
      <c r="AO94" s="35" t="s">
        <v>131</v>
      </c>
      <c r="AP94" s="35" t="s">
        <v>132</v>
      </c>
      <c r="AQ94" s="35" t="s">
        <v>132</v>
      </c>
      <c r="AR94" s="35" t="s">
        <v>132</v>
      </c>
      <c r="AS94" s="35" t="s">
        <v>132</v>
      </c>
      <c r="AT94" s="35" t="s">
        <v>132</v>
      </c>
      <c r="AU94" s="35" t="s">
        <v>132</v>
      </c>
      <c r="AV94" s="35" t="s">
        <v>132</v>
      </c>
      <c r="AW94" s="36" t="s">
        <v>133</v>
      </c>
      <c r="AX94" s="35" t="s">
        <v>131</v>
      </c>
      <c r="AY94" s="35">
        <v>6.0</v>
      </c>
      <c r="AZ94" s="35">
        <v>15.0</v>
      </c>
      <c r="BA94" s="36" t="s">
        <v>133</v>
      </c>
      <c r="BB94" s="35" t="s">
        <v>145</v>
      </c>
      <c r="BC94" s="36" t="s">
        <v>133</v>
      </c>
      <c r="BD94" s="40">
        <v>1.0</v>
      </c>
      <c r="BE94" s="35">
        <v>1.0</v>
      </c>
      <c r="BF94" s="35">
        <v>2.0</v>
      </c>
      <c r="BG94" s="35">
        <v>2.0</v>
      </c>
      <c r="BH94" s="35">
        <v>3.0</v>
      </c>
      <c r="BI94" s="44" t="str">
        <f t="shared" si="3"/>
        <v>11223</v>
      </c>
      <c r="BJ94" s="35">
        <v>50.0</v>
      </c>
      <c r="BK94" s="35">
        <v>3.0</v>
      </c>
      <c r="BL94" s="35">
        <v>5.0</v>
      </c>
      <c r="BM94" s="35">
        <v>4.0</v>
      </c>
      <c r="BN94" s="35">
        <v>2.0</v>
      </c>
      <c r="BO94" s="35">
        <v>4.0</v>
      </c>
      <c r="BP94" s="35">
        <v>4.0</v>
      </c>
      <c r="BQ94" s="35">
        <v>5.0</v>
      </c>
      <c r="BR94" s="35">
        <v>3.0</v>
      </c>
      <c r="BS94" s="35">
        <v>5.0</v>
      </c>
      <c r="BT94" s="35">
        <v>2.0</v>
      </c>
      <c r="BU94" s="44">
        <f t="shared" si="4"/>
        <v>4</v>
      </c>
      <c r="BV94" s="44">
        <f t="shared" si="137"/>
        <v>4</v>
      </c>
      <c r="BW94" s="44">
        <f t="shared" si="138"/>
        <v>39</v>
      </c>
      <c r="BX94" s="44" t="str">
        <f t="shared" si="7"/>
        <v>FATIGA EXTREMA</v>
      </c>
      <c r="BY94" s="35">
        <v>0.0</v>
      </c>
      <c r="BZ94" s="35">
        <v>0.0</v>
      </c>
      <c r="CA94" s="35">
        <v>0.0</v>
      </c>
      <c r="CB94" s="35">
        <v>0.0</v>
      </c>
      <c r="CC94" s="35">
        <v>0.0</v>
      </c>
      <c r="CD94" s="35">
        <v>0.0</v>
      </c>
      <c r="CE94" s="35">
        <v>3.0</v>
      </c>
      <c r="CF94" s="35">
        <v>0.0</v>
      </c>
      <c r="CG94" s="35">
        <v>20.0</v>
      </c>
      <c r="CH94" s="35">
        <v>9.0</v>
      </c>
      <c r="CI94" s="35">
        <v>0.0</v>
      </c>
      <c r="CJ94" s="44">
        <f t="shared" si="27"/>
        <v>198</v>
      </c>
      <c r="CK94" s="44">
        <f t="shared" si="28"/>
        <v>3</v>
      </c>
      <c r="CL94" s="44" t="b">
        <f t="shared" si="29"/>
        <v>0</v>
      </c>
      <c r="CM94" s="44" t="b">
        <f t="shared" si="30"/>
        <v>0</v>
      </c>
      <c r="CN94" s="45" t="str">
        <f t="shared" si="31"/>
        <v>Nivel de actividad física bajo</v>
      </c>
      <c r="CO94" s="35">
        <v>23.5</v>
      </c>
      <c r="CP94" s="35">
        <v>150.0</v>
      </c>
      <c r="CQ94" s="44">
        <f t="shared" si="32"/>
        <v>3</v>
      </c>
      <c r="CR94" s="35">
        <v>9.0</v>
      </c>
      <c r="CS94" s="35">
        <v>0.0</v>
      </c>
      <c r="CT94" s="35">
        <v>9.5</v>
      </c>
      <c r="CU94" s="35">
        <v>5.0</v>
      </c>
      <c r="CV94" s="35">
        <v>3.0</v>
      </c>
      <c r="CW94" s="35">
        <v>3.0</v>
      </c>
      <c r="CX94" s="35">
        <v>3.0</v>
      </c>
      <c r="CY94" s="35">
        <v>0.0</v>
      </c>
      <c r="CZ94" s="35">
        <v>0.0</v>
      </c>
      <c r="DA94" s="35">
        <v>2.0</v>
      </c>
      <c r="DB94" s="35">
        <v>1.0</v>
      </c>
      <c r="DC94" s="35">
        <v>0.0</v>
      </c>
      <c r="DD94" s="35">
        <v>0.0</v>
      </c>
      <c r="DE94" s="35">
        <v>3.0</v>
      </c>
      <c r="DF94" s="35" t="s">
        <v>304</v>
      </c>
      <c r="DG94" s="53">
        <f t="shared" si="55"/>
        <v>12</v>
      </c>
      <c r="DH94" s="35">
        <v>3.0</v>
      </c>
      <c r="DI94" s="35">
        <v>0.0</v>
      </c>
      <c r="DJ94" s="35">
        <v>3.0</v>
      </c>
      <c r="DK94" s="35">
        <v>3.0</v>
      </c>
      <c r="DL94" s="46">
        <f t="shared" si="34"/>
        <v>52.63157895</v>
      </c>
      <c r="DM94" s="44">
        <f t="shared" si="35"/>
        <v>2</v>
      </c>
      <c r="DN94" s="44">
        <f t="shared" si="36"/>
        <v>2</v>
      </c>
      <c r="DO94" s="44">
        <f t="shared" si="37"/>
        <v>3</v>
      </c>
      <c r="DP94" s="44">
        <f t="shared" si="38"/>
        <v>3</v>
      </c>
      <c r="DQ94" s="44">
        <f t="shared" si="39"/>
        <v>3</v>
      </c>
      <c r="DR94" s="44">
        <f t="shared" ref="DR94:DS94" si="143">(DH94)</f>
        <v>3</v>
      </c>
      <c r="DS94" s="44">
        <f t="shared" si="143"/>
        <v>0</v>
      </c>
      <c r="DT94" s="44">
        <f t="shared" si="41"/>
        <v>16</v>
      </c>
      <c r="DU94" s="44" t="str">
        <f t="shared" si="42"/>
        <v>poor sleep quality</v>
      </c>
      <c r="DV94" s="35">
        <v>1.0</v>
      </c>
      <c r="DW94" s="35" t="s">
        <v>314</v>
      </c>
      <c r="DX94" s="35" t="s">
        <v>146</v>
      </c>
      <c r="DY94" s="35">
        <v>2.0</v>
      </c>
      <c r="DZ94" s="35" t="s">
        <v>131</v>
      </c>
      <c r="EA94" s="35" t="s">
        <v>167</v>
      </c>
      <c r="EB94" s="35" t="s">
        <v>139</v>
      </c>
      <c r="EC94" s="36" t="s">
        <v>133</v>
      </c>
      <c r="ED94" s="35" t="s">
        <v>131</v>
      </c>
      <c r="EE94" s="35" t="s">
        <v>151</v>
      </c>
      <c r="EF94" s="35">
        <f t="shared" si="140"/>
        <v>981</v>
      </c>
      <c r="EG94" s="36" t="s">
        <v>133</v>
      </c>
      <c r="EH94" s="47">
        <f t="shared" si="24"/>
        <v>46.36678201</v>
      </c>
    </row>
    <row r="95" ht="15.75" customHeight="1">
      <c r="A95" s="43" t="s">
        <v>389</v>
      </c>
      <c r="B95" s="36" t="s">
        <v>175</v>
      </c>
      <c r="C95" s="37">
        <v>45208.0</v>
      </c>
      <c r="D95" s="48">
        <v>64.0</v>
      </c>
      <c r="E95" s="35" t="s">
        <v>130</v>
      </c>
      <c r="F95" s="35">
        <v>163.0</v>
      </c>
      <c r="G95" s="39">
        <v>73.0</v>
      </c>
      <c r="H95" s="40" t="s">
        <v>131</v>
      </c>
      <c r="I95" s="35">
        <v>5.0</v>
      </c>
      <c r="J95" s="42" t="s">
        <v>133</v>
      </c>
      <c r="K95" s="35" t="s">
        <v>131</v>
      </c>
      <c r="L95" s="35">
        <v>2.0</v>
      </c>
      <c r="M95" s="41">
        <v>43862.0</v>
      </c>
      <c r="N95" s="35">
        <v>0.0</v>
      </c>
      <c r="O95" s="41">
        <v>45108.0</v>
      </c>
      <c r="P95" s="35" t="s">
        <v>132</v>
      </c>
      <c r="Q95" s="36" t="s">
        <v>133</v>
      </c>
      <c r="R95" s="36" t="s">
        <v>133</v>
      </c>
      <c r="S95" s="36" t="s">
        <v>133</v>
      </c>
      <c r="T95" s="36" t="s">
        <v>133</v>
      </c>
      <c r="U95" s="36" t="s">
        <v>133</v>
      </c>
      <c r="V95" s="36" t="str">
        <f t="shared" si="2"/>
        <v>Paciente ambulatorio</v>
      </c>
      <c r="W95" s="35" t="s">
        <v>143</v>
      </c>
      <c r="X95" s="35" t="s">
        <v>132</v>
      </c>
      <c r="Y95" s="35">
        <v>2.0</v>
      </c>
      <c r="Z95" s="35">
        <v>1.0</v>
      </c>
      <c r="AA95" s="35">
        <v>3.0</v>
      </c>
      <c r="AB95" s="35">
        <v>3.0</v>
      </c>
      <c r="AC95" s="35">
        <v>2.0</v>
      </c>
      <c r="AD95" s="35">
        <v>3.0</v>
      </c>
      <c r="AE95" s="35">
        <v>2.0</v>
      </c>
      <c r="AF95" s="35">
        <v>1.0</v>
      </c>
      <c r="AG95" s="35">
        <v>1.0</v>
      </c>
      <c r="AH95" s="35">
        <v>1.0</v>
      </c>
      <c r="AI95" s="35">
        <v>1.0</v>
      </c>
      <c r="AJ95" s="35">
        <v>1.0</v>
      </c>
      <c r="AK95" s="36" t="s">
        <v>133</v>
      </c>
      <c r="AL95" s="40" t="s">
        <v>131</v>
      </c>
      <c r="AM95" s="35" t="s">
        <v>132</v>
      </c>
      <c r="AN95" s="35" t="s">
        <v>132</v>
      </c>
      <c r="AO95" s="35" t="s">
        <v>132</v>
      </c>
      <c r="AP95" s="35" t="s">
        <v>132</v>
      </c>
      <c r="AQ95" s="35" t="s">
        <v>132</v>
      </c>
      <c r="AR95" s="35" t="s">
        <v>132</v>
      </c>
      <c r="AS95" s="35" t="s">
        <v>131</v>
      </c>
      <c r="AT95" s="35" t="s">
        <v>131</v>
      </c>
      <c r="AU95" s="35" t="s">
        <v>132</v>
      </c>
      <c r="AV95" s="35" t="s">
        <v>132</v>
      </c>
      <c r="AW95" s="36" t="s">
        <v>133</v>
      </c>
      <c r="AX95" s="35" t="s">
        <v>165</v>
      </c>
      <c r="AY95" s="36" t="s">
        <v>133</v>
      </c>
      <c r="AZ95" s="36" t="s">
        <v>133</v>
      </c>
      <c r="BA95" s="35">
        <v>20.0</v>
      </c>
      <c r="BB95" s="35" t="s">
        <v>145</v>
      </c>
      <c r="BC95" s="36" t="s">
        <v>133</v>
      </c>
      <c r="BD95" s="40">
        <v>2.0</v>
      </c>
      <c r="BE95" s="35">
        <v>1.0</v>
      </c>
      <c r="BF95" s="35">
        <v>1.0</v>
      </c>
      <c r="BG95" s="35">
        <v>1.0</v>
      </c>
      <c r="BH95" s="35">
        <v>2.0</v>
      </c>
      <c r="BI95" s="44" t="str">
        <f t="shared" si="3"/>
        <v>21112</v>
      </c>
      <c r="BJ95" s="35">
        <v>95.0</v>
      </c>
      <c r="BK95" s="35">
        <v>3.0</v>
      </c>
      <c r="BL95" s="35">
        <v>5.0</v>
      </c>
      <c r="BM95" s="35">
        <v>3.0</v>
      </c>
      <c r="BN95" s="35">
        <v>4.0</v>
      </c>
      <c r="BO95" s="35">
        <v>1.0</v>
      </c>
      <c r="BP95" s="35">
        <v>5.0</v>
      </c>
      <c r="BQ95" s="35">
        <v>2.0</v>
      </c>
      <c r="BR95" s="36" t="s">
        <v>133</v>
      </c>
      <c r="BS95" s="35">
        <v>2.0</v>
      </c>
      <c r="BT95" s="35">
        <v>2.0</v>
      </c>
      <c r="BU95" s="44">
        <f t="shared" si="4"/>
        <v>2</v>
      </c>
      <c r="BV95" s="44">
        <f t="shared" si="137"/>
        <v>4</v>
      </c>
      <c r="BW95" s="44">
        <f t="shared" si="138"/>
        <v>27</v>
      </c>
      <c r="BX95" s="44" t="str">
        <f t="shared" si="7"/>
        <v>FATIGA</v>
      </c>
      <c r="BY95" s="35">
        <v>1.0</v>
      </c>
      <c r="BZ95" s="35">
        <v>1.0</v>
      </c>
      <c r="CA95" s="35">
        <v>0.0</v>
      </c>
      <c r="CB95" s="35">
        <v>2.0</v>
      </c>
      <c r="CC95" s="35">
        <v>1.0</v>
      </c>
      <c r="CD95" s="35">
        <v>0.0</v>
      </c>
      <c r="CE95" s="35">
        <v>2.0</v>
      </c>
      <c r="CF95" s="35">
        <v>2.0</v>
      </c>
      <c r="CG95" s="35">
        <v>0.0</v>
      </c>
      <c r="CH95" s="35">
        <v>8.0</v>
      </c>
      <c r="CI95" s="35">
        <v>0.0</v>
      </c>
      <c r="CJ95" s="44">
        <f t="shared" si="27"/>
        <v>1752</v>
      </c>
      <c r="CK95" s="44">
        <f t="shared" si="28"/>
        <v>5</v>
      </c>
      <c r="CL95" s="44" t="b">
        <f t="shared" si="29"/>
        <v>0</v>
      </c>
      <c r="CM95" s="44" t="b">
        <f t="shared" si="30"/>
        <v>0</v>
      </c>
      <c r="CN95" s="45" t="str">
        <f t="shared" si="31"/>
        <v>Nivel de actividad física bajo</v>
      </c>
      <c r="CO95" s="35">
        <v>23.0</v>
      </c>
      <c r="CP95" s="35">
        <v>30.0</v>
      </c>
      <c r="CQ95" s="44">
        <f t="shared" si="32"/>
        <v>1</v>
      </c>
      <c r="CR95" s="35">
        <v>10.0</v>
      </c>
      <c r="CS95" s="35">
        <v>0.0</v>
      </c>
      <c r="CT95" s="35">
        <v>10.5</v>
      </c>
      <c r="CU95" s="35">
        <v>9.0</v>
      </c>
      <c r="CV95" s="35">
        <v>1.0</v>
      </c>
      <c r="CW95" s="35">
        <v>3.0</v>
      </c>
      <c r="CX95" s="35">
        <v>3.0</v>
      </c>
      <c r="CY95" s="35">
        <v>0.0</v>
      </c>
      <c r="CZ95" s="35">
        <v>1.0</v>
      </c>
      <c r="DA95" s="35">
        <v>3.0</v>
      </c>
      <c r="DB95" s="35">
        <v>3.0</v>
      </c>
      <c r="DC95" s="35">
        <v>3.0</v>
      </c>
      <c r="DD95" s="35">
        <v>0.0</v>
      </c>
      <c r="DE95" s="36" t="s">
        <v>133</v>
      </c>
      <c r="DF95" s="36" t="s">
        <v>133</v>
      </c>
      <c r="DG95" s="53">
        <f t="shared" si="55"/>
        <v>16</v>
      </c>
      <c r="DH95" s="35">
        <v>1.0</v>
      </c>
      <c r="DI95" s="35">
        <v>0.0</v>
      </c>
      <c r="DJ95" s="35">
        <v>0.0</v>
      </c>
      <c r="DK95" s="35">
        <v>1.0</v>
      </c>
      <c r="DL95" s="46">
        <f t="shared" si="34"/>
        <v>85.71428571</v>
      </c>
      <c r="DM95" s="44">
        <f t="shared" si="35"/>
        <v>0</v>
      </c>
      <c r="DN95" s="44">
        <f t="shared" si="36"/>
        <v>2</v>
      </c>
      <c r="DO95" s="44">
        <f t="shared" si="37"/>
        <v>1</v>
      </c>
      <c r="DP95" s="44">
        <f t="shared" si="38"/>
        <v>1</v>
      </c>
      <c r="DQ95" s="44">
        <f t="shared" si="39"/>
        <v>0</v>
      </c>
      <c r="DR95" s="44">
        <f t="shared" ref="DR95:DS95" si="144">(DH95)</f>
        <v>1</v>
      </c>
      <c r="DS95" s="44">
        <f t="shared" si="144"/>
        <v>0</v>
      </c>
      <c r="DT95" s="44">
        <f t="shared" si="41"/>
        <v>5</v>
      </c>
      <c r="DU95" s="44" t="str">
        <f t="shared" si="42"/>
        <v>good sleep quality</v>
      </c>
      <c r="DV95" s="35">
        <v>0.0</v>
      </c>
      <c r="DW95" s="36" t="s">
        <v>133</v>
      </c>
      <c r="DX95" s="35" t="s">
        <v>146</v>
      </c>
      <c r="DY95" s="35">
        <v>1.0</v>
      </c>
      <c r="DZ95" s="35" t="s">
        <v>131</v>
      </c>
      <c r="EA95" s="35" t="s">
        <v>157</v>
      </c>
      <c r="EB95" s="35" t="s">
        <v>261</v>
      </c>
      <c r="EC95" s="35" t="s">
        <v>131</v>
      </c>
      <c r="ED95" s="35" t="s">
        <v>131</v>
      </c>
      <c r="EE95" s="35" t="s">
        <v>141</v>
      </c>
      <c r="EF95" s="35">
        <f t="shared" si="140"/>
        <v>1346</v>
      </c>
      <c r="EG95" s="35">
        <f t="shared" ref="EG95:EG98" si="146">C95-O95</f>
        <v>100</v>
      </c>
      <c r="EH95" s="47">
        <f t="shared" si="24"/>
        <v>27.47562949</v>
      </c>
    </row>
    <row r="96" ht="15.75" customHeight="1">
      <c r="A96" s="43" t="s">
        <v>390</v>
      </c>
      <c r="B96" s="36" t="s">
        <v>175</v>
      </c>
      <c r="C96" s="37">
        <v>45199.0</v>
      </c>
      <c r="D96" s="48">
        <v>42.0</v>
      </c>
      <c r="E96" s="35" t="s">
        <v>130</v>
      </c>
      <c r="F96" s="35">
        <v>159.0</v>
      </c>
      <c r="G96" s="39">
        <v>67.0</v>
      </c>
      <c r="H96" s="40" t="s">
        <v>131</v>
      </c>
      <c r="I96" s="35">
        <v>3.0</v>
      </c>
      <c r="J96" s="55">
        <v>44621.0</v>
      </c>
      <c r="K96" s="35" t="s">
        <v>131</v>
      </c>
      <c r="L96" s="35">
        <v>1.0</v>
      </c>
      <c r="M96" s="41">
        <v>44531.0</v>
      </c>
      <c r="N96" s="35">
        <v>2.0</v>
      </c>
      <c r="O96" s="41">
        <v>44531.0</v>
      </c>
      <c r="P96" s="35" t="s">
        <v>132</v>
      </c>
      <c r="Q96" s="36" t="s">
        <v>133</v>
      </c>
      <c r="R96" s="36" t="s">
        <v>133</v>
      </c>
      <c r="S96" s="36" t="s">
        <v>133</v>
      </c>
      <c r="T96" s="36" t="s">
        <v>133</v>
      </c>
      <c r="U96" s="36" t="s">
        <v>133</v>
      </c>
      <c r="V96" s="36" t="str">
        <f t="shared" si="2"/>
        <v>Paciente ambulatorio</v>
      </c>
      <c r="W96" s="35" t="s">
        <v>176</v>
      </c>
      <c r="X96" s="35" t="s">
        <v>132</v>
      </c>
      <c r="Y96" s="35">
        <v>2.0</v>
      </c>
      <c r="Z96" s="35">
        <v>1.0</v>
      </c>
      <c r="AA96" s="35">
        <v>3.0</v>
      </c>
      <c r="AB96" s="35">
        <v>3.0</v>
      </c>
      <c r="AC96" s="35">
        <v>2.0</v>
      </c>
      <c r="AD96" s="35">
        <v>3.0</v>
      </c>
      <c r="AE96" s="35">
        <v>3.0</v>
      </c>
      <c r="AF96" s="35">
        <v>1.0</v>
      </c>
      <c r="AG96" s="35">
        <v>3.0</v>
      </c>
      <c r="AH96" s="35">
        <v>3.0</v>
      </c>
      <c r="AI96" s="35">
        <v>1.0</v>
      </c>
      <c r="AJ96" s="35">
        <v>1.0</v>
      </c>
      <c r="AK96" s="39" t="s">
        <v>391</v>
      </c>
      <c r="AL96" s="40" t="s">
        <v>132</v>
      </c>
      <c r="AM96" s="35" t="s">
        <v>132</v>
      </c>
      <c r="AN96" s="35" t="s">
        <v>132</v>
      </c>
      <c r="AO96" s="35" t="s">
        <v>131</v>
      </c>
      <c r="AP96" s="35" t="s">
        <v>132</v>
      </c>
      <c r="AQ96" s="35" t="s">
        <v>132</v>
      </c>
      <c r="AR96" s="35" t="s">
        <v>132</v>
      </c>
      <c r="AS96" s="35" t="s">
        <v>132</v>
      </c>
      <c r="AT96" s="35" t="s">
        <v>132</v>
      </c>
      <c r="AU96" s="35" t="s">
        <v>132</v>
      </c>
      <c r="AV96" s="35" t="s">
        <v>131</v>
      </c>
      <c r="AW96" s="35" t="s">
        <v>392</v>
      </c>
      <c r="AX96" s="35" t="s">
        <v>132</v>
      </c>
      <c r="AY96" s="36" t="s">
        <v>133</v>
      </c>
      <c r="AZ96" s="36" t="s">
        <v>133</v>
      </c>
      <c r="BA96" s="36" t="s">
        <v>133</v>
      </c>
      <c r="BB96" s="35" t="s">
        <v>135</v>
      </c>
      <c r="BC96" s="39">
        <v>2.0</v>
      </c>
      <c r="BD96" s="40">
        <v>1.0</v>
      </c>
      <c r="BE96" s="35">
        <v>1.0</v>
      </c>
      <c r="BF96" s="35">
        <v>1.0</v>
      </c>
      <c r="BG96" s="35">
        <v>1.0</v>
      </c>
      <c r="BH96" s="35">
        <v>3.0</v>
      </c>
      <c r="BI96" s="44" t="str">
        <f t="shared" si="3"/>
        <v>11113</v>
      </c>
      <c r="BJ96" s="35">
        <v>90.0</v>
      </c>
      <c r="BK96" s="35">
        <v>3.0</v>
      </c>
      <c r="BL96" s="35">
        <v>2.0</v>
      </c>
      <c r="BM96" s="35">
        <v>2.0</v>
      </c>
      <c r="BN96" s="35">
        <v>4.0</v>
      </c>
      <c r="BO96" s="35">
        <v>3.0</v>
      </c>
      <c r="BP96" s="35">
        <v>5.0</v>
      </c>
      <c r="BQ96" s="35">
        <v>4.0</v>
      </c>
      <c r="BR96" s="35">
        <v>2.0</v>
      </c>
      <c r="BS96" s="35">
        <v>4.0</v>
      </c>
      <c r="BT96" s="35">
        <v>2.0</v>
      </c>
      <c r="BU96" s="44">
        <f t="shared" si="4"/>
        <v>2</v>
      </c>
      <c r="BV96" s="44">
        <f t="shared" si="137"/>
        <v>4</v>
      </c>
      <c r="BW96" s="44">
        <f t="shared" si="138"/>
        <v>31</v>
      </c>
      <c r="BX96" s="44" t="str">
        <f t="shared" si="7"/>
        <v>FATIGA</v>
      </c>
      <c r="BY96" s="35">
        <v>2.0</v>
      </c>
      <c r="BZ96" s="35">
        <v>1.0</v>
      </c>
      <c r="CA96" s="35">
        <v>30.0</v>
      </c>
      <c r="CB96" s="35">
        <v>3.0</v>
      </c>
      <c r="CC96" s="35">
        <v>0.0</v>
      </c>
      <c r="CD96" s="35">
        <v>40.0</v>
      </c>
      <c r="CE96" s="35">
        <v>0.0</v>
      </c>
      <c r="CF96" s="35">
        <v>0.0</v>
      </c>
      <c r="CG96" s="35">
        <v>0.0</v>
      </c>
      <c r="CH96" s="35">
        <v>3.0</v>
      </c>
      <c r="CI96" s="35">
        <v>0.0</v>
      </c>
      <c r="CJ96" s="44">
        <f t="shared" si="27"/>
        <v>1920</v>
      </c>
      <c r="CK96" s="44">
        <f t="shared" si="28"/>
        <v>5</v>
      </c>
      <c r="CL96" s="44" t="b">
        <f t="shared" si="29"/>
        <v>0</v>
      </c>
      <c r="CM96" s="44" t="b">
        <f t="shared" si="30"/>
        <v>0</v>
      </c>
      <c r="CN96" s="45" t="str">
        <f t="shared" si="31"/>
        <v>Nivel de actividad física bajo</v>
      </c>
      <c r="CO96" s="35">
        <v>0.0</v>
      </c>
      <c r="CP96" s="35">
        <v>10.0</v>
      </c>
      <c r="CQ96" s="44">
        <f t="shared" si="32"/>
        <v>0</v>
      </c>
      <c r="CR96" s="35">
        <v>6.0</v>
      </c>
      <c r="CS96" s="35">
        <v>30.0</v>
      </c>
      <c r="CT96" s="35">
        <v>6.5</v>
      </c>
      <c r="CU96" s="35">
        <v>6.0</v>
      </c>
      <c r="CV96" s="35">
        <v>0.0</v>
      </c>
      <c r="CW96" s="35">
        <v>3.0</v>
      </c>
      <c r="CX96" s="35">
        <v>0.0</v>
      </c>
      <c r="CY96" s="35">
        <v>3.0</v>
      </c>
      <c r="CZ96" s="35">
        <v>3.0</v>
      </c>
      <c r="DA96" s="35">
        <v>0.0</v>
      </c>
      <c r="DB96" s="35">
        <v>0.0</v>
      </c>
      <c r="DC96" s="35">
        <v>0.0</v>
      </c>
      <c r="DD96" s="35">
        <v>0.0</v>
      </c>
      <c r="DE96" s="35">
        <v>3.0</v>
      </c>
      <c r="DF96" s="35" t="s">
        <v>393</v>
      </c>
      <c r="DG96" s="53">
        <f t="shared" si="55"/>
        <v>12</v>
      </c>
      <c r="DH96" s="35">
        <v>1.0</v>
      </c>
      <c r="DI96" s="35">
        <v>3.0</v>
      </c>
      <c r="DJ96" s="35">
        <v>3.0</v>
      </c>
      <c r="DK96" s="35">
        <v>3.0</v>
      </c>
      <c r="DL96" s="46">
        <f t="shared" si="34"/>
        <v>92.30769231</v>
      </c>
      <c r="DM96" s="44">
        <f t="shared" si="35"/>
        <v>1</v>
      </c>
      <c r="DN96" s="44">
        <f t="shared" si="36"/>
        <v>2</v>
      </c>
      <c r="DO96" s="44">
        <f t="shared" si="37"/>
        <v>0</v>
      </c>
      <c r="DP96" s="44">
        <f t="shared" si="38"/>
        <v>3</v>
      </c>
      <c r="DQ96" s="44">
        <f t="shared" si="39"/>
        <v>0</v>
      </c>
      <c r="DR96" s="44">
        <f t="shared" ref="DR96:DS96" si="145">(DH96)</f>
        <v>1</v>
      </c>
      <c r="DS96" s="44">
        <f t="shared" si="145"/>
        <v>3</v>
      </c>
      <c r="DT96" s="44">
        <f t="shared" si="41"/>
        <v>10</v>
      </c>
      <c r="DU96" s="44" t="str">
        <f t="shared" si="42"/>
        <v>poor sleep quality</v>
      </c>
      <c r="DV96" s="35">
        <v>2.0</v>
      </c>
      <c r="DW96" s="36" t="s">
        <v>394</v>
      </c>
      <c r="DX96" s="35" t="s">
        <v>146</v>
      </c>
      <c r="DY96" s="35">
        <v>2.0</v>
      </c>
      <c r="DZ96" s="35" t="s">
        <v>131</v>
      </c>
      <c r="EA96" s="35" t="s">
        <v>138</v>
      </c>
      <c r="EB96" s="35" t="s">
        <v>222</v>
      </c>
      <c r="EC96" s="36" t="s">
        <v>133</v>
      </c>
      <c r="ED96" s="35" t="s">
        <v>131</v>
      </c>
      <c r="EE96" s="35" t="s">
        <v>141</v>
      </c>
      <c r="EF96" s="35">
        <f t="shared" si="140"/>
        <v>668</v>
      </c>
      <c r="EG96" s="35">
        <f t="shared" si="146"/>
        <v>668</v>
      </c>
      <c r="EH96" s="47">
        <f t="shared" si="24"/>
        <v>26.50211621</v>
      </c>
    </row>
    <row r="97" ht="15.75" customHeight="1">
      <c r="A97" s="43" t="s">
        <v>395</v>
      </c>
      <c r="B97" s="36" t="s">
        <v>175</v>
      </c>
      <c r="C97" s="37">
        <v>45248.0</v>
      </c>
      <c r="D97" s="48">
        <v>46.0</v>
      </c>
      <c r="E97" s="35" t="s">
        <v>130</v>
      </c>
      <c r="F97" s="35">
        <v>157.0</v>
      </c>
      <c r="G97" s="39">
        <v>75.0</v>
      </c>
      <c r="H97" s="40" t="s">
        <v>131</v>
      </c>
      <c r="I97" s="35">
        <v>3.0</v>
      </c>
      <c r="J97" s="55">
        <v>44562.0</v>
      </c>
      <c r="K97" s="35" t="s">
        <v>131</v>
      </c>
      <c r="L97" s="35">
        <v>2.0</v>
      </c>
      <c r="M97" s="41">
        <v>44287.0</v>
      </c>
      <c r="N97" s="35">
        <v>0.0</v>
      </c>
      <c r="O97" s="41">
        <v>44287.0</v>
      </c>
      <c r="P97" s="35" t="s">
        <v>132</v>
      </c>
      <c r="Q97" s="36" t="s">
        <v>133</v>
      </c>
      <c r="R97" s="36" t="s">
        <v>133</v>
      </c>
      <c r="S97" s="36" t="s">
        <v>133</v>
      </c>
      <c r="T97" s="36" t="s">
        <v>133</v>
      </c>
      <c r="U97" s="36" t="s">
        <v>133</v>
      </c>
      <c r="V97" s="36" t="str">
        <f t="shared" si="2"/>
        <v>Paciente ambulatorio</v>
      </c>
      <c r="W97" s="35" t="s">
        <v>183</v>
      </c>
      <c r="X97" s="35" t="s">
        <v>132</v>
      </c>
      <c r="Y97" s="35">
        <v>1.0</v>
      </c>
      <c r="Z97" s="35">
        <v>1.0</v>
      </c>
      <c r="AA97" s="35">
        <v>2.0</v>
      </c>
      <c r="AB97" s="35">
        <v>2.0</v>
      </c>
      <c r="AC97" s="35">
        <v>1.0</v>
      </c>
      <c r="AD97" s="35">
        <v>2.0</v>
      </c>
      <c r="AE97" s="35">
        <v>2.0</v>
      </c>
      <c r="AF97" s="35">
        <v>1.0</v>
      </c>
      <c r="AG97" s="35">
        <v>3.0</v>
      </c>
      <c r="AH97" s="35">
        <v>3.0</v>
      </c>
      <c r="AI97" s="35">
        <v>1.0</v>
      </c>
      <c r="AJ97" s="35">
        <v>1.0</v>
      </c>
      <c r="AK97" s="39" t="s">
        <v>396</v>
      </c>
      <c r="AL97" s="40" t="s">
        <v>131</v>
      </c>
      <c r="AM97" s="35" t="s">
        <v>131</v>
      </c>
      <c r="AN97" s="35" t="s">
        <v>132</v>
      </c>
      <c r="AO97" s="35" t="s">
        <v>132</v>
      </c>
      <c r="AP97" s="35" t="s">
        <v>132</v>
      </c>
      <c r="AQ97" s="35" t="s">
        <v>132</v>
      </c>
      <c r="AR97" s="35" t="s">
        <v>132</v>
      </c>
      <c r="AS97" s="35" t="s">
        <v>131</v>
      </c>
      <c r="AT97" s="35" t="s">
        <v>132</v>
      </c>
      <c r="AU97" s="35" t="s">
        <v>132</v>
      </c>
      <c r="AV97" s="35" t="s">
        <v>132</v>
      </c>
      <c r="AW97" s="36" t="s">
        <v>133</v>
      </c>
      <c r="AX97" s="35" t="s">
        <v>132</v>
      </c>
      <c r="AY97" s="36" t="s">
        <v>133</v>
      </c>
      <c r="AZ97" s="36" t="s">
        <v>133</v>
      </c>
      <c r="BA97" s="36" t="s">
        <v>133</v>
      </c>
      <c r="BB97" s="36" t="s">
        <v>133</v>
      </c>
      <c r="BC97" s="36" t="s">
        <v>133</v>
      </c>
      <c r="BD97" s="40">
        <v>1.0</v>
      </c>
      <c r="BE97" s="35">
        <v>1.0</v>
      </c>
      <c r="BF97" s="35">
        <v>1.0</v>
      </c>
      <c r="BG97" s="35">
        <v>2.0</v>
      </c>
      <c r="BH97" s="35">
        <v>2.0</v>
      </c>
      <c r="BI97" s="44" t="str">
        <f t="shared" si="3"/>
        <v>11122</v>
      </c>
      <c r="BJ97" s="35">
        <v>60.0</v>
      </c>
      <c r="BK97" s="35">
        <v>2.0</v>
      </c>
      <c r="BL97" s="35">
        <v>2.0</v>
      </c>
      <c r="BM97" s="35">
        <v>4.0</v>
      </c>
      <c r="BN97" s="35">
        <v>4.0</v>
      </c>
      <c r="BO97" s="35">
        <v>2.0</v>
      </c>
      <c r="BP97" s="35">
        <v>1.0</v>
      </c>
      <c r="BQ97" s="35">
        <v>2.0</v>
      </c>
      <c r="BR97" s="35">
        <v>1.0</v>
      </c>
      <c r="BS97" s="35">
        <v>2.0</v>
      </c>
      <c r="BT97" s="35">
        <v>3.0</v>
      </c>
      <c r="BU97" s="44">
        <f t="shared" si="4"/>
        <v>2</v>
      </c>
      <c r="BV97" s="44">
        <f t="shared" si="137"/>
        <v>3</v>
      </c>
      <c r="BW97" s="44">
        <f t="shared" si="138"/>
        <v>22</v>
      </c>
      <c r="BX97" s="44" t="str">
        <f t="shared" si="7"/>
        <v>FATIGA</v>
      </c>
      <c r="BY97" s="35">
        <v>0.0</v>
      </c>
      <c r="BZ97" s="35">
        <v>0.0</v>
      </c>
      <c r="CA97" s="35">
        <v>0.0</v>
      </c>
      <c r="CB97" s="35">
        <v>3.0</v>
      </c>
      <c r="CC97" s="35">
        <v>0.0</v>
      </c>
      <c r="CD97" s="35">
        <v>30.0</v>
      </c>
      <c r="CE97" s="35">
        <v>5.0</v>
      </c>
      <c r="CF97" s="35">
        <v>0.0</v>
      </c>
      <c r="CG97" s="35">
        <v>15.0</v>
      </c>
      <c r="CH97" s="35">
        <v>4.0</v>
      </c>
      <c r="CI97" s="35">
        <v>0.0</v>
      </c>
      <c r="CJ97" s="44">
        <f t="shared" si="27"/>
        <v>607.5</v>
      </c>
      <c r="CK97" s="44">
        <f t="shared" si="28"/>
        <v>8</v>
      </c>
      <c r="CL97" s="44" t="b">
        <f t="shared" si="29"/>
        <v>0</v>
      </c>
      <c r="CM97" s="44" t="str">
        <f t="shared" si="30"/>
        <v>Nivel de actividad física moderado</v>
      </c>
      <c r="CN97" s="45" t="str">
        <f t="shared" si="31"/>
        <v>Nivel de actividad física moderado</v>
      </c>
      <c r="CO97" s="35">
        <v>23.0</v>
      </c>
      <c r="CP97" s="35">
        <v>60.0</v>
      </c>
      <c r="CQ97" s="44">
        <f t="shared" si="32"/>
        <v>2</v>
      </c>
      <c r="CR97" s="35">
        <v>6.0</v>
      </c>
      <c r="CS97" s="35">
        <v>0.0</v>
      </c>
      <c r="CT97" s="35">
        <v>7.0</v>
      </c>
      <c r="CU97" s="35">
        <v>3.0</v>
      </c>
      <c r="CV97" s="35">
        <v>3.0</v>
      </c>
      <c r="CW97" s="35">
        <v>3.0</v>
      </c>
      <c r="CX97" s="35">
        <v>3.0</v>
      </c>
      <c r="CY97" s="35">
        <v>0.0</v>
      </c>
      <c r="CZ97" s="35">
        <v>0.0</v>
      </c>
      <c r="DA97" s="35">
        <v>2.0</v>
      </c>
      <c r="DB97" s="35">
        <v>3.0</v>
      </c>
      <c r="DC97" s="35">
        <v>0.0</v>
      </c>
      <c r="DD97" s="35">
        <v>0.0</v>
      </c>
      <c r="DE97" s="35">
        <v>3.0</v>
      </c>
      <c r="DF97" s="35" t="s">
        <v>397</v>
      </c>
      <c r="DG97" s="53">
        <f t="shared" si="55"/>
        <v>14</v>
      </c>
      <c r="DH97" s="35">
        <v>2.0</v>
      </c>
      <c r="DI97" s="35">
        <v>0.0</v>
      </c>
      <c r="DJ97" s="35">
        <v>1.0</v>
      </c>
      <c r="DK97" s="35">
        <v>0.0</v>
      </c>
      <c r="DL97" s="46">
        <f t="shared" si="34"/>
        <v>42.85714286</v>
      </c>
      <c r="DM97" s="44">
        <f t="shared" si="35"/>
        <v>3</v>
      </c>
      <c r="DN97" s="44">
        <f t="shared" si="36"/>
        <v>2</v>
      </c>
      <c r="DO97" s="44">
        <f t="shared" si="37"/>
        <v>3</v>
      </c>
      <c r="DP97" s="44">
        <f t="shared" si="38"/>
        <v>1</v>
      </c>
      <c r="DQ97" s="44">
        <f t="shared" si="39"/>
        <v>3</v>
      </c>
      <c r="DR97" s="44">
        <f t="shared" ref="DR97:DS97" si="147">(DH97)</f>
        <v>2</v>
      </c>
      <c r="DS97" s="44">
        <f t="shared" si="147"/>
        <v>0</v>
      </c>
      <c r="DT97" s="44">
        <f t="shared" si="41"/>
        <v>14</v>
      </c>
      <c r="DU97" s="44" t="str">
        <f t="shared" si="42"/>
        <v>poor sleep quality</v>
      </c>
      <c r="DV97" s="35">
        <v>2.0</v>
      </c>
      <c r="DW97" s="36" t="s">
        <v>398</v>
      </c>
      <c r="DX97" s="35" t="s">
        <v>146</v>
      </c>
      <c r="DY97" s="35">
        <v>1.0</v>
      </c>
      <c r="DZ97" s="35" t="s">
        <v>131</v>
      </c>
      <c r="EA97" s="35" t="s">
        <v>167</v>
      </c>
      <c r="EB97" s="35" t="s">
        <v>139</v>
      </c>
      <c r="EC97" s="36" t="s">
        <v>133</v>
      </c>
      <c r="ED97" s="35" t="s">
        <v>131</v>
      </c>
      <c r="EE97" s="35" t="s">
        <v>141</v>
      </c>
      <c r="EF97" s="35">
        <f t="shared" si="140"/>
        <v>961</v>
      </c>
      <c r="EG97" s="35">
        <f t="shared" si="146"/>
        <v>961</v>
      </c>
      <c r="EH97" s="47">
        <f t="shared" si="24"/>
        <v>30.42719786</v>
      </c>
    </row>
    <row r="98" ht="15.75" customHeight="1">
      <c r="A98" s="43" t="s">
        <v>399</v>
      </c>
      <c r="B98" s="36" t="s">
        <v>175</v>
      </c>
      <c r="C98" s="37">
        <v>45199.0</v>
      </c>
      <c r="D98" s="48">
        <v>45.0</v>
      </c>
      <c r="E98" s="35" t="s">
        <v>130</v>
      </c>
      <c r="F98" s="35">
        <v>163.0</v>
      </c>
      <c r="G98" s="39">
        <v>98.0</v>
      </c>
      <c r="H98" s="40" t="s">
        <v>131</v>
      </c>
      <c r="I98" s="35">
        <v>3.0</v>
      </c>
      <c r="J98" s="42" t="s">
        <v>133</v>
      </c>
      <c r="K98" s="35" t="s">
        <v>131</v>
      </c>
      <c r="L98" s="35">
        <v>1.0</v>
      </c>
      <c r="M98" s="41">
        <v>44321.0</v>
      </c>
      <c r="N98" s="35">
        <v>1.0</v>
      </c>
      <c r="O98" s="41">
        <v>44321.0</v>
      </c>
      <c r="P98" s="35" t="s">
        <v>132</v>
      </c>
      <c r="Q98" s="36" t="s">
        <v>133</v>
      </c>
      <c r="R98" s="36" t="s">
        <v>133</v>
      </c>
      <c r="S98" s="36" t="s">
        <v>133</v>
      </c>
      <c r="T98" s="36" t="s">
        <v>133</v>
      </c>
      <c r="U98" s="36" t="s">
        <v>133</v>
      </c>
      <c r="V98" s="36" t="str">
        <f t="shared" si="2"/>
        <v>Paciente ambulatorio</v>
      </c>
      <c r="W98" s="35" t="s">
        <v>176</v>
      </c>
      <c r="X98" s="35" t="s">
        <v>132</v>
      </c>
      <c r="Y98" s="35">
        <v>2.0</v>
      </c>
      <c r="Z98" s="35">
        <v>1.0</v>
      </c>
      <c r="AA98" s="35">
        <v>1.0</v>
      </c>
      <c r="AB98" s="35">
        <v>2.0</v>
      </c>
      <c r="AC98" s="35">
        <v>1.0</v>
      </c>
      <c r="AD98" s="35">
        <v>1.0</v>
      </c>
      <c r="AE98" s="35">
        <v>2.0</v>
      </c>
      <c r="AF98" s="35">
        <v>2.0</v>
      </c>
      <c r="AG98" s="35">
        <v>3.0</v>
      </c>
      <c r="AH98" s="35">
        <v>3.0</v>
      </c>
      <c r="AI98" s="35">
        <v>2.0</v>
      </c>
      <c r="AJ98" s="35">
        <v>2.0</v>
      </c>
      <c r="AK98" s="39" t="s">
        <v>132</v>
      </c>
      <c r="AL98" s="40" t="s">
        <v>131</v>
      </c>
      <c r="AM98" s="35" t="s">
        <v>132</v>
      </c>
      <c r="AN98" s="35" t="s">
        <v>132</v>
      </c>
      <c r="AO98" s="35" t="s">
        <v>132</v>
      </c>
      <c r="AP98" s="35" t="s">
        <v>132</v>
      </c>
      <c r="AQ98" s="35" t="s">
        <v>132</v>
      </c>
      <c r="AR98" s="35" t="s">
        <v>132</v>
      </c>
      <c r="AS98" s="35" t="s">
        <v>131</v>
      </c>
      <c r="AT98" s="35" t="s">
        <v>132</v>
      </c>
      <c r="AU98" s="35" t="s">
        <v>132</v>
      </c>
      <c r="AV98" s="35" t="s">
        <v>131</v>
      </c>
      <c r="AW98" s="35" t="s">
        <v>400</v>
      </c>
      <c r="AX98" s="35" t="s">
        <v>132</v>
      </c>
      <c r="AY98" s="36" t="s">
        <v>133</v>
      </c>
      <c r="AZ98" s="36" t="s">
        <v>133</v>
      </c>
      <c r="BA98" s="36" t="s">
        <v>133</v>
      </c>
      <c r="BB98" s="35" t="s">
        <v>192</v>
      </c>
      <c r="BC98" s="39">
        <v>1.0</v>
      </c>
      <c r="BD98" s="40">
        <v>2.0</v>
      </c>
      <c r="BE98" s="35">
        <v>1.0</v>
      </c>
      <c r="BF98" s="35">
        <v>1.0</v>
      </c>
      <c r="BG98" s="35">
        <v>2.0</v>
      </c>
      <c r="BH98" s="35">
        <v>2.0</v>
      </c>
      <c r="BI98" s="44" t="str">
        <f t="shared" si="3"/>
        <v>21122</v>
      </c>
      <c r="BJ98" s="35">
        <v>65.0</v>
      </c>
      <c r="BK98" s="35">
        <v>2.0</v>
      </c>
      <c r="BL98" s="35">
        <v>3.0</v>
      </c>
      <c r="BM98" s="35">
        <v>4.0</v>
      </c>
      <c r="BN98" s="35">
        <v>4.0</v>
      </c>
      <c r="BO98" s="35">
        <v>2.0</v>
      </c>
      <c r="BP98" s="35">
        <v>2.0</v>
      </c>
      <c r="BQ98" s="35">
        <v>2.0</v>
      </c>
      <c r="BR98" s="35">
        <v>2.0</v>
      </c>
      <c r="BS98" s="35">
        <v>2.0</v>
      </c>
      <c r="BT98" s="35">
        <v>4.0</v>
      </c>
      <c r="BU98" s="44">
        <f t="shared" si="4"/>
        <v>2</v>
      </c>
      <c r="BV98" s="44">
        <f t="shared" si="137"/>
        <v>2</v>
      </c>
      <c r="BW98" s="44">
        <f t="shared" si="138"/>
        <v>25</v>
      </c>
      <c r="BX98" s="44" t="str">
        <f t="shared" si="7"/>
        <v>FATIGA</v>
      </c>
      <c r="BY98" s="35">
        <v>0.0</v>
      </c>
      <c r="BZ98" s="35">
        <v>0.0</v>
      </c>
      <c r="CA98" s="35">
        <v>0.0</v>
      </c>
      <c r="CB98" s="35">
        <v>0.0</v>
      </c>
      <c r="CC98" s="35">
        <v>0.0</v>
      </c>
      <c r="CD98" s="35">
        <v>0.0</v>
      </c>
      <c r="CE98" s="35">
        <v>0.0</v>
      </c>
      <c r="CF98" s="35">
        <v>0.0</v>
      </c>
      <c r="CG98" s="35">
        <v>0.0</v>
      </c>
      <c r="CH98" s="35">
        <v>4.0</v>
      </c>
      <c r="CI98" s="35">
        <v>0.0</v>
      </c>
      <c r="CJ98" s="44">
        <f t="shared" si="27"/>
        <v>0</v>
      </c>
      <c r="CK98" s="44">
        <f t="shared" si="28"/>
        <v>0</v>
      </c>
      <c r="CL98" s="44" t="b">
        <f t="shared" si="29"/>
        <v>0</v>
      </c>
      <c r="CM98" s="44" t="b">
        <f t="shared" si="30"/>
        <v>0</v>
      </c>
      <c r="CN98" s="45" t="str">
        <f t="shared" si="31"/>
        <v>Nivel de actividad física bajo</v>
      </c>
      <c r="CO98" s="35">
        <v>23.0</v>
      </c>
      <c r="CP98" s="35">
        <v>40.0</v>
      </c>
      <c r="CQ98" s="44">
        <f t="shared" si="32"/>
        <v>2</v>
      </c>
      <c r="CR98" s="35">
        <v>6.0</v>
      </c>
      <c r="CS98" s="35">
        <v>0.0</v>
      </c>
      <c r="CT98" s="35">
        <v>7.0</v>
      </c>
      <c r="CU98" s="35">
        <v>5.0</v>
      </c>
      <c r="CV98" s="35">
        <v>3.0</v>
      </c>
      <c r="CW98" s="35">
        <v>3.0</v>
      </c>
      <c r="CX98" s="35">
        <v>2.0</v>
      </c>
      <c r="CY98" s="35">
        <v>0.0</v>
      </c>
      <c r="CZ98" s="35">
        <v>2.0</v>
      </c>
      <c r="DA98" s="35">
        <v>2.0</v>
      </c>
      <c r="DB98" s="35">
        <v>3.0</v>
      </c>
      <c r="DC98" s="35">
        <v>2.0</v>
      </c>
      <c r="DD98" s="35">
        <v>2.0</v>
      </c>
      <c r="DE98" s="35">
        <v>3.0</v>
      </c>
      <c r="DF98" s="35" t="s">
        <v>401</v>
      </c>
      <c r="DG98" s="53">
        <f t="shared" si="55"/>
        <v>19</v>
      </c>
      <c r="DH98" s="35">
        <v>1.0</v>
      </c>
      <c r="DI98" s="35">
        <v>0.0</v>
      </c>
      <c r="DJ98" s="35">
        <v>3.0</v>
      </c>
      <c r="DK98" s="35">
        <v>1.0</v>
      </c>
      <c r="DL98" s="46">
        <f t="shared" si="34"/>
        <v>71.42857143</v>
      </c>
      <c r="DM98" s="44">
        <f t="shared" si="35"/>
        <v>2</v>
      </c>
      <c r="DN98" s="44">
        <f t="shared" si="36"/>
        <v>3</v>
      </c>
      <c r="DO98" s="44">
        <f t="shared" si="37"/>
        <v>3</v>
      </c>
      <c r="DP98" s="44">
        <f t="shared" si="38"/>
        <v>2</v>
      </c>
      <c r="DQ98" s="44">
        <f t="shared" si="39"/>
        <v>2</v>
      </c>
      <c r="DR98" s="44">
        <f t="shared" ref="DR98:DS98" si="148">(DH98)</f>
        <v>1</v>
      </c>
      <c r="DS98" s="44">
        <f t="shared" si="148"/>
        <v>0</v>
      </c>
      <c r="DT98" s="44">
        <f t="shared" si="41"/>
        <v>13</v>
      </c>
      <c r="DU98" s="44" t="str">
        <f t="shared" si="42"/>
        <v>poor sleep quality</v>
      </c>
      <c r="DV98" s="35">
        <v>2.0</v>
      </c>
      <c r="DW98" s="36" t="s">
        <v>402</v>
      </c>
      <c r="DX98" s="35" t="s">
        <v>146</v>
      </c>
      <c r="DY98" s="35">
        <v>1.0</v>
      </c>
      <c r="DZ98" s="35" t="s">
        <v>131</v>
      </c>
      <c r="EA98" s="35" t="s">
        <v>167</v>
      </c>
      <c r="EB98" s="35" t="s">
        <v>139</v>
      </c>
      <c r="EC98" s="36" t="s">
        <v>133</v>
      </c>
      <c r="ED98" s="35" t="s">
        <v>132</v>
      </c>
      <c r="EE98" s="35" t="s">
        <v>141</v>
      </c>
      <c r="EF98" s="35">
        <f t="shared" si="140"/>
        <v>878</v>
      </c>
      <c r="EG98" s="35">
        <f t="shared" si="146"/>
        <v>878</v>
      </c>
      <c r="EH98" s="47">
        <f t="shared" si="24"/>
        <v>36.88509165</v>
      </c>
    </row>
    <row r="99" ht="15.75" customHeight="1">
      <c r="A99" s="62" t="s">
        <v>403</v>
      </c>
      <c r="B99" s="50" t="s">
        <v>175</v>
      </c>
      <c r="C99" s="63">
        <v>45570.0</v>
      </c>
      <c r="D99" s="64">
        <v>43.0</v>
      </c>
      <c r="E99" s="57" t="s">
        <v>130</v>
      </c>
      <c r="F99" s="57">
        <v>155.0</v>
      </c>
      <c r="G99" s="65">
        <v>70.0</v>
      </c>
      <c r="H99" s="59" t="s">
        <v>131</v>
      </c>
      <c r="I99" s="57">
        <v>3.0</v>
      </c>
      <c r="J99" s="55">
        <v>44649.0</v>
      </c>
      <c r="K99" s="57" t="s">
        <v>131</v>
      </c>
      <c r="L99" s="57">
        <v>1.0</v>
      </c>
      <c r="M99" s="55">
        <v>44044.0</v>
      </c>
      <c r="N99" s="57">
        <v>0.0</v>
      </c>
      <c r="O99" s="42" t="s">
        <v>133</v>
      </c>
      <c r="P99" s="57" t="s">
        <v>131</v>
      </c>
      <c r="Q99" s="66">
        <v>44051.0</v>
      </c>
      <c r="R99" s="66">
        <v>44055.0</v>
      </c>
      <c r="S99" s="57" t="s">
        <v>131</v>
      </c>
      <c r="T99" s="57">
        <v>1.0</v>
      </c>
      <c r="U99" s="57" t="s">
        <v>131</v>
      </c>
      <c r="V99" s="36" t="s">
        <v>133</v>
      </c>
      <c r="W99" s="57" t="s">
        <v>190</v>
      </c>
      <c r="X99" s="57" t="s">
        <v>132</v>
      </c>
      <c r="Y99" s="57">
        <v>1.0</v>
      </c>
      <c r="Z99" s="57">
        <v>1.0</v>
      </c>
      <c r="AA99" s="57">
        <v>2.0</v>
      </c>
      <c r="AB99" s="57">
        <v>2.0</v>
      </c>
      <c r="AC99" s="57">
        <v>2.0</v>
      </c>
      <c r="AD99" s="57">
        <v>1.0</v>
      </c>
      <c r="AE99" s="57">
        <v>3.0</v>
      </c>
      <c r="AF99" s="57">
        <v>1.0</v>
      </c>
      <c r="AG99" s="57">
        <v>1.0</v>
      </c>
      <c r="AH99" s="57">
        <v>1.0</v>
      </c>
      <c r="AI99" s="57">
        <v>1.0</v>
      </c>
      <c r="AJ99" s="57">
        <v>1.0</v>
      </c>
      <c r="AK99" s="65" t="s">
        <v>404</v>
      </c>
      <c r="AL99" s="59" t="s">
        <v>131</v>
      </c>
      <c r="AM99" s="57" t="s">
        <v>132</v>
      </c>
      <c r="AN99" s="57" t="s">
        <v>132</v>
      </c>
      <c r="AO99" s="57" t="s">
        <v>132</v>
      </c>
      <c r="AP99" s="57" t="s">
        <v>132</v>
      </c>
      <c r="AQ99" s="57" t="s">
        <v>132</v>
      </c>
      <c r="AR99" s="57" t="s">
        <v>132</v>
      </c>
      <c r="AS99" s="57" t="s">
        <v>131</v>
      </c>
      <c r="AT99" s="57" t="s">
        <v>132</v>
      </c>
      <c r="AU99" s="57" t="s">
        <v>132</v>
      </c>
      <c r="AV99" s="57" t="s">
        <v>131</v>
      </c>
      <c r="AW99" s="36" t="s">
        <v>133</v>
      </c>
      <c r="AX99" s="57" t="s">
        <v>131</v>
      </c>
      <c r="AY99" s="57">
        <v>4.0</v>
      </c>
      <c r="AZ99" s="57">
        <v>3.0</v>
      </c>
      <c r="BA99" s="36" t="s">
        <v>133</v>
      </c>
      <c r="BB99" s="57" t="s">
        <v>135</v>
      </c>
      <c r="BC99" s="65">
        <v>1.0</v>
      </c>
      <c r="BD99" s="59">
        <v>1.0</v>
      </c>
      <c r="BE99" s="57">
        <v>1.0</v>
      </c>
      <c r="BF99" s="57">
        <v>1.0</v>
      </c>
      <c r="BG99" s="57">
        <v>4.0</v>
      </c>
      <c r="BH99" s="57">
        <v>3.0</v>
      </c>
      <c r="BI99" s="44" t="str">
        <f t="shared" si="3"/>
        <v>11143</v>
      </c>
      <c r="BJ99" s="57">
        <v>70.0</v>
      </c>
      <c r="BK99" s="57">
        <v>5.0</v>
      </c>
      <c r="BL99" s="57">
        <v>5.0</v>
      </c>
      <c r="BM99" s="57">
        <v>5.0</v>
      </c>
      <c r="BN99" s="57">
        <v>1.0</v>
      </c>
      <c r="BO99" s="57">
        <v>4.0</v>
      </c>
      <c r="BP99" s="57">
        <v>5.0</v>
      </c>
      <c r="BQ99" s="57">
        <v>5.0</v>
      </c>
      <c r="BR99" s="57">
        <v>5.0</v>
      </c>
      <c r="BS99" s="57">
        <v>5.0</v>
      </c>
      <c r="BT99" s="57">
        <v>2.0</v>
      </c>
      <c r="BU99" s="44">
        <f t="shared" si="4"/>
        <v>5</v>
      </c>
      <c r="BV99" s="44">
        <f t="shared" si="137"/>
        <v>4</v>
      </c>
      <c r="BW99" s="44">
        <f t="shared" si="138"/>
        <v>45</v>
      </c>
      <c r="BX99" s="44" t="str">
        <f t="shared" si="7"/>
        <v>FATIGA EXTREMA</v>
      </c>
      <c r="BY99" s="57">
        <v>0.0</v>
      </c>
      <c r="BZ99" s="57">
        <v>0.0</v>
      </c>
      <c r="CA99" s="57">
        <v>0.0</v>
      </c>
      <c r="CB99" s="57">
        <v>0.0</v>
      </c>
      <c r="CC99" s="57">
        <v>0.0</v>
      </c>
      <c r="CD99" s="57">
        <v>0.0</v>
      </c>
      <c r="CE99" s="57">
        <v>0.0</v>
      </c>
      <c r="CF99" s="57">
        <v>0.0</v>
      </c>
      <c r="CG99" s="57">
        <v>0.0</v>
      </c>
      <c r="CH99" s="57">
        <v>4.0</v>
      </c>
      <c r="CI99" s="57">
        <v>0.0</v>
      </c>
      <c r="CJ99" s="44">
        <f t="shared" si="27"/>
        <v>0</v>
      </c>
      <c r="CK99" s="44">
        <f t="shared" si="28"/>
        <v>0</v>
      </c>
      <c r="CL99" s="44" t="b">
        <f t="shared" si="29"/>
        <v>0</v>
      </c>
      <c r="CM99" s="44" t="b">
        <f t="shared" si="30"/>
        <v>0</v>
      </c>
      <c r="CN99" s="45" t="str">
        <f t="shared" si="31"/>
        <v>Nivel de actividad física bajo</v>
      </c>
      <c r="CO99" s="57">
        <v>1.0</v>
      </c>
      <c r="CP99" s="57">
        <v>10.0</v>
      </c>
      <c r="CQ99" s="44">
        <f t="shared" si="32"/>
        <v>0</v>
      </c>
      <c r="CR99" s="57">
        <v>7.0</v>
      </c>
      <c r="CS99" s="57">
        <v>0.0</v>
      </c>
      <c r="CT99" s="57">
        <v>6.0</v>
      </c>
      <c r="CU99" s="57">
        <v>5.0</v>
      </c>
      <c r="CV99" s="57">
        <v>0.0</v>
      </c>
      <c r="CW99" s="57">
        <v>3.0</v>
      </c>
      <c r="CX99" s="57">
        <v>2.0</v>
      </c>
      <c r="CY99" s="57">
        <v>0.0</v>
      </c>
      <c r="CZ99" s="57">
        <v>1.0</v>
      </c>
      <c r="DA99" s="57">
        <v>1.0</v>
      </c>
      <c r="DB99" s="57">
        <v>2.0</v>
      </c>
      <c r="DC99" s="57">
        <v>0.0</v>
      </c>
      <c r="DD99" s="57">
        <v>3.0</v>
      </c>
      <c r="DE99" s="57">
        <v>2.0</v>
      </c>
      <c r="DF99" s="57" t="s">
        <v>405</v>
      </c>
      <c r="DG99" s="53">
        <f t="shared" si="55"/>
        <v>14</v>
      </c>
      <c r="DH99" s="57">
        <v>3.0</v>
      </c>
      <c r="DI99" s="57">
        <v>3.0</v>
      </c>
      <c r="DJ99" s="57">
        <v>2.0</v>
      </c>
      <c r="DK99" s="57">
        <v>3.0</v>
      </c>
      <c r="DL99" s="46">
        <f t="shared" si="34"/>
        <v>83.33333333</v>
      </c>
      <c r="DM99" s="44">
        <f t="shared" si="35"/>
        <v>2</v>
      </c>
      <c r="DN99" s="44">
        <f t="shared" si="36"/>
        <v>2</v>
      </c>
      <c r="DO99" s="44">
        <f t="shared" si="37"/>
        <v>0</v>
      </c>
      <c r="DP99" s="44">
        <f t="shared" si="38"/>
        <v>3</v>
      </c>
      <c r="DQ99" s="44">
        <f t="shared" si="39"/>
        <v>1</v>
      </c>
      <c r="DR99" s="44">
        <f t="shared" ref="DR99:DS99" si="149">(DH99)</f>
        <v>3</v>
      </c>
      <c r="DS99" s="44">
        <f t="shared" si="149"/>
        <v>3</v>
      </c>
      <c r="DT99" s="44">
        <f t="shared" si="41"/>
        <v>14</v>
      </c>
      <c r="DU99" s="44" t="str">
        <f t="shared" si="42"/>
        <v>poor sleep quality</v>
      </c>
      <c r="DV99" s="57">
        <v>2.0</v>
      </c>
      <c r="DW99" s="50" t="s">
        <v>155</v>
      </c>
      <c r="DX99" s="57" t="s">
        <v>146</v>
      </c>
      <c r="DY99" s="57">
        <v>2.0</v>
      </c>
      <c r="DZ99" s="57" t="s">
        <v>131</v>
      </c>
      <c r="EA99" s="57" t="s">
        <v>202</v>
      </c>
      <c r="EB99" s="57" t="s">
        <v>172</v>
      </c>
      <c r="EC99" s="36" t="s">
        <v>133</v>
      </c>
      <c r="ED99" s="57" t="s">
        <v>132</v>
      </c>
      <c r="EE99" s="57" t="s">
        <v>151</v>
      </c>
      <c r="EF99" s="35">
        <f t="shared" si="140"/>
        <v>1526</v>
      </c>
      <c r="EG99" s="36" t="s">
        <v>133</v>
      </c>
      <c r="EH99" s="47">
        <f t="shared" si="24"/>
        <v>29.13631634</v>
      </c>
    </row>
    <row r="100" ht="15.75" customHeight="1">
      <c r="A100" s="43" t="s">
        <v>406</v>
      </c>
      <c r="B100" s="36" t="s">
        <v>175</v>
      </c>
      <c r="C100" s="63">
        <v>45199.0</v>
      </c>
      <c r="D100" s="48">
        <v>45.0</v>
      </c>
      <c r="E100" s="35" t="s">
        <v>130</v>
      </c>
      <c r="F100" s="35">
        <v>168.0</v>
      </c>
      <c r="G100" s="39">
        <v>100.0</v>
      </c>
      <c r="H100" s="40" t="s">
        <v>131</v>
      </c>
      <c r="I100" s="35">
        <v>4.0</v>
      </c>
      <c r="J100" s="42" t="s">
        <v>133</v>
      </c>
      <c r="K100" s="35" t="s">
        <v>131</v>
      </c>
      <c r="L100" s="35">
        <v>1.0</v>
      </c>
      <c r="M100" s="42" t="s">
        <v>133</v>
      </c>
      <c r="N100" s="36" t="s">
        <v>133</v>
      </c>
      <c r="O100" s="42" t="s">
        <v>133</v>
      </c>
      <c r="P100" s="35" t="s">
        <v>132</v>
      </c>
      <c r="Q100" s="36" t="s">
        <v>133</v>
      </c>
      <c r="R100" s="36" t="s">
        <v>133</v>
      </c>
      <c r="S100" s="36" t="s">
        <v>133</v>
      </c>
      <c r="T100" s="36" t="s">
        <v>133</v>
      </c>
      <c r="U100" s="36" t="s">
        <v>133</v>
      </c>
      <c r="V100" s="36" t="str">
        <f t="shared" ref="V100:V119" si="151">IF(K100="NO","No infectado",IF(P100="SI",IF(U100="SI","Internación severa (UCI)","Internación moderada"),"Paciente ambulatorio"))</f>
        <v>Paciente ambulatorio</v>
      </c>
      <c r="W100" s="35" t="s">
        <v>176</v>
      </c>
      <c r="X100" s="35" t="s">
        <v>132</v>
      </c>
      <c r="Y100" s="35">
        <v>1.0</v>
      </c>
      <c r="Z100" s="35">
        <v>1.0</v>
      </c>
      <c r="AA100" s="35">
        <v>3.0</v>
      </c>
      <c r="AB100" s="35">
        <v>3.0</v>
      </c>
      <c r="AC100" s="35">
        <v>1.0</v>
      </c>
      <c r="AD100" s="35">
        <v>1.0</v>
      </c>
      <c r="AE100" s="35">
        <v>1.0</v>
      </c>
      <c r="AF100" s="35">
        <v>1.0</v>
      </c>
      <c r="AG100" s="35">
        <v>1.0</v>
      </c>
      <c r="AH100" s="35">
        <v>1.0</v>
      </c>
      <c r="AI100" s="35">
        <v>1.0</v>
      </c>
      <c r="AJ100" s="35">
        <v>1.0</v>
      </c>
      <c r="AK100" s="39" t="s">
        <v>407</v>
      </c>
      <c r="AL100" s="40" t="s">
        <v>132</v>
      </c>
      <c r="AM100" s="35" t="s">
        <v>132</v>
      </c>
      <c r="AN100" s="35" t="s">
        <v>132</v>
      </c>
      <c r="AO100" s="35" t="s">
        <v>132</v>
      </c>
      <c r="AP100" s="35" t="s">
        <v>132</v>
      </c>
      <c r="AQ100" s="35" t="s">
        <v>132</v>
      </c>
      <c r="AR100" s="35" t="s">
        <v>132</v>
      </c>
      <c r="AS100" s="35" t="s">
        <v>132</v>
      </c>
      <c r="AT100" s="35" t="s">
        <v>132</v>
      </c>
      <c r="AU100" s="35" t="s">
        <v>132</v>
      </c>
      <c r="AV100" s="35" t="s">
        <v>131</v>
      </c>
      <c r="AW100" s="35" t="s">
        <v>408</v>
      </c>
      <c r="AX100" s="35" t="s">
        <v>132</v>
      </c>
      <c r="AY100" s="36" t="s">
        <v>133</v>
      </c>
      <c r="AZ100" s="36" t="s">
        <v>133</v>
      </c>
      <c r="BA100" s="35">
        <v>29.0</v>
      </c>
      <c r="BB100" s="35" t="s">
        <v>145</v>
      </c>
      <c r="BC100" s="36" t="s">
        <v>133</v>
      </c>
      <c r="BD100" s="40">
        <v>3.0</v>
      </c>
      <c r="BE100" s="35">
        <v>1.0</v>
      </c>
      <c r="BF100" s="35">
        <v>3.0</v>
      </c>
      <c r="BG100" s="35">
        <v>3.0</v>
      </c>
      <c r="BH100" s="35">
        <v>4.0</v>
      </c>
      <c r="BI100" s="44" t="str">
        <f t="shared" si="3"/>
        <v>31334</v>
      </c>
      <c r="BJ100" s="35">
        <v>40.0</v>
      </c>
      <c r="BK100" s="35">
        <v>5.0</v>
      </c>
      <c r="BL100" s="35">
        <v>5.0</v>
      </c>
      <c r="BM100" s="35">
        <v>2.0</v>
      </c>
      <c r="BN100" s="35">
        <v>2.0</v>
      </c>
      <c r="BO100" s="35">
        <v>5.0</v>
      </c>
      <c r="BP100" s="35">
        <v>5.0</v>
      </c>
      <c r="BQ100" s="35">
        <v>5.0</v>
      </c>
      <c r="BR100" s="35">
        <v>4.0</v>
      </c>
      <c r="BS100" s="35">
        <v>4.0</v>
      </c>
      <c r="BT100" s="35">
        <v>2.0</v>
      </c>
      <c r="BU100" s="44">
        <f t="shared" si="4"/>
        <v>4</v>
      </c>
      <c r="BV100" s="44">
        <f t="shared" si="137"/>
        <v>4</v>
      </c>
      <c r="BW100" s="44">
        <f t="shared" si="138"/>
        <v>41</v>
      </c>
      <c r="BX100" s="44" t="str">
        <f t="shared" si="7"/>
        <v>FATIGA EXTREMA</v>
      </c>
      <c r="BY100" s="35">
        <v>0.0</v>
      </c>
      <c r="BZ100" s="35">
        <v>0.0</v>
      </c>
      <c r="CA100" s="35">
        <v>0.0</v>
      </c>
      <c r="CB100" s="35">
        <v>2.0</v>
      </c>
      <c r="CC100" s="35">
        <v>3.0</v>
      </c>
      <c r="CD100" s="35">
        <v>0.0</v>
      </c>
      <c r="CE100" s="35">
        <v>7.0</v>
      </c>
      <c r="CF100" s="35">
        <v>0.0</v>
      </c>
      <c r="CG100" s="35">
        <v>30.0</v>
      </c>
      <c r="CH100" s="35">
        <v>5.0</v>
      </c>
      <c r="CI100" s="35">
        <v>0.0</v>
      </c>
      <c r="CJ100" s="44">
        <f t="shared" si="27"/>
        <v>2133</v>
      </c>
      <c r="CK100" s="44">
        <f t="shared" si="28"/>
        <v>9</v>
      </c>
      <c r="CL100" s="44" t="b">
        <f t="shared" si="29"/>
        <v>0</v>
      </c>
      <c r="CM100" s="44" t="str">
        <f t="shared" si="30"/>
        <v>Nivel de actividad física moderado</v>
      </c>
      <c r="CN100" s="45" t="str">
        <f t="shared" si="31"/>
        <v>Nivel de actividad física moderado</v>
      </c>
      <c r="CO100" s="35">
        <v>0.0</v>
      </c>
      <c r="CP100" s="35">
        <v>240.0</v>
      </c>
      <c r="CQ100" s="44">
        <f t="shared" si="32"/>
        <v>3</v>
      </c>
      <c r="CR100" s="35">
        <v>9.0</v>
      </c>
      <c r="CS100" s="35">
        <v>30.0</v>
      </c>
      <c r="CT100" s="35">
        <v>9.5</v>
      </c>
      <c r="CU100" s="35">
        <v>6.0</v>
      </c>
      <c r="CV100" s="35">
        <v>3.0</v>
      </c>
      <c r="CW100" s="35">
        <v>1.0</v>
      </c>
      <c r="CX100" s="35">
        <v>2.0</v>
      </c>
      <c r="CY100" s="35">
        <v>0.0</v>
      </c>
      <c r="CZ100" s="35">
        <v>0.0</v>
      </c>
      <c r="DA100" s="35">
        <v>3.0</v>
      </c>
      <c r="DB100" s="35">
        <v>2.0</v>
      </c>
      <c r="DC100" s="35">
        <v>2.0</v>
      </c>
      <c r="DD100" s="35">
        <v>3.0</v>
      </c>
      <c r="DE100" s="35">
        <v>2.0</v>
      </c>
      <c r="DF100" s="35" t="s">
        <v>409</v>
      </c>
      <c r="DG100" s="53">
        <f t="shared" si="55"/>
        <v>15</v>
      </c>
      <c r="DH100" s="35">
        <v>2.0</v>
      </c>
      <c r="DI100" s="35">
        <v>3.0</v>
      </c>
      <c r="DJ100" s="35">
        <v>3.0</v>
      </c>
      <c r="DK100" s="35">
        <v>3.0</v>
      </c>
      <c r="DL100" s="46">
        <f t="shared" si="34"/>
        <v>63.15789474</v>
      </c>
      <c r="DM100" s="44">
        <f t="shared" si="35"/>
        <v>1</v>
      </c>
      <c r="DN100" s="44">
        <f t="shared" si="36"/>
        <v>2</v>
      </c>
      <c r="DO100" s="44">
        <f t="shared" si="37"/>
        <v>3</v>
      </c>
      <c r="DP100" s="44">
        <f t="shared" si="38"/>
        <v>3</v>
      </c>
      <c r="DQ100" s="44">
        <f t="shared" si="39"/>
        <v>3</v>
      </c>
      <c r="DR100" s="44">
        <f t="shared" ref="DR100:DS100" si="150">(DH100)</f>
        <v>2</v>
      </c>
      <c r="DS100" s="44">
        <f t="shared" si="150"/>
        <v>3</v>
      </c>
      <c r="DT100" s="44">
        <f t="shared" si="41"/>
        <v>17</v>
      </c>
      <c r="DU100" s="44" t="str">
        <f t="shared" si="42"/>
        <v>poor sleep quality</v>
      </c>
      <c r="DV100" s="35">
        <v>1.0</v>
      </c>
      <c r="DW100" s="36" t="s">
        <v>354</v>
      </c>
      <c r="DX100" s="35" t="s">
        <v>213</v>
      </c>
      <c r="DY100" s="35">
        <v>1.0</v>
      </c>
      <c r="DZ100" s="35" t="s">
        <v>131</v>
      </c>
      <c r="EA100" s="35" t="s">
        <v>167</v>
      </c>
      <c r="EB100" s="35" t="s">
        <v>222</v>
      </c>
      <c r="EC100" s="36" t="s">
        <v>133</v>
      </c>
      <c r="ED100" s="35" t="s">
        <v>131</v>
      </c>
      <c r="EE100" s="35" t="s">
        <v>410</v>
      </c>
      <c r="EF100" s="36" t="s">
        <v>133</v>
      </c>
      <c r="EG100" s="36" t="s">
        <v>133</v>
      </c>
      <c r="EH100" s="47">
        <f t="shared" si="24"/>
        <v>35.430839</v>
      </c>
    </row>
    <row r="101" ht="15.75" customHeight="1">
      <c r="A101" s="43" t="s">
        <v>411</v>
      </c>
      <c r="B101" s="36" t="s">
        <v>175</v>
      </c>
      <c r="C101" s="37">
        <v>45220.0</v>
      </c>
      <c r="D101" s="48">
        <v>40.0</v>
      </c>
      <c r="E101" s="35" t="s">
        <v>130</v>
      </c>
      <c r="F101" s="35">
        <v>165.0</v>
      </c>
      <c r="G101" s="39">
        <v>94.0</v>
      </c>
      <c r="H101" s="40" t="s">
        <v>131</v>
      </c>
      <c r="I101" s="35">
        <v>1.0</v>
      </c>
      <c r="J101" s="41">
        <v>44612.0</v>
      </c>
      <c r="K101" s="35" t="s">
        <v>131</v>
      </c>
      <c r="L101" s="35">
        <v>1.0</v>
      </c>
      <c r="M101" s="41">
        <v>44593.0</v>
      </c>
      <c r="N101" s="35">
        <v>0.0</v>
      </c>
      <c r="O101" s="41">
        <v>44593.0</v>
      </c>
      <c r="P101" s="35" t="s">
        <v>132</v>
      </c>
      <c r="Q101" s="36" t="s">
        <v>133</v>
      </c>
      <c r="R101" s="36" t="s">
        <v>133</v>
      </c>
      <c r="S101" s="36" t="s">
        <v>133</v>
      </c>
      <c r="T101" s="36" t="s">
        <v>133</v>
      </c>
      <c r="U101" s="36" t="s">
        <v>133</v>
      </c>
      <c r="V101" s="36" t="str">
        <f t="shared" si="151"/>
        <v>Paciente ambulatorio</v>
      </c>
      <c r="W101" s="35" t="s">
        <v>176</v>
      </c>
      <c r="X101" s="35" t="s">
        <v>132</v>
      </c>
      <c r="Y101" s="35">
        <v>2.0</v>
      </c>
      <c r="Z101" s="35">
        <v>1.0</v>
      </c>
      <c r="AA101" s="35">
        <v>3.0</v>
      </c>
      <c r="AB101" s="35">
        <v>3.0</v>
      </c>
      <c r="AC101" s="35">
        <v>1.0</v>
      </c>
      <c r="AD101" s="35">
        <v>1.0</v>
      </c>
      <c r="AE101" s="35">
        <v>1.0</v>
      </c>
      <c r="AF101" s="35">
        <v>1.0</v>
      </c>
      <c r="AG101" s="35">
        <v>1.0</v>
      </c>
      <c r="AH101" s="36" t="s">
        <v>133</v>
      </c>
      <c r="AI101" s="35">
        <v>1.0</v>
      </c>
      <c r="AJ101" s="35">
        <v>1.0</v>
      </c>
      <c r="AK101" s="36" t="s">
        <v>133</v>
      </c>
      <c r="AL101" s="40" t="s">
        <v>132</v>
      </c>
      <c r="AM101" s="35" t="s">
        <v>132</v>
      </c>
      <c r="AN101" s="35" t="s">
        <v>132</v>
      </c>
      <c r="AO101" s="35" t="s">
        <v>132</v>
      </c>
      <c r="AP101" s="35" t="s">
        <v>132</v>
      </c>
      <c r="AQ101" s="35" t="s">
        <v>132</v>
      </c>
      <c r="AR101" s="35" t="s">
        <v>132</v>
      </c>
      <c r="AS101" s="35" t="s">
        <v>132</v>
      </c>
      <c r="AT101" s="35" t="s">
        <v>132</v>
      </c>
      <c r="AU101" s="35" t="s">
        <v>132</v>
      </c>
      <c r="AV101" s="35" t="s">
        <v>132</v>
      </c>
      <c r="AW101" s="36" t="s">
        <v>133</v>
      </c>
      <c r="AX101" s="35" t="s">
        <v>132</v>
      </c>
      <c r="AY101" s="36" t="s">
        <v>133</v>
      </c>
      <c r="AZ101" s="36" t="s">
        <v>133</v>
      </c>
      <c r="BA101" s="36" t="s">
        <v>133</v>
      </c>
      <c r="BB101" s="35" t="s">
        <v>145</v>
      </c>
      <c r="BC101" s="36" t="s">
        <v>133</v>
      </c>
      <c r="BD101" s="40">
        <v>1.0</v>
      </c>
      <c r="BE101" s="35">
        <v>1.0</v>
      </c>
      <c r="BF101" s="35">
        <v>1.0</v>
      </c>
      <c r="BG101" s="35">
        <v>3.0</v>
      </c>
      <c r="BH101" s="35">
        <v>4.0</v>
      </c>
      <c r="BI101" s="44" t="str">
        <f t="shared" si="3"/>
        <v>11134</v>
      </c>
      <c r="BJ101" s="35">
        <v>75.0</v>
      </c>
      <c r="BK101" s="35">
        <v>5.0</v>
      </c>
      <c r="BL101" s="35">
        <v>5.0</v>
      </c>
      <c r="BM101" s="35">
        <v>1.0</v>
      </c>
      <c r="BN101" s="35">
        <v>3.0</v>
      </c>
      <c r="BO101" s="35">
        <v>3.0</v>
      </c>
      <c r="BP101" s="35">
        <v>3.0</v>
      </c>
      <c r="BQ101" s="35">
        <v>3.0</v>
      </c>
      <c r="BR101" s="35">
        <v>3.0</v>
      </c>
      <c r="BS101" s="35">
        <v>5.0</v>
      </c>
      <c r="BT101" s="35">
        <v>2.0</v>
      </c>
      <c r="BU101" s="44">
        <f t="shared" si="4"/>
        <v>3</v>
      </c>
      <c r="BV101" s="44">
        <f t="shared" si="137"/>
        <v>4</v>
      </c>
      <c r="BW101" s="44">
        <f t="shared" si="138"/>
        <v>34</v>
      </c>
      <c r="BX101" s="44" t="str">
        <f t="shared" si="7"/>
        <v>FATIGA</v>
      </c>
      <c r="BY101" s="35">
        <v>4.0</v>
      </c>
      <c r="BZ101" s="35">
        <v>1.0</v>
      </c>
      <c r="CA101" s="35">
        <v>0.0</v>
      </c>
      <c r="CB101" s="35">
        <v>0.0</v>
      </c>
      <c r="CC101" s="35">
        <v>0.0</v>
      </c>
      <c r="CD101" s="35">
        <v>0.0</v>
      </c>
      <c r="CE101" s="35">
        <v>5.0</v>
      </c>
      <c r="CF101" s="35">
        <v>4.0</v>
      </c>
      <c r="CG101" s="35">
        <v>0.0</v>
      </c>
      <c r="CH101" s="35">
        <v>4.0</v>
      </c>
      <c r="CI101" s="35">
        <v>0.0</v>
      </c>
      <c r="CJ101" s="44">
        <f t="shared" si="27"/>
        <v>5880</v>
      </c>
      <c r="CK101" s="44">
        <f t="shared" si="28"/>
        <v>9</v>
      </c>
      <c r="CL101" s="44" t="str">
        <f t="shared" si="29"/>
        <v>Nivel de actividad física alto</v>
      </c>
      <c r="CM101" s="44" t="str">
        <f t="shared" si="30"/>
        <v>Nivel de actividad física moderado</v>
      </c>
      <c r="CN101" s="45" t="str">
        <f t="shared" si="31"/>
        <v>Nivel de actividad física alto</v>
      </c>
      <c r="CO101" s="35">
        <v>23.0</v>
      </c>
      <c r="CP101" s="35">
        <v>60.0</v>
      </c>
      <c r="CQ101" s="44">
        <f t="shared" si="32"/>
        <v>2</v>
      </c>
      <c r="CR101" s="35">
        <v>6.0</v>
      </c>
      <c r="CS101" s="35">
        <v>15.0</v>
      </c>
      <c r="CT101" s="35">
        <v>6.2</v>
      </c>
      <c r="CU101" s="35">
        <v>6.0</v>
      </c>
      <c r="CV101" s="35">
        <v>3.0</v>
      </c>
      <c r="CW101" s="35">
        <v>2.0</v>
      </c>
      <c r="CX101" s="35">
        <v>0.0</v>
      </c>
      <c r="CY101" s="35">
        <v>1.0</v>
      </c>
      <c r="CZ101" s="35">
        <v>0.0</v>
      </c>
      <c r="DA101" s="35">
        <v>0.0</v>
      </c>
      <c r="DB101" s="35">
        <v>2.0</v>
      </c>
      <c r="DC101" s="35">
        <v>2.0</v>
      </c>
      <c r="DD101" s="35">
        <v>2.0</v>
      </c>
      <c r="DE101" s="35">
        <v>1.0</v>
      </c>
      <c r="DF101" s="36" t="s">
        <v>133</v>
      </c>
      <c r="DG101" s="53">
        <f t="shared" si="55"/>
        <v>10</v>
      </c>
      <c r="DH101" s="35">
        <v>1.0</v>
      </c>
      <c r="DI101" s="35">
        <v>0.0</v>
      </c>
      <c r="DJ101" s="35">
        <v>3.0</v>
      </c>
      <c r="DK101" s="35">
        <v>3.0</v>
      </c>
      <c r="DL101" s="46">
        <f t="shared" si="34"/>
        <v>96.77419355</v>
      </c>
      <c r="DM101" s="44">
        <f t="shared" si="35"/>
        <v>1</v>
      </c>
      <c r="DN101" s="44">
        <f t="shared" si="36"/>
        <v>2</v>
      </c>
      <c r="DO101" s="44">
        <f t="shared" si="37"/>
        <v>3</v>
      </c>
      <c r="DP101" s="44">
        <f t="shared" si="38"/>
        <v>3</v>
      </c>
      <c r="DQ101" s="44">
        <f t="shared" si="39"/>
        <v>0</v>
      </c>
      <c r="DR101" s="44">
        <f t="shared" ref="DR101:DS101" si="152">(DH101)</f>
        <v>1</v>
      </c>
      <c r="DS101" s="44">
        <f t="shared" si="152"/>
        <v>0</v>
      </c>
      <c r="DT101" s="44">
        <f t="shared" si="41"/>
        <v>10</v>
      </c>
      <c r="DU101" s="44" t="str">
        <f t="shared" si="42"/>
        <v>poor sleep quality</v>
      </c>
      <c r="DV101" s="35">
        <v>2.0</v>
      </c>
      <c r="DW101" s="36" t="s">
        <v>155</v>
      </c>
      <c r="DX101" s="35" t="s">
        <v>137</v>
      </c>
      <c r="DY101" s="35">
        <v>1.0</v>
      </c>
      <c r="DZ101" s="35" t="s">
        <v>131</v>
      </c>
      <c r="EA101" s="35" t="s">
        <v>157</v>
      </c>
      <c r="EB101" s="35" t="s">
        <v>139</v>
      </c>
      <c r="EC101" s="35" t="s">
        <v>131</v>
      </c>
      <c r="ED101" s="35" t="s">
        <v>131</v>
      </c>
      <c r="EE101" s="35" t="s">
        <v>141</v>
      </c>
      <c r="EF101" s="35">
        <f t="shared" ref="EF101:EF131" si="154">C101-M101</f>
        <v>627</v>
      </c>
      <c r="EG101" s="35">
        <f t="shared" ref="EG101:EG115" si="155">C101-O101</f>
        <v>627</v>
      </c>
      <c r="EH101" s="47">
        <f t="shared" si="24"/>
        <v>34.52708907</v>
      </c>
    </row>
    <row r="102" ht="15.75" customHeight="1">
      <c r="A102" s="43" t="s">
        <v>412</v>
      </c>
      <c r="B102" s="36" t="s">
        <v>175</v>
      </c>
      <c r="C102" s="37">
        <v>45219.0</v>
      </c>
      <c r="D102" s="48">
        <v>56.0</v>
      </c>
      <c r="E102" s="35" t="s">
        <v>130</v>
      </c>
      <c r="F102" s="35">
        <v>160.0</v>
      </c>
      <c r="G102" s="39">
        <v>110.0</v>
      </c>
      <c r="H102" s="40" t="s">
        <v>131</v>
      </c>
      <c r="I102" s="35">
        <v>2.0</v>
      </c>
      <c r="J102" s="41">
        <v>44197.0</v>
      </c>
      <c r="K102" s="35" t="s">
        <v>131</v>
      </c>
      <c r="L102" s="35">
        <v>1.0</v>
      </c>
      <c r="M102" s="41">
        <v>44197.0</v>
      </c>
      <c r="N102" s="35">
        <v>1.0</v>
      </c>
      <c r="O102" s="41">
        <v>44197.0</v>
      </c>
      <c r="P102" s="35" t="s">
        <v>132</v>
      </c>
      <c r="Q102" s="36" t="s">
        <v>133</v>
      </c>
      <c r="R102" s="36" t="s">
        <v>133</v>
      </c>
      <c r="S102" s="36" t="s">
        <v>133</v>
      </c>
      <c r="T102" s="36" t="s">
        <v>133</v>
      </c>
      <c r="U102" s="36" t="s">
        <v>133</v>
      </c>
      <c r="V102" s="36" t="str">
        <f t="shared" si="151"/>
        <v>Paciente ambulatorio</v>
      </c>
      <c r="W102" s="35" t="s">
        <v>176</v>
      </c>
      <c r="X102" s="35" t="s">
        <v>132</v>
      </c>
      <c r="Y102" s="35">
        <v>1.0</v>
      </c>
      <c r="Z102" s="35">
        <v>1.0</v>
      </c>
      <c r="AA102" s="35">
        <v>1.0</v>
      </c>
      <c r="AB102" s="35">
        <v>1.0</v>
      </c>
      <c r="AC102" s="35">
        <v>1.0</v>
      </c>
      <c r="AD102" s="35">
        <v>1.0</v>
      </c>
      <c r="AE102" s="35">
        <v>1.0</v>
      </c>
      <c r="AF102" s="35">
        <v>1.0</v>
      </c>
      <c r="AG102" s="35">
        <v>3.0</v>
      </c>
      <c r="AH102" s="35">
        <v>1.0</v>
      </c>
      <c r="AI102" s="35">
        <v>1.0</v>
      </c>
      <c r="AJ102" s="35">
        <v>1.0</v>
      </c>
      <c r="AK102" s="36" t="s">
        <v>133</v>
      </c>
      <c r="AL102" s="40" t="s">
        <v>131</v>
      </c>
      <c r="AM102" s="35" t="s">
        <v>132</v>
      </c>
      <c r="AN102" s="35" t="s">
        <v>132</v>
      </c>
      <c r="AO102" s="35" t="s">
        <v>132</v>
      </c>
      <c r="AP102" s="35" t="s">
        <v>132</v>
      </c>
      <c r="AQ102" s="35" t="s">
        <v>132</v>
      </c>
      <c r="AR102" s="35" t="s">
        <v>132</v>
      </c>
      <c r="AS102" s="35" t="s">
        <v>131</v>
      </c>
      <c r="AT102" s="35" t="s">
        <v>132</v>
      </c>
      <c r="AU102" s="35" t="s">
        <v>132</v>
      </c>
      <c r="AV102" s="35" t="s">
        <v>131</v>
      </c>
      <c r="AW102" s="35" t="s">
        <v>413</v>
      </c>
      <c r="AX102" s="35" t="s">
        <v>165</v>
      </c>
      <c r="AY102" s="36" t="s">
        <v>133</v>
      </c>
      <c r="AZ102" s="36" t="s">
        <v>133</v>
      </c>
      <c r="BA102" s="35">
        <v>10.0</v>
      </c>
      <c r="BB102" s="35" t="s">
        <v>145</v>
      </c>
      <c r="BC102" s="36" t="s">
        <v>133</v>
      </c>
      <c r="BD102" s="40">
        <v>2.0</v>
      </c>
      <c r="BE102" s="35">
        <v>1.0</v>
      </c>
      <c r="BF102" s="35">
        <v>1.0</v>
      </c>
      <c r="BG102" s="35">
        <v>2.0</v>
      </c>
      <c r="BH102" s="35">
        <v>2.0</v>
      </c>
      <c r="BI102" s="44" t="str">
        <f t="shared" si="3"/>
        <v>21122</v>
      </c>
      <c r="BJ102" s="35">
        <v>60.0</v>
      </c>
      <c r="BK102" s="35">
        <v>4.0</v>
      </c>
      <c r="BL102" s="35">
        <v>4.0</v>
      </c>
      <c r="BM102" s="35">
        <v>3.0</v>
      </c>
      <c r="BN102" s="35">
        <v>3.0</v>
      </c>
      <c r="BO102" s="35">
        <v>4.0</v>
      </c>
      <c r="BP102" s="35">
        <v>4.0</v>
      </c>
      <c r="BQ102" s="35">
        <v>4.0</v>
      </c>
      <c r="BR102" s="35">
        <v>2.0</v>
      </c>
      <c r="BS102" s="35">
        <v>3.0</v>
      </c>
      <c r="BT102" s="35">
        <v>3.0</v>
      </c>
      <c r="BU102" s="44">
        <f t="shared" si="4"/>
        <v>3</v>
      </c>
      <c r="BV102" s="44">
        <f t="shared" si="137"/>
        <v>3</v>
      </c>
      <c r="BW102" s="44">
        <f t="shared" si="138"/>
        <v>34</v>
      </c>
      <c r="BX102" s="44" t="str">
        <f t="shared" si="7"/>
        <v>FATIGA</v>
      </c>
      <c r="BY102" s="35">
        <v>0.0</v>
      </c>
      <c r="BZ102" s="35">
        <v>0.0</v>
      </c>
      <c r="CA102" s="35">
        <v>0.0</v>
      </c>
      <c r="CB102" s="35">
        <v>3.0</v>
      </c>
      <c r="CC102" s="35">
        <v>1.0</v>
      </c>
      <c r="CD102" s="35">
        <v>0.0</v>
      </c>
      <c r="CE102" s="35">
        <v>2.0</v>
      </c>
      <c r="CF102" s="35">
        <v>0.0</v>
      </c>
      <c r="CG102" s="35">
        <v>10.0</v>
      </c>
      <c r="CH102" s="35">
        <v>4.0</v>
      </c>
      <c r="CI102" s="35">
        <v>0.0</v>
      </c>
      <c r="CJ102" s="44">
        <f t="shared" si="27"/>
        <v>786</v>
      </c>
      <c r="CK102" s="44">
        <f t="shared" si="28"/>
        <v>5</v>
      </c>
      <c r="CL102" s="44" t="b">
        <f t="shared" si="29"/>
        <v>0</v>
      </c>
      <c r="CM102" s="44" t="b">
        <f t="shared" si="30"/>
        <v>0</v>
      </c>
      <c r="CN102" s="45" t="str">
        <f t="shared" si="31"/>
        <v>Nivel de actividad física bajo</v>
      </c>
      <c r="CO102" s="35">
        <v>1.0</v>
      </c>
      <c r="CP102" s="35">
        <v>30.0</v>
      </c>
      <c r="CQ102" s="44">
        <f t="shared" si="32"/>
        <v>1</v>
      </c>
      <c r="CR102" s="35">
        <v>8.0</v>
      </c>
      <c r="CS102" s="35">
        <v>0.0</v>
      </c>
      <c r="CT102" s="35">
        <v>7.0</v>
      </c>
      <c r="CU102" s="35">
        <v>6.0</v>
      </c>
      <c r="CV102" s="35">
        <v>2.0</v>
      </c>
      <c r="CW102" s="35">
        <v>3.0</v>
      </c>
      <c r="CX102" s="35">
        <v>3.0</v>
      </c>
      <c r="CY102" s="35">
        <v>2.0</v>
      </c>
      <c r="CZ102" s="35">
        <v>3.0</v>
      </c>
      <c r="DA102" s="35">
        <v>0.0</v>
      </c>
      <c r="DB102" s="35">
        <v>3.0</v>
      </c>
      <c r="DC102" s="35">
        <v>1.0</v>
      </c>
      <c r="DD102" s="35">
        <v>2.0</v>
      </c>
      <c r="DE102" s="35">
        <v>0.0</v>
      </c>
      <c r="DF102" s="36" t="s">
        <v>133</v>
      </c>
      <c r="DG102" s="53">
        <f t="shared" si="55"/>
        <v>17</v>
      </c>
      <c r="DH102" s="35">
        <v>1.0</v>
      </c>
      <c r="DI102" s="35">
        <v>0.0</v>
      </c>
      <c r="DJ102" s="35">
        <v>3.0</v>
      </c>
      <c r="DK102" s="35">
        <v>2.0</v>
      </c>
      <c r="DL102" s="46">
        <f t="shared" si="34"/>
        <v>85.71428571</v>
      </c>
      <c r="DM102" s="44">
        <f t="shared" si="35"/>
        <v>1</v>
      </c>
      <c r="DN102" s="44">
        <f t="shared" si="36"/>
        <v>2</v>
      </c>
      <c r="DO102" s="44">
        <f t="shared" si="37"/>
        <v>2</v>
      </c>
      <c r="DP102" s="44">
        <f t="shared" si="38"/>
        <v>3</v>
      </c>
      <c r="DQ102" s="44">
        <f t="shared" si="39"/>
        <v>0</v>
      </c>
      <c r="DR102" s="44">
        <f t="shared" ref="DR102:DS102" si="153">(DH102)</f>
        <v>1</v>
      </c>
      <c r="DS102" s="44">
        <f t="shared" si="153"/>
        <v>0</v>
      </c>
      <c r="DT102" s="44">
        <f t="shared" si="41"/>
        <v>9</v>
      </c>
      <c r="DU102" s="44" t="str">
        <f t="shared" si="42"/>
        <v>poor sleep quality</v>
      </c>
      <c r="DV102" s="35">
        <v>2.0</v>
      </c>
      <c r="DW102" s="35" t="s">
        <v>149</v>
      </c>
      <c r="DX102" s="35" t="s">
        <v>213</v>
      </c>
      <c r="DY102" s="35">
        <v>1.0</v>
      </c>
      <c r="DZ102" s="35" t="s">
        <v>131</v>
      </c>
      <c r="EA102" s="35" t="s">
        <v>162</v>
      </c>
      <c r="EB102" s="35" t="s">
        <v>230</v>
      </c>
      <c r="EC102" s="35" t="s">
        <v>131</v>
      </c>
      <c r="ED102" s="36" t="s">
        <v>133</v>
      </c>
      <c r="EE102" s="35" t="s">
        <v>141</v>
      </c>
      <c r="EF102" s="35">
        <f t="shared" si="154"/>
        <v>1022</v>
      </c>
      <c r="EG102" s="35">
        <f t="shared" si="155"/>
        <v>1022</v>
      </c>
      <c r="EH102" s="47">
        <f t="shared" si="24"/>
        <v>42.96875</v>
      </c>
    </row>
    <row r="103" ht="15.75" customHeight="1">
      <c r="A103" s="43" t="s">
        <v>414</v>
      </c>
      <c r="B103" s="36" t="s">
        <v>175</v>
      </c>
      <c r="C103" s="37">
        <v>45220.0</v>
      </c>
      <c r="D103" s="48">
        <v>53.0</v>
      </c>
      <c r="E103" s="36" t="s">
        <v>130</v>
      </c>
      <c r="F103" s="36">
        <v>173.0</v>
      </c>
      <c r="G103" s="58">
        <v>71.0</v>
      </c>
      <c r="H103" s="36" t="s">
        <v>131</v>
      </c>
      <c r="I103" s="36">
        <v>4.0</v>
      </c>
      <c r="J103" s="42">
        <v>44783.0</v>
      </c>
      <c r="K103" s="36" t="s">
        <v>131</v>
      </c>
      <c r="L103" s="36">
        <v>1.0</v>
      </c>
      <c r="M103" s="42">
        <v>44044.0</v>
      </c>
      <c r="N103" s="36">
        <v>0.0</v>
      </c>
      <c r="O103" s="42">
        <v>44044.0</v>
      </c>
      <c r="P103" s="36" t="s">
        <v>132</v>
      </c>
      <c r="Q103" s="36" t="s">
        <v>133</v>
      </c>
      <c r="R103" s="36" t="s">
        <v>133</v>
      </c>
      <c r="S103" s="36" t="s">
        <v>133</v>
      </c>
      <c r="T103" s="36" t="s">
        <v>133</v>
      </c>
      <c r="U103" s="36" t="s">
        <v>133</v>
      </c>
      <c r="V103" s="36" t="str">
        <f t="shared" si="151"/>
        <v>Paciente ambulatorio</v>
      </c>
      <c r="W103" s="36" t="s">
        <v>176</v>
      </c>
      <c r="X103" s="36" t="s">
        <v>132</v>
      </c>
      <c r="Y103" s="36">
        <v>2.0</v>
      </c>
      <c r="Z103" s="36">
        <v>1.0</v>
      </c>
      <c r="AA103" s="36">
        <v>1.0</v>
      </c>
      <c r="AB103" s="36">
        <v>1.0</v>
      </c>
      <c r="AC103" s="36">
        <v>3.0</v>
      </c>
      <c r="AD103" s="36">
        <v>2.0</v>
      </c>
      <c r="AE103" s="36">
        <v>2.0</v>
      </c>
      <c r="AF103" s="36">
        <v>1.0</v>
      </c>
      <c r="AG103" s="36">
        <v>1.0</v>
      </c>
      <c r="AH103" s="36">
        <v>1.0</v>
      </c>
      <c r="AI103" s="36">
        <v>1.0</v>
      </c>
      <c r="AJ103" s="36">
        <v>1.0</v>
      </c>
      <c r="AK103" s="36" t="s">
        <v>133</v>
      </c>
      <c r="AL103" s="40" t="s">
        <v>132</v>
      </c>
      <c r="AM103" s="35" t="s">
        <v>132</v>
      </c>
      <c r="AN103" s="35" t="s">
        <v>132</v>
      </c>
      <c r="AO103" s="35" t="s">
        <v>132</v>
      </c>
      <c r="AP103" s="35" t="s">
        <v>132</v>
      </c>
      <c r="AQ103" s="35" t="s">
        <v>132</v>
      </c>
      <c r="AR103" s="35" t="s">
        <v>132</v>
      </c>
      <c r="AS103" s="35" t="s">
        <v>132</v>
      </c>
      <c r="AT103" s="35" t="s">
        <v>132</v>
      </c>
      <c r="AU103" s="35" t="s">
        <v>132</v>
      </c>
      <c r="AV103" s="35" t="s">
        <v>131</v>
      </c>
      <c r="AW103" s="36" t="s">
        <v>415</v>
      </c>
      <c r="AX103" s="36" t="s">
        <v>132</v>
      </c>
      <c r="AY103" s="36" t="s">
        <v>133</v>
      </c>
      <c r="AZ103" s="36" t="s">
        <v>133</v>
      </c>
      <c r="BA103" s="36" t="s">
        <v>133</v>
      </c>
      <c r="BB103" s="36" t="s">
        <v>145</v>
      </c>
      <c r="BC103" s="36" t="s">
        <v>133</v>
      </c>
      <c r="BD103" s="36">
        <v>1.0</v>
      </c>
      <c r="BE103" s="36">
        <v>1.0</v>
      </c>
      <c r="BF103" s="36">
        <v>2.0</v>
      </c>
      <c r="BG103" s="36">
        <v>2.0</v>
      </c>
      <c r="BH103" s="36">
        <v>2.0</v>
      </c>
      <c r="BI103" s="44" t="str">
        <f t="shared" si="3"/>
        <v>11222</v>
      </c>
      <c r="BJ103" s="36">
        <v>70.0</v>
      </c>
      <c r="BK103" s="36">
        <v>2.0</v>
      </c>
      <c r="BL103" s="36">
        <v>2.0</v>
      </c>
      <c r="BM103" s="36">
        <v>2.0</v>
      </c>
      <c r="BN103" s="36">
        <v>2.0</v>
      </c>
      <c r="BO103" s="36">
        <v>2.0</v>
      </c>
      <c r="BP103" s="36">
        <v>2.0</v>
      </c>
      <c r="BQ103" s="36">
        <v>2.0</v>
      </c>
      <c r="BR103" s="36">
        <v>2.0</v>
      </c>
      <c r="BS103" s="36">
        <v>2.0</v>
      </c>
      <c r="BT103" s="36">
        <v>2.0</v>
      </c>
      <c r="BU103" s="53">
        <f t="shared" si="4"/>
        <v>4</v>
      </c>
      <c r="BV103" s="53">
        <f t="shared" si="137"/>
        <v>4</v>
      </c>
      <c r="BW103" s="53">
        <f t="shared" si="138"/>
        <v>22</v>
      </c>
      <c r="BX103" s="53" t="str">
        <f t="shared" si="7"/>
        <v>FATIGA</v>
      </c>
      <c r="BY103" s="36">
        <v>0.0</v>
      </c>
      <c r="BZ103" s="36">
        <v>0.0</v>
      </c>
      <c r="CA103" s="36">
        <v>0.0</v>
      </c>
      <c r="CB103" s="36">
        <v>0.0</v>
      </c>
      <c r="CC103" s="36">
        <v>0.0</v>
      </c>
      <c r="CD103" s="36">
        <v>0.0</v>
      </c>
      <c r="CE103" s="36">
        <v>0.0</v>
      </c>
      <c r="CF103" s="36">
        <v>0.0</v>
      </c>
      <c r="CG103" s="36">
        <v>0.0</v>
      </c>
      <c r="CH103" s="36">
        <v>5.0</v>
      </c>
      <c r="CI103" s="36">
        <v>0.0</v>
      </c>
      <c r="CJ103" s="53">
        <f t="shared" si="27"/>
        <v>0</v>
      </c>
      <c r="CK103" s="44">
        <f t="shared" si="28"/>
        <v>0</v>
      </c>
      <c r="CL103" s="44" t="b">
        <f t="shared" si="29"/>
        <v>0</v>
      </c>
      <c r="CM103" s="44" t="b">
        <f t="shared" si="30"/>
        <v>0</v>
      </c>
      <c r="CN103" s="45" t="str">
        <f t="shared" si="31"/>
        <v>Nivel de actividad física bajo</v>
      </c>
      <c r="CO103" s="67">
        <v>0.9791666666666666</v>
      </c>
      <c r="CP103" s="36">
        <v>60.0</v>
      </c>
      <c r="CQ103" s="53">
        <f t="shared" si="32"/>
        <v>2</v>
      </c>
      <c r="CR103" s="36">
        <v>6.0</v>
      </c>
      <c r="CS103" s="36">
        <v>30.0</v>
      </c>
      <c r="CT103" s="36">
        <v>7.0</v>
      </c>
      <c r="CU103" s="36">
        <v>3.0</v>
      </c>
      <c r="CV103" s="36">
        <v>3.0</v>
      </c>
      <c r="CW103" s="36">
        <v>3.0</v>
      </c>
      <c r="CX103" s="36">
        <v>3.0</v>
      </c>
      <c r="CY103" s="36">
        <v>0.0</v>
      </c>
      <c r="CZ103" s="36">
        <v>0.0</v>
      </c>
      <c r="DA103" s="36">
        <v>3.0</v>
      </c>
      <c r="DB103" s="36">
        <v>3.0</v>
      </c>
      <c r="DC103" s="36">
        <v>0.0</v>
      </c>
      <c r="DD103" s="36">
        <v>0.0</v>
      </c>
      <c r="DE103" s="36">
        <v>3.0</v>
      </c>
      <c r="DF103" s="36" t="s">
        <v>416</v>
      </c>
      <c r="DG103" s="53">
        <f t="shared" si="55"/>
        <v>15</v>
      </c>
      <c r="DH103" s="36">
        <v>3.0</v>
      </c>
      <c r="DI103" s="36">
        <v>0.0</v>
      </c>
      <c r="DJ103" s="36">
        <v>3.0</v>
      </c>
      <c r="DK103" s="36">
        <v>2.0</v>
      </c>
      <c r="DL103" s="68">
        <f t="shared" si="34"/>
        <v>42.85714286</v>
      </c>
      <c r="DM103" s="53">
        <f t="shared" si="35"/>
        <v>3</v>
      </c>
      <c r="DN103" s="53">
        <f t="shared" si="36"/>
        <v>2</v>
      </c>
      <c r="DO103" s="53">
        <f t="shared" si="37"/>
        <v>3</v>
      </c>
      <c r="DP103" s="53">
        <f t="shared" si="38"/>
        <v>3</v>
      </c>
      <c r="DQ103" s="53">
        <f t="shared" si="39"/>
        <v>3</v>
      </c>
      <c r="DR103" s="53">
        <f t="shared" ref="DR103:DS103" si="156">(DH103)</f>
        <v>3</v>
      </c>
      <c r="DS103" s="53">
        <f t="shared" si="156"/>
        <v>0</v>
      </c>
      <c r="DT103" s="53">
        <f t="shared" si="41"/>
        <v>17</v>
      </c>
      <c r="DU103" s="53" t="str">
        <f t="shared" si="42"/>
        <v>poor sleep quality</v>
      </c>
      <c r="DV103" s="36">
        <v>2.0</v>
      </c>
      <c r="DW103" s="36" t="s">
        <v>155</v>
      </c>
      <c r="DX103" s="36" t="s">
        <v>207</v>
      </c>
      <c r="DY103" s="36">
        <v>1.0</v>
      </c>
      <c r="DZ103" s="36" t="s">
        <v>131</v>
      </c>
      <c r="EA103" s="36" t="s">
        <v>178</v>
      </c>
      <c r="EB103" s="36" t="s">
        <v>172</v>
      </c>
      <c r="EC103" s="36" t="s">
        <v>133</v>
      </c>
      <c r="ED103" s="36" t="s">
        <v>131</v>
      </c>
      <c r="EE103" s="36" t="s">
        <v>141</v>
      </c>
      <c r="EF103" s="35">
        <f t="shared" si="154"/>
        <v>1176</v>
      </c>
      <c r="EG103" s="35">
        <f t="shared" si="155"/>
        <v>1176</v>
      </c>
      <c r="EH103" s="47">
        <f t="shared" si="24"/>
        <v>23.72281065</v>
      </c>
    </row>
    <row r="104" ht="15.75" customHeight="1">
      <c r="A104" s="43" t="s">
        <v>417</v>
      </c>
      <c r="B104" s="36" t="s">
        <v>175</v>
      </c>
      <c r="C104" s="37">
        <v>45227.0</v>
      </c>
      <c r="D104" s="48">
        <v>43.0</v>
      </c>
      <c r="E104" s="36" t="s">
        <v>153</v>
      </c>
      <c r="F104" s="36">
        <v>169.0</v>
      </c>
      <c r="G104" s="58">
        <v>67.0</v>
      </c>
      <c r="H104" s="36" t="s">
        <v>131</v>
      </c>
      <c r="I104" s="36">
        <v>2.0</v>
      </c>
      <c r="J104" s="42">
        <v>44501.0</v>
      </c>
      <c r="K104" s="36" t="s">
        <v>131</v>
      </c>
      <c r="L104" s="36">
        <v>1.0</v>
      </c>
      <c r="M104" s="42">
        <v>44013.0</v>
      </c>
      <c r="N104" s="36">
        <v>0.0</v>
      </c>
      <c r="O104" s="42">
        <v>44013.0</v>
      </c>
      <c r="P104" s="36" t="s">
        <v>132</v>
      </c>
      <c r="Q104" s="36" t="s">
        <v>133</v>
      </c>
      <c r="R104" s="36" t="s">
        <v>133</v>
      </c>
      <c r="S104" s="36" t="s">
        <v>133</v>
      </c>
      <c r="T104" s="36" t="s">
        <v>133</v>
      </c>
      <c r="U104" s="36" t="s">
        <v>133</v>
      </c>
      <c r="V104" s="36" t="str">
        <f t="shared" si="151"/>
        <v>Paciente ambulatorio</v>
      </c>
      <c r="W104" s="36" t="s">
        <v>183</v>
      </c>
      <c r="X104" s="36" t="s">
        <v>132</v>
      </c>
      <c r="Y104" s="36">
        <v>1.0</v>
      </c>
      <c r="Z104" s="36">
        <v>1.0</v>
      </c>
      <c r="AA104" s="36">
        <v>3.0</v>
      </c>
      <c r="AB104" s="36">
        <v>3.0</v>
      </c>
      <c r="AC104" s="36">
        <v>1.0</v>
      </c>
      <c r="AD104" s="36">
        <v>3.0</v>
      </c>
      <c r="AE104" s="36">
        <v>1.0</v>
      </c>
      <c r="AF104" s="36">
        <v>1.0</v>
      </c>
      <c r="AG104" s="36">
        <v>1.0</v>
      </c>
      <c r="AH104" s="36">
        <v>3.0</v>
      </c>
      <c r="AI104" s="36">
        <v>1.0</v>
      </c>
      <c r="AJ104" s="36">
        <v>1.0</v>
      </c>
      <c r="AK104" s="36" t="s">
        <v>133</v>
      </c>
      <c r="AL104" s="40" t="s">
        <v>132</v>
      </c>
      <c r="AM104" s="35" t="s">
        <v>132</v>
      </c>
      <c r="AN104" s="35" t="s">
        <v>132</v>
      </c>
      <c r="AO104" s="35" t="s">
        <v>132</v>
      </c>
      <c r="AP104" s="35" t="s">
        <v>132</v>
      </c>
      <c r="AQ104" s="35" t="s">
        <v>132</v>
      </c>
      <c r="AR104" s="35" t="s">
        <v>132</v>
      </c>
      <c r="AS104" s="35" t="s">
        <v>132</v>
      </c>
      <c r="AT104" s="35" t="s">
        <v>132</v>
      </c>
      <c r="AU104" s="35" t="s">
        <v>132</v>
      </c>
      <c r="AV104" s="35" t="s">
        <v>132</v>
      </c>
      <c r="AW104" s="36" t="s">
        <v>133</v>
      </c>
      <c r="AX104" s="36" t="s">
        <v>131</v>
      </c>
      <c r="AY104" s="36">
        <v>20.0</v>
      </c>
      <c r="AZ104" s="36" t="s">
        <v>133</v>
      </c>
      <c r="BA104" s="36" t="s">
        <v>133</v>
      </c>
      <c r="BB104" s="36" t="s">
        <v>145</v>
      </c>
      <c r="BC104" s="36" t="s">
        <v>133</v>
      </c>
      <c r="BD104" s="36">
        <v>1.0</v>
      </c>
      <c r="BE104" s="36">
        <v>1.0</v>
      </c>
      <c r="BF104" s="36">
        <v>4.0</v>
      </c>
      <c r="BG104" s="36">
        <v>4.0</v>
      </c>
      <c r="BH104" s="36">
        <v>3.0</v>
      </c>
      <c r="BI104" s="44" t="str">
        <f t="shared" si="3"/>
        <v>11443</v>
      </c>
      <c r="BJ104" s="36">
        <v>50.0</v>
      </c>
      <c r="BK104" s="36">
        <v>5.0</v>
      </c>
      <c r="BL104" s="36">
        <v>5.0</v>
      </c>
      <c r="BM104" s="36">
        <v>3.0</v>
      </c>
      <c r="BN104" s="36">
        <v>2.0</v>
      </c>
      <c r="BO104" s="36">
        <v>1.0</v>
      </c>
      <c r="BP104" s="36">
        <v>5.0</v>
      </c>
      <c r="BQ104" s="36">
        <v>5.0</v>
      </c>
      <c r="BR104" s="36">
        <v>4.0</v>
      </c>
      <c r="BS104" s="36">
        <v>5.0</v>
      </c>
      <c r="BT104" s="36">
        <v>5.0</v>
      </c>
      <c r="BU104" s="53">
        <f t="shared" si="4"/>
        <v>4</v>
      </c>
      <c r="BV104" s="53">
        <f t="shared" si="137"/>
        <v>1</v>
      </c>
      <c r="BW104" s="53">
        <f t="shared" si="138"/>
        <v>39</v>
      </c>
      <c r="BX104" s="53" t="str">
        <f t="shared" si="7"/>
        <v>FATIGA EXTREMA</v>
      </c>
      <c r="BY104" s="36">
        <v>0.0</v>
      </c>
      <c r="BZ104" s="36">
        <v>0.0</v>
      </c>
      <c r="CA104" s="36">
        <v>0.0</v>
      </c>
      <c r="CB104" s="36">
        <v>0.0</v>
      </c>
      <c r="CC104" s="36">
        <v>0.0</v>
      </c>
      <c r="CD104" s="36">
        <v>0.0</v>
      </c>
      <c r="CE104" s="36">
        <v>0.0</v>
      </c>
      <c r="CF104" s="36">
        <v>0.0</v>
      </c>
      <c r="CG104" s="36">
        <v>0.0</v>
      </c>
      <c r="CH104" s="36">
        <v>12.0</v>
      </c>
      <c r="CI104" s="36">
        <v>0.0</v>
      </c>
      <c r="CJ104" s="53">
        <f t="shared" si="27"/>
        <v>0</v>
      </c>
      <c r="CK104" s="44">
        <f t="shared" si="28"/>
        <v>0</v>
      </c>
      <c r="CL104" s="44" t="b">
        <f t="shared" si="29"/>
        <v>0</v>
      </c>
      <c r="CM104" s="44" t="b">
        <f t="shared" si="30"/>
        <v>0</v>
      </c>
      <c r="CN104" s="45" t="str">
        <f t="shared" si="31"/>
        <v>Nivel de actividad física bajo</v>
      </c>
      <c r="CO104" s="67">
        <v>1.0208333333333333</v>
      </c>
      <c r="CP104" s="36">
        <v>5.0</v>
      </c>
      <c r="CQ104" s="53">
        <f t="shared" si="32"/>
        <v>0</v>
      </c>
      <c r="CR104" s="36">
        <v>7.0</v>
      </c>
      <c r="CS104" s="36">
        <v>0.0</v>
      </c>
      <c r="CT104" s="36">
        <v>6.5</v>
      </c>
      <c r="CU104" s="36">
        <v>7.0</v>
      </c>
      <c r="CV104" s="36">
        <v>0.0</v>
      </c>
      <c r="CW104" s="36">
        <v>0.0</v>
      </c>
      <c r="CX104" s="36">
        <v>0.0</v>
      </c>
      <c r="CY104" s="36">
        <v>3.0</v>
      </c>
      <c r="CZ104" s="36">
        <v>1.0</v>
      </c>
      <c r="DA104" s="36">
        <v>0.0</v>
      </c>
      <c r="DB104" s="36">
        <v>0.0</v>
      </c>
      <c r="DC104" s="36">
        <v>0.0</v>
      </c>
      <c r="DD104" s="36">
        <v>0.0</v>
      </c>
      <c r="DE104" s="36" t="s">
        <v>133</v>
      </c>
      <c r="DF104" s="36" t="s">
        <v>133</v>
      </c>
      <c r="DG104" s="53">
        <f t="shared" si="55"/>
        <v>4</v>
      </c>
      <c r="DH104" s="36">
        <v>1.0</v>
      </c>
      <c r="DI104" s="36">
        <v>0.0</v>
      </c>
      <c r="DJ104" s="36">
        <v>3.0</v>
      </c>
      <c r="DK104" s="36">
        <v>2.0</v>
      </c>
      <c r="DL104" s="68">
        <f t="shared" si="34"/>
        <v>107.6923077</v>
      </c>
      <c r="DM104" s="53">
        <f t="shared" si="35"/>
        <v>0</v>
      </c>
      <c r="DN104" s="53">
        <f t="shared" si="36"/>
        <v>1</v>
      </c>
      <c r="DO104" s="53">
        <f t="shared" si="37"/>
        <v>0</v>
      </c>
      <c r="DP104" s="53">
        <f t="shared" si="38"/>
        <v>3</v>
      </c>
      <c r="DQ104" s="53">
        <f t="shared" si="39"/>
        <v>0</v>
      </c>
      <c r="DR104" s="53">
        <f t="shared" ref="DR104:DS104" si="157">(DH104)</f>
        <v>1</v>
      </c>
      <c r="DS104" s="53">
        <f t="shared" si="157"/>
        <v>0</v>
      </c>
      <c r="DT104" s="53">
        <f t="shared" si="41"/>
        <v>5</v>
      </c>
      <c r="DU104" s="53" t="str">
        <f t="shared" si="42"/>
        <v>good sleep quality</v>
      </c>
      <c r="DV104" s="36">
        <v>3.0</v>
      </c>
      <c r="DW104" s="35" t="s">
        <v>314</v>
      </c>
      <c r="DX104" s="36" t="s">
        <v>146</v>
      </c>
      <c r="DY104" s="36">
        <v>1.0</v>
      </c>
      <c r="DZ104" s="36" t="s">
        <v>131</v>
      </c>
      <c r="EA104" s="36" t="s">
        <v>202</v>
      </c>
      <c r="EB104" s="36" t="s">
        <v>139</v>
      </c>
      <c r="EC104" s="36" t="s">
        <v>133</v>
      </c>
      <c r="ED104" s="36" t="s">
        <v>133</v>
      </c>
      <c r="EE104" s="36" t="s">
        <v>158</v>
      </c>
      <c r="EF104" s="35">
        <f t="shared" si="154"/>
        <v>1214</v>
      </c>
      <c r="EG104" s="35">
        <f t="shared" si="155"/>
        <v>1214</v>
      </c>
      <c r="EH104" s="47">
        <f t="shared" si="24"/>
        <v>23.45856238</v>
      </c>
    </row>
    <row r="105" ht="15.75" customHeight="1">
      <c r="A105" s="43" t="s">
        <v>418</v>
      </c>
      <c r="B105" s="36" t="s">
        <v>175</v>
      </c>
      <c r="C105" s="37">
        <v>45227.0</v>
      </c>
      <c r="D105" s="48">
        <v>43.0</v>
      </c>
      <c r="E105" s="36" t="s">
        <v>153</v>
      </c>
      <c r="F105" s="36">
        <v>183.0</v>
      </c>
      <c r="G105" s="58">
        <v>96.0</v>
      </c>
      <c r="H105" s="36" t="s">
        <v>131</v>
      </c>
      <c r="I105" s="36">
        <v>3.0</v>
      </c>
      <c r="J105" s="42">
        <v>44562.0</v>
      </c>
      <c r="K105" s="36" t="s">
        <v>131</v>
      </c>
      <c r="L105" s="36">
        <v>1.0</v>
      </c>
      <c r="M105" s="42">
        <v>44013.0</v>
      </c>
      <c r="N105" s="36">
        <v>0.0</v>
      </c>
      <c r="O105" s="42">
        <v>44013.0</v>
      </c>
      <c r="P105" s="36" t="s">
        <v>132</v>
      </c>
      <c r="Q105" s="36" t="s">
        <v>133</v>
      </c>
      <c r="R105" s="36" t="s">
        <v>133</v>
      </c>
      <c r="S105" s="36" t="s">
        <v>133</v>
      </c>
      <c r="T105" s="36" t="s">
        <v>133</v>
      </c>
      <c r="U105" s="36" t="s">
        <v>133</v>
      </c>
      <c r="V105" s="36" t="str">
        <f t="shared" si="151"/>
        <v>Paciente ambulatorio</v>
      </c>
      <c r="W105" s="36" t="s">
        <v>183</v>
      </c>
      <c r="X105" s="36" t="s">
        <v>132</v>
      </c>
      <c r="Y105" s="36">
        <v>3.0</v>
      </c>
      <c r="Z105" s="36">
        <v>1.0</v>
      </c>
      <c r="AA105" s="36">
        <v>3.0</v>
      </c>
      <c r="AB105" s="36">
        <v>3.0</v>
      </c>
      <c r="AC105" s="36">
        <v>3.0</v>
      </c>
      <c r="AD105" s="36">
        <v>3.0</v>
      </c>
      <c r="AE105" s="36">
        <v>3.0</v>
      </c>
      <c r="AF105" s="36">
        <v>1.0</v>
      </c>
      <c r="AG105" s="36">
        <v>1.0</v>
      </c>
      <c r="AH105" s="36">
        <v>3.0</v>
      </c>
      <c r="AI105" s="36">
        <v>1.0</v>
      </c>
      <c r="AJ105" s="36">
        <v>1.0</v>
      </c>
      <c r="AK105" s="36" t="s">
        <v>133</v>
      </c>
      <c r="AL105" s="40" t="s">
        <v>132</v>
      </c>
      <c r="AM105" s="35" t="s">
        <v>132</v>
      </c>
      <c r="AN105" s="35" t="s">
        <v>132</v>
      </c>
      <c r="AO105" s="35" t="s">
        <v>132</v>
      </c>
      <c r="AP105" s="35" t="s">
        <v>132</v>
      </c>
      <c r="AQ105" s="35" t="s">
        <v>132</v>
      </c>
      <c r="AR105" s="35" t="s">
        <v>132</v>
      </c>
      <c r="AS105" s="35" t="s">
        <v>132</v>
      </c>
      <c r="AT105" s="35" t="s">
        <v>132</v>
      </c>
      <c r="AU105" s="35" t="s">
        <v>132</v>
      </c>
      <c r="AV105" s="35" t="s">
        <v>132</v>
      </c>
      <c r="AW105" s="35" t="s">
        <v>132</v>
      </c>
      <c r="AX105" s="35" t="s">
        <v>131</v>
      </c>
      <c r="AY105" s="36">
        <v>9.0</v>
      </c>
      <c r="AZ105" s="36" t="s">
        <v>133</v>
      </c>
      <c r="BA105" s="36" t="s">
        <v>133</v>
      </c>
      <c r="BB105" s="36" t="s">
        <v>135</v>
      </c>
      <c r="BC105" s="58">
        <v>2.0</v>
      </c>
      <c r="BD105" s="36">
        <v>1.0</v>
      </c>
      <c r="BE105" s="36">
        <v>1.0</v>
      </c>
      <c r="BF105" s="36">
        <v>1.0</v>
      </c>
      <c r="BG105" s="36">
        <v>1.0</v>
      </c>
      <c r="BH105" s="36">
        <v>2.0</v>
      </c>
      <c r="BI105" s="44" t="str">
        <f t="shared" si="3"/>
        <v>11112</v>
      </c>
      <c r="BJ105" s="36">
        <v>80.0</v>
      </c>
      <c r="BK105" s="36">
        <v>4.0</v>
      </c>
      <c r="BL105" s="36">
        <v>5.0</v>
      </c>
      <c r="BM105" s="36">
        <v>2.0</v>
      </c>
      <c r="BN105" s="36">
        <v>4.0</v>
      </c>
      <c r="BO105" s="36">
        <v>4.0</v>
      </c>
      <c r="BP105" s="36">
        <v>1.0</v>
      </c>
      <c r="BQ105" s="36">
        <v>3.0</v>
      </c>
      <c r="BR105" s="36">
        <v>4.0</v>
      </c>
      <c r="BS105" s="36">
        <v>3.0</v>
      </c>
      <c r="BT105" s="36">
        <v>2.0</v>
      </c>
      <c r="BU105" s="53">
        <f t="shared" si="4"/>
        <v>2</v>
      </c>
      <c r="BV105" s="53">
        <f t="shared" si="137"/>
        <v>4</v>
      </c>
      <c r="BW105" s="53">
        <f t="shared" si="138"/>
        <v>32</v>
      </c>
      <c r="BX105" s="53" t="str">
        <f t="shared" si="7"/>
        <v>FATIGA</v>
      </c>
      <c r="BY105" s="36">
        <v>1.0</v>
      </c>
      <c r="BZ105" s="36">
        <v>0.0</v>
      </c>
      <c r="CA105" s="36">
        <v>45.0</v>
      </c>
      <c r="CB105" s="36">
        <v>1.0</v>
      </c>
      <c r="CC105" s="36">
        <v>2.0</v>
      </c>
      <c r="CD105" s="36">
        <v>30.0</v>
      </c>
      <c r="CE105" s="36">
        <v>4.0</v>
      </c>
      <c r="CF105" s="36">
        <v>0.0</v>
      </c>
      <c r="CG105" s="36">
        <v>20.0</v>
      </c>
      <c r="CH105" s="36">
        <v>13.0</v>
      </c>
      <c r="CI105" s="36">
        <v>0.0</v>
      </c>
      <c r="CJ105" s="53">
        <f t="shared" si="27"/>
        <v>1224</v>
      </c>
      <c r="CK105" s="44">
        <f t="shared" si="28"/>
        <v>6</v>
      </c>
      <c r="CL105" s="44" t="b">
        <f t="shared" si="29"/>
        <v>0</v>
      </c>
      <c r="CM105" s="44" t="str">
        <f t="shared" si="30"/>
        <v>Nivel de actividad física moderado</v>
      </c>
      <c r="CN105" s="45" t="str">
        <f t="shared" si="31"/>
        <v>Nivel de actividad física moderado</v>
      </c>
      <c r="CO105" s="36">
        <v>23.0</v>
      </c>
      <c r="CP105" s="36">
        <v>90.0</v>
      </c>
      <c r="CQ105" s="53">
        <f t="shared" si="32"/>
        <v>3</v>
      </c>
      <c r="CR105" s="36">
        <v>6.0</v>
      </c>
      <c r="CS105" s="36">
        <v>30.0</v>
      </c>
      <c r="CT105" s="36">
        <v>7.5</v>
      </c>
      <c r="CU105" s="36">
        <v>5.0</v>
      </c>
      <c r="CV105" s="36">
        <v>3.0</v>
      </c>
      <c r="CW105" s="36">
        <v>3.0</v>
      </c>
      <c r="CX105" s="36">
        <v>2.0</v>
      </c>
      <c r="CY105" s="36">
        <v>0.0</v>
      </c>
      <c r="CZ105" s="36">
        <v>2.0</v>
      </c>
      <c r="DA105" s="36">
        <v>0.0</v>
      </c>
      <c r="DB105" s="36">
        <v>3.0</v>
      </c>
      <c r="DC105" s="36">
        <v>0.0</v>
      </c>
      <c r="DD105" s="36">
        <v>0.0</v>
      </c>
      <c r="DE105" s="36" t="s">
        <v>133</v>
      </c>
      <c r="DF105" s="36" t="s">
        <v>133</v>
      </c>
      <c r="DG105" s="53">
        <f t="shared" si="55"/>
        <v>10</v>
      </c>
      <c r="DH105" s="36">
        <v>1.0</v>
      </c>
      <c r="DI105" s="36">
        <v>0.0</v>
      </c>
      <c r="DJ105" s="36">
        <v>3.0</v>
      </c>
      <c r="DK105" s="36">
        <v>1.0</v>
      </c>
      <c r="DL105" s="68">
        <f t="shared" si="34"/>
        <v>66.66666667</v>
      </c>
      <c r="DM105" s="53">
        <f t="shared" si="35"/>
        <v>2</v>
      </c>
      <c r="DN105" s="53">
        <f t="shared" si="36"/>
        <v>2</v>
      </c>
      <c r="DO105" s="53">
        <f t="shared" si="37"/>
        <v>3</v>
      </c>
      <c r="DP105" s="53">
        <f t="shared" si="38"/>
        <v>2</v>
      </c>
      <c r="DQ105" s="53">
        <f t="shared" si="39"/>
        <v>2</v>
      </c>
      <c r="DR105" s="53">
        <f t="shared" ref="DR105:DS105" si="158">(DH105)</f>
        <v>1</v>
      </c>
      <c r="DS105" s="53">
        <f t="shared" si="158"/>
        <v>0</v>
      </c>
      <c r="DT105" s="53">
        <f t="shared" si="41"/>
        <v>12</v>
      </c>
      <c r="DU105" s="53" t="str">
        <f t="shared" si="42"/>
        <v>poor sleep quality</v>
      </c>
      <c r="DV105" s="36">
        <v>3.0</v>
      </c>
      <c r="DW105" s="35" t="s">
        <v>149</v>
      </c>
      <c r="DX105" s="36" t="s">
        <v>146</v>
      </c>
      <c r="DY105" s="36">
        <v>1.0</v>
      </c>
      <c r="DZ105" s="36" t="s">
        <v>131</v>
      </c>
      <c r="EA105" s="36" t="s">
        <v>167</v>
      </c>
      <c r="EB105" s="36" t="s">
        <v>139</v>
      </c>
      <c r="EC105" s="36" t="s">
        <v>133</v>
      </c>
      <c r="ED105" s="36" t="s">
        <v>133</v>
      </c>
      <c r="EE105" s="36" t="s">
        <v>141</v>
      </c>
      <c r="EF105" s="35">
        <f t="shared" si="154"/>
        <v>1214</v>
      </c>
      <c r="EG105" s="35">
        <f t="shared" si="155"/>
        <v>1214</v>
      </c>
      <c r="EH105" s="47">
        <f t="shared" si="24"/>
        <v>28.66612918</v>
      </c>
    </row>
    <row r="106" ht="15.75" customHeight="1">
      <c r="A106" s="43" t="s">
        <v>419</v>
      </c>
      <c r="B106" s="36" t="s">
        <v>175</v>
      </c>
      <c r="C106" s="37">
        <v>45220.0</v>
      </c>
      <c r="D106" s="48">
        <v>58.0</v>
      </c>
      <c r="E106" s="35" t="s">
        <v>153</v>
      </c>
      <c r="F106" s="35">
        <v>178.0</v>
      </c>
      <c r="G106" s="39">
        <v>80.0</v>
      </c>
      <c r="H106" s="40" t="s">
        <v>131</v>
      </c>
      <c r="I106" s="35">
        <v>6.0</v>
      </c>
      <c r="J106" s="41">
        <v>45218.0</v>
      </c>
      <c r="K106" s="35" t="s">
        <v>131</v>
      </c>
      <c r="L106" s="35">
        <v>1.0</v>
      </c>
      <c r="M106" s="41">
        <v>44136.0</v>
      </c>
      <c r="N106" s="35">
        <v>0.0</v>
      </c>
      <c r="O106" s="41">
        <v>44136.0</v>
      </c>
      <c r="P106" s="35" t="s">
        <v>131</v>
      </c>
      <c r="Q106" s="56">
        <v>44136.0</v>
      </c>
      <c r="R106" s="56">
        <v>44166.0</v>
      </c>
      <c r="S106" s="35" t="s">
        <v>132</v>
      </c>
      <c r="T106" s="36" t="s">
        <v>133</v>
      </c>
      <c r="U106" s="35" t="s">
        <v>131</v>
      </c>
      <c r="V106" s="36" t="str">
        <f t="shared" si="151"/>
        <v>Internación severa (UCI)</v>
      </c>
      <c r="W106" s="35" t="s">
        <v>183</v>
      </c>
      <c r="X106" s="35" t="s">
        <v>132</v>
      </c>
      <c r="Y106" s="35">
        <v>2.0</v>
      </c>
      <c r="Z106" s="35">
        <v>3.0</v>
      </c>
      <c r="AA106" s="35">
        <v>3.0</v>
      </c>
      <c r="AB106" s="35">
        <v>3.0</v>
      </c>
      <c r="AC106" s="35">
        <v>2.0</v>
      </c>
      <c r="AD106" s="35">
        <v>1.0</v>
      </c>
      <c r="AE106" s="35">
        <v>2.0</v>
      </c>
      <c r="AF106" s="35">
        <v>1.0</v>
      </c>
      <c r="AG106" s="35">
        <v>1.0</v>
      </c>
      <c r="AH106" s="35">
        <v>3.0</v>
      </c>
      <c r="AI106" s="35">
        <v>1.0</v>
      </c>
      <c r="AJ106" s="35">
        <v>1.0</v>
      </c>
      <c r="AK106" s="36" t="s">
        <v>133</v>
      </c>
      <c r="AL106" s="40" t="s">
        <v>131</v>
      </c>
      <c r="AM106" s="35" t="s">
        <v>132</v>
      </c>
      <c r="AN106" s="35" t="s">
        <v>132</v>
      </c>
      <c r="AO106" s="35" t="s">
        <v>131</v>
      </c>
      <c r="AP106" s="35" t="s">
        <v>132</v>
      </c>
      <c r="AQ106" s="35" t="s">
        <v>132</v>
      </c>
      <c r="AR106" s="35" t="s">
        <v>132</v>
      </c>
      <c r="AS106" s="35" t="s">
        <v>131</v>
      </c>
      <c r="AT106" s="35" t="s">
        <v>132</v>
      </c>
      <c r="AU106" s="35" t="s">
        <v>131</v>
      </c>
      <c r="AV106" s="35" t="s">
        <v>132</v>
      </c>
      <c r="AW106" s="35" t="s">
        <v>420</v>
      </c>
      <c r="AX106" s="35" t="s">
        <v>132</v>
      </c>
      <c r="AY106" s="36" t="s">
        <v>133</v>
      </c>
      <c r="AZ106" s="36" t="s">
        <v>133</v>
      </c>
      <c r="BA106" s="36" t="s">
        <v>133</v>
      </c>
      <c r="BB106" s="35" t="s">
        <v>145</v>
      </c>
      <c r="BC106" s="36" t="s">
        <v>133</v>
      </c>
      <c r="BD106" s="40">
        <v>1.0</v>
      </c>
      <c r="BE106" s="35">
        <v>1.0</v>
      </c>
      <c r="BF106" s="35">
        <v>2.0</v>
      </c>
      <c r="BG106" s="35">
        <v>1.0</v>
      </c>
      <c r="BH106" s="35">
        <v>2.0</v>
      </c>
      <c r="BI106" s="44" t="str">
        <f t="shared" si="3"/>
        <v>11212</v>
      </c>
      <c r="BJ106" s="35">
        <v>90.0</v>
      </c>
      <c r="BK106" s="35">
        <v>1.0</v>
      </c>
      <c r="BL106" s="35">
        <v>2.0</v>
      </c>
      <c r="BM106" s="35">
        <v>1.0</v>
      </c>
      <c r="BN106" s="35">
        <v>3.0</v>
      </c>
      <c r="BO106" s="35">
        <v>2.0</v>
      </c>
      <c r="BP106" s="35">
        <v>2.0</v>
      </c>
      <c r="BQ106" s="35">
        <v>3.0</v>
      </c>
      <c r="BR106" s="35">
        <v>2.0</v>
      </c>
      <c r="BS106" s="35">
        <v>2.0</v>
      </c>
      <c r="BT106" s="35">
        <v>2.0</v>
      </c>
      <c r="BU106" s="44">
        <f t="shared" si="4"/>
        <v>3</v>
      </c>
      <c r="BV106" s="44">
        <f t="shared" si="137"/>
        <v>4</v>
      </c>
      <c r="BW106" s="44">
        <f t="shared" si="138"/>
        <v>21</v>
      </c>
      <c r="BX106" s="44" t="str">
        <f t="shared" si="7"/>
        <v>NO HAY FATIGA</v>
      </c>
      <c r="BY106" s="35">
        <v>4.0</v>
      </c>
      <c r="BZ106" s="35">
        <v>0.0</v>
      </c>
      <c r="CA106" s="35">
        <v>30.0</v>
      </c>
      <c r="CB106" s="35">
        <v>0.0</v>
      </c>
      <c r="CC106" s="35">
        <v>0.0</v>
      </c>
      <c r="CD106" s="35">
        <v>0.0</v>
      </c>
      <c r="CE106" s="35">
        <v>5.0</v>
      </c>
      <c r="CF106" s="35">
        <v>2.0</v>
      </c>
      <c r="CG106" s="35">
        <v>0.0</v>
      </c>
      <c r="CH106" s="35">
        <v>6.0</v>
      </c>
      <c r="CI106" s="35">
        <v>0.0</v>
      </c>
      <c r="CJ106" s="44">
        <f t="shared" si="27"/>
        <v>2940</v>
      </c>
      <c r="CK106" s="44">
        <f t="shared" si="28"/>
        <v>9</v>
      </c>
      <c r="CL106" s="44" t="str">
        <f t="shared" si="29"/>
        <v>Nivel de actividad física alto</v>
      </c>
      <c r="CM106" s="44" t="str">
        <f t="shared" si="30"/>
        <v>Nivel de actividad física moderado</v>
      </c>
      <c r="CN106" s="45" t="str">
        <f t="shared" si="31"/>
        <v>Nivel de actividad física alto</v>
      </c>
      <c r="CO106" s="35">
        <v>0.0</v>
      </c>
      <c r="CP106" s="35">
        <v>60.0</v>
      </c>
      <c r="CQ106" s="44">
        <f t="shared" si="32"/>
        <v>2</v>
      </c>
      <c r="CR106" s="35">
        <v>10.0</v>
      </c>
      <c r="CS106" s="35">
        <v>0.0</v>
      </c>
      <c r="CT106" s="35">
        <v>10.0</v>
      </c>
      <c r="CU106" s="35">
        <v>7.5</v>
      </c>
      <c r="CV106" s="35">
        <v>3.0</v>
      </c>
      <c r="CW106" s="35">
        <v>3.0</v>
      </c>
      <c r="CX106" s="35">
        <v>3.0</v>
      </c>
      <c r="CY106" s="35">
        <v>0.0</v>
      </c>
      <c r="CZ106" s="35">
        <v>0.0</v>
      </c>
      <c r="DA106" s="35">
        <v>0.0</v>
      </c>
      <c r="DB106" s="35">
        <v>0.0</v>
      </c>
      <c r="DC106" s="35">
        <v>0.0</v>
      </c>
      <c r="DD106" s="35">
        <v>1.0</v>
      </c>
      <c r="DE106" s="35">
        <v>3.0</v>
      </c>
      <c r="DF106" s="35" t="s">
        <v>421</v>
      </c>
      <c r="DG106" s="53">
        <f t="shared" si="55"/>
        <v>10</v>
      </c>
      <c r="DH106" s="35">
        <v>1.0</v>
      </c>
      <c r="DI106" s="35">
        <v>3.0</v>
      </c>
      <c r="DJ106" s="35">
        <v>1.0</v>
      </c>
      <c r="DK106" s="35">
        <v>3.0</v>
      </c>
      <c r="DL106" s="46">
        <f t="shared" si="34"/>
        <v>75</v>
      </c>
      <c r="DM106" s="44">
        <f t="shared" si="35"/>
        <v>0</v>
      </c>
      <c r="DN106" s="44">
        <f t="shared" si="36"/>
        <v>2</v>
      </c>
      <c r="DO106" s="44">
        <f t="shared" si="37"/>
        <v>3</v>
      </c>
      <c r="DP106" s="44">
        <f t="shared" si="38"/>
        <v>2</v>
      </c>
      <c r="DQ106" s="44">
        <f t="shared" si="39"/>
        <v>2</v>
      </c>
      <c r="DR106" s="44">
        <f t="shared" ref="DR106:DS106" si="159">(DH106)</f>
        <v>1</v>
      </c>
      <c r="DS106" s="44">
        <f t="shared" si="159"/>
        <v>3</v>
      </c>
      <c r="DT106" s="44">
        <f t="shared" si="41"/>
        <v>13</v>
      </c>
      <c r="DU106" s="44" t="str">
        <f t="shared" si="42"/>
        <v>poor sleep quality</v>
      </c>
      <c r="DV106" s="35">
        <v>1.0</v>
      </c>
      <c r="DW106" s="35" t="s">
        <v>314</v>
      </c>
      <c r="DX106" s="35" t="s">
        <v>146</v>
      </c>
      <c r="DY106" s="35">
        <v>2.0</v>
      </c>
      <c r="DZ106" s="35" t="s">
        <v>131</v>
      </c>
      <c r="EA106" s="35" t="s">
        <v>162</v>
      </c>
      <c r="EB106" s="35" t="s">
        <v>139</v>
      </c>
      <c r="EC106" s="35" t="s">
        <v>131</v>
      </c>
      <c r="ED106" s="36" t="s">
        <v>133</v>
      </c>
      <c r="EE106" s="35" t="s">
        <v>151</v>
      </c>
      <c r="EF106" s="35">
        <f t="shared" si="154"/>
        <v>1084</v>
      </c>
      <c r="EG106" s="35">
        <f t="shared" si="155"/>
        <v>1084</v>
      </c>
      <c r="EH106" s="47">
        <f t="shared" si="24"/>
        <v>25.2493372</v>
      </c>
    </row>
    <row r="107" ht="15.75" customHeight="1">
      <c r="A107" s="43" t="s">
        <v>422</v>
      </c>
      <c r="B107" s="36" t="s">
        <v>175</v>
      </c>
      <c r="C107" s="37">
        <v>45234.0</v>
      </c>
      <c r="D107" s="48">
        <v>53.0</v>
      </c>
      <c r="E107" s="35" t="s">
        <v>130</v>
      </c>
      <c r="F107" s="35">
        <v>162.0</v>
      </c>
      <c r="G107" s="39">
        <v>60.0</v>
      </c>
      <c r="H107" s="40" t="s">
        <v>131</v>
      </c>
      <c r="I107" s="35">
        <v>5.0</v>
      </c>
      <c r="J107" s="41">
        <v>44958.0</v>
      </c>
      <c r="K107" s="35" t="s">
        <v>131</v>
      </c>
      <c r="L107" s="35">
        <v>2.0</v>
      </c>
      <c r="M107" s="41">
        <v>44562.0</v>
      </c>
      <c r="N107" s="35">
        <v>1.0</v>
      </c>
      <c r="O107" s="41">
        <v>44921.0</v>
      </c>
      <c r="P107" s="35" t="s">
        <v>132</v>
      </c>
      <c r="Q107" s="36" t="s">
        <v>133</v>
      </c>
      <c r="R107" s="36" t="s">
        <v>133</v>
      </c>
      <c r="S107" s="36" t="s">
        <v>133</v>
      </c>
      <c r="T107" s="36" t="s">
        <v>133</v>
      </c>
      <c r="U107" s="36" t="s">
        <v>133</v>
      </c>
      <c r="V107" s="36" t="str">
        <f t="shared" si="151"/>
        <v>Paciente ambulatorio</v>
      </c>
      <c r="W107" s="35" t="s">
        <v>176</v>
      </c>
      <c r="X107" s="35" t="s">
        <v>132</v>
      </c>
      <c r="Y107" s="35">
        <v>1.0</v>
      </c>
      <c r="Z107" s="35">
        <v>1.0</v>
      </c>
      <c r="AA107" s="35">
        <v>2.0</v>
      </c>
      <c r="AB107" s="35">
        <v>2.0</v>
      </c>
      <c r="AC107" s="35">
        <v>1.0</v>
      </c>
      <c r="AD107" s="35">
        <v>2.0</v>
      </c>
      <c r="AE107" s="35">
        <v>1.0</v>
      </c>
      <c r="AF107" s="35">
        <v>1.0</v>
      </c>
      <c r="AG107" s="35">
        <v>3.0</v>
      </c>
      <c r="AH107" s="35">
        <v>1.0</v>
      </c>
      <c r="AI107" s="35">
        <v>1.0</v>
      </c>
      <c r="AJ107" s="35">
        <v>1.0</v>
      </c>
      <c r="AK107" s="36" t="s">
        <v>133</v>
      </c>
      <c r="AL107" s="40" t="s">
        <v>132</v>
      </c>
      <c r="AM107" s="35" t="s">
        <v>132</v>
      </c>
      <c r="AN107" s="35" t="s">
        <v>132</v>
      </c>
      <c r="AO107" s="35" t="s">
        <v>132</v>
      </c>
      <c r="AP107" s="35" t="s">
        <v>132</v>
      </c>
      <c r="AQ107" s="35" t="s">
        <v>132</v>
      </c>
      <c r="AR107" s="35" t="s">
        <v>131</v>
      </c>
      <c r="AS107" s="35" t="s">
        <v>132</v>
      </c>
      <c r="AT107" s="35" t="s">
        <v>132</v>
      </c>
      <c r="AU107" s="35" t="s">
        <v>132</v>
      </c>
      <c r="AV107" s="35" t="s">
        <v>132</v>
      </c>
      <c r="AW107" s="36" t="s">
        <v>133</v>
      </c>
      <c r="AX107" s="35" t="s">
        <v>165</v>
      </c>
      <c r="AY107" s="36" t="s">
        <v>133</v>
      </c>
      <c r="AZ107" s="36" t="s">
        <v>133</v>
      </c>
      <c r="BA107" s="35">
        <v>0.7</v>
      </c>
      <c r="BB107" s="35" t="s">
        <v>145</v>
      </c>
      <c r="BC107" s="36" t="s">
        <v>133</v>
      </c>
      <c r="BD107" s="40">
        <v>1.0</v>
      </c>
      <c r="BE107" s="35">
        <v>2.0</v>
      </c>
      <c r="BF107" s="35">
        <v>3.0</v>
      </c>
      <c r="BG107" s="35">
        <v>3.0</v>
      </c>
      <c r="BH107" s="35">
        <v>3.0</v>
      </c>
      <c r="BI107" s="44" t="str">
        <f t="shared" si="3"/>
        <v>12333</v>
      </c>
      <c r="BJ107" s="35">
        <v>55.0</v>
      </c>
      <c r="BK107" s="35">
        <v>3.0</v>
      </c>
      <c r="BL107" s="35">
        <v>2.0</v>
      </c>
      <c r="BM107" s="35">
        <v>1.0</v>
      </c>
      <c r="BN107" s="35">
        <v>3.0</v>
      </c>
      <c r="BO107" s="35">
        <v>2.0</v>
      </c>
      <c r="BP107" s="35">
        <v>3.0</v>
      </c>
      <c r="BQ107" s="35">
        <v>1.0</v>
      </c>
      <c r="BR107" s="35">
        <v>2.0</v>
      </c>
      <c r="BS107" s="35">
        <v>5.0</v>
      </c>
      <c r="BT107" s="35">
        <v>5.0</v>
      </c>
      <c r="BU107" s="44">
        <f t="shared" si="4"/>
        <v>3</v>
      </c>
      <c r="BV107" s="44">
        <f t="shared" si="137"/>
        <v>1</v>
      </c>
      <c r="BW107" s="44">
        <f t="shared" si="138"/>
        <v>25</v>
      </c>
      <c r="BX107" s="44" t="str">
        <f t="shared" si="7"/>
        <v>FATIGA</v>
      </c>
      <c r="BY107" s="35">
        <v>0.0</v>
      </c>
      <c r="BZ107" s="35">
        <v>0.0</v>
      </c>
      <c r="CA107" s="35">
        <v>0.0</v>
      </c>
      <c r="CB107" s="35">
        <v>0.0</v>
      </c>
      <c r="CC107" s="35">
        <v>0.0</v>
      </c>
      <c r="CD107" s="35">
        <v>0.0</v>
      </c>
      <c r="CE107" s="35">
        <v>3.0</v>
      </c>
      <c r="CF107" s="35">
        <v>1.0</v>
      </c>
      <c r="CG107" s="35">
        <v>0.0</v>
      </c>
      <c r="CH107" s="35">
        <v>4.0</v>
      </c>
      <c r="CI107" s="35">
        <v>0.0</v>
      </c>
      <c r="CJ107" s="44">
        <f t="shared" si="27"/>
        <v>594</v>
      </c>
      <c r="CK107" s="44">
        <f t="shared" si="28"/>
        <v>3</v>
      </c>
      <c r="CL107" s="44" t="b">
        <f t="shared" si="29"/>
        <v>0</v>
      </c>
      <c r="CM107" s="44" t="b">
        <f t="shared" si="30"/>
        <v>0</v>
      </c>
      <c r="CN107" s="45" t="str">
        <f t="shared" si="31"/>
        <v>Nivel de actividad física bajo</v>
      </c>
      <c r="CO107" s="35">
        <v>21.0</v>
      </c>
      <c r="CP107" s="35">
        <v>120.0</v>
      </c>
      <c r="CQ107" s="44">
        <f t="shared" si="32"/>
        <v>3</v>
      </c>
      <c r="CR107" s="35">
        <v>8.0</v>
      </c>
      <c r="CS107" s="35">
        <v>0.0</v>
      </c>
      <c r="CT107" s="35">
        <v>11.0</v>
      </c>
      <c r="CU107" s="35">
        <v>4.5</v>
      </c>
      <c r="CV107" s="35">
        <v>3.0</v>
      </c>
      <c r="CW107" s="35">
        <v>3.0</v>
      </c>
      <c r="CX107" s="35">
        <v>3.0</v>
      </c>
      <c r="CY107" s="35">
        <v>3.0</v>
      </c>
      <c r="CZ107" s="35">
        <v>0.0</v>
      </c>
      <c r="DA107" s="35">
        <v>3.0</v>
      </c>
      <c r="DB107" s="35">
        <v>3.0</v>
      </c>
      <c r="DC107" s="35">
        <v>3.0</v>
      </c>
      <c r="DD107" s="35">
        <v>0.0</v>
      </c>
      <c r="DE107" s="36" t="s">
        <v>133</v>
      </c>
      <c r="DF107" s="36" t="s">
        <v>133</v>
      </c>
      <c r="DG107" s="53">
        <f t="shared" si="55"/>
        <v>18</v>
      </c>
      <c r="DH107" s="35">
        <v>2.0</v>
      </c>
      <c r="DI107" s="35">
        <v>0.0</v>
      </c>
      <c r="DJ107" s="35">
        <v>3.0</v>
      </c>
      <c r="DK107" s="35">
        <v>2.0</v>
      </c>
      <c r="DL107" s="46">
        <f t="shared" si="34"/>
        <v>40.90909091</v>
      </c>
      <c r="DM107" s="44">
        <f t="shared" si="35"/>
        <v>3</v>
      </c>
      <c r="DN107" s="44">
        <f t="shared" si="36"/>
        <v>2</v>
      </c>
      <c r="DO107" s="44">
        <f t="shared" si="37"/>
        <v>3</v>
      </c>
      <c r="DP107" s="44">
        <f t="shared" si="38"/>
        <v>3</v>
      </c>
      <c r="DQ107" s="44">
        <f t="shared" si="39"/>
        <v>3</v>
      </c>
      <c r="DR107" s="44">
        <f t="shared" ref="DR107:DS107" si="160">(DH107)</f>
        <v>2</v>
      </c>
      <c r="DS107" s="44">
        <f t="shared" si="160"/>
        <v>0</v>
      </c>
      <c r="DT107" s="44">
        <f t="shared" si="41"/>
        <v>16</v>
      </c>
      <c r="DU107" s="44" t="str">
        <f t="shared" si="42"/>
        <v>poor sleep quality</v>
      </c>
      <c r="DV107" s="35">
        <v>0.0</v>
      </c>
      <c r="DW107" s="36" t="s">
        <v>133</v>
      </c>
      <c r="DX107" s="35" t="s">
        <v>146</v>
      </c>
      <c r="DY107" s="35">
        <v>1.0</v>
      </c>
      <c r="DZ107" s="35" t="s">
        <v>131</v>
      </c>
      <c r="EA107" s="35" t="s">
        <v>147</v>
      </c>
      <c r="EB107" s="35" t="s">
        <v>198</v>
      </c>
      <c r="EC107" s="36" t="s">
        <v>133</v>
      </c>
      <c r="ED107" s="36" t="s">
        <v>133</v>
      </c>
      <c r="EE107" s="35" t="s">
        <v>140</v>
      </c>
      <c r="EF107" s="35">
        <f t="shared" si="154"/>
        <v>672</v>
      </c>
      <c r="EG107" s="35">
        <f t="shared" si="155"/>
        <v>313</v>
      </c>
      <c r="EH107" s="47">
        <f t="shared" si="24"/>
        <v>22.86236854</v>
      </c>
    </row>
    <row r="108" ht="15.75" customHeight="1">
      <c r="A108" s="43" t="s">
        <v>423</v>
      </c>
      <c r="B108" s="36" t="s">
        <v>175</v>
      </c>
      <c r="C108" s="37">
        <v>45227.0</v>
      </c>
      <c r="D108" s="48">
        <v>47.0</v>
      </c>
      <c r="E108" s="35" t="s">
        <v>130</v>
      </c>
      <c r="F108" s="35">
        <v>163.0</v>
      </c>
      <c r="G108" s="39">
        <v>120.0</v>
      </c>
      <c r="H108" s="40" t="s">
        <v>131</v>
      </c>
      <c r="I108" s="35">
        <v>4.0</v>
      </c>
      <c r="J108" s="41">
        <v>45170.0</v>
      </c>
      <c r="K108" s="35" t="s">
        <v>131</v>
      </c>
      <c r="L108" s="35">
        <v>1.0</v>
      </c>
      <c r="M108" s="41">
        <v>44531.0</v>
      </c>
      <c r="N108" s="35">
        <v>0.0</v>
      </c>
      <c r="O108" s="41">
        <v>44531.0</v>
      </c>
      <c r="P108" s="36" t="s">
        <v>133</v>
      </c>
      <c r="Q108" s="36" t="s">
        <v>133</v>
      </c>
      <c r="R108" s="36" t="s">
        <v>133</v>
      </c>
      <c r="S108" s="36" t="s">
        <v>133</v>
      </c>
      <c r="T108" s="36" t="s">
        <v>133</v>
      </c>
      <c r="U108" s="36" t="s">
        <v>133</v>
      </c>
      <c r="V108" s="36" t="str">
        <f t="shared" si="151"/>
        <v>Paciente ambulatorio</v>
      </c>
      <c r="W108" s="35" t="s">
        <v>176</v>
      </c>
      <c r="X108" s="35" t="s">
        <v>132</v>
      </c>
      <c r="Y108" s="35">
        <v>3.0</v>
      </c>
      <c r="Z108" s="35">
        <v>1.0</v>
      </c>
      <c r="AA108" s="35">
        <v>2.0</v>
      </c>
      <c r="AB108" s="35">
        <v>2.0</v>
      </c>
      <c r="AC108" s="35">
        <v>1.0</v>
      </c>
      <c r="AD108" s="35">
        <v>1.0</v>
      </c>
      <c r="AE108" s="35">
        <v>1.0</v>
      </c>
      <c r="AF108" s="35">
        <v>1.0</v>
      </c>
      <c r="AG108" s="35">
        <v>3.0</v>
      </c>
      <c r="AH108" s="35">
        <v>1.0</v>
      </c>
      <c r="AI108" s="35">
        <v>3.0</v>
      </c>
      <c r="AJ108" s="35">
        <v>1.0</v>
      </c>
      <c r="AK108" s="36" t="s">
        <v>133</v>
      </c>
      <c r="AL108" s="40" t="s">
        <v>132</v>
      </c>
      <c r="AM108" s="35" t="s">
        <v>132</v>
      </c>
      <c r="AN108" s="35" t="s">
        <v>132</v>
      </c>
      <c r="AO108" s="35" t="s">
        <v>132</v>
      </c>
      <c r="AP108" s="35" t="s">
        <v>132</v>
      </c>
      <c r="AQ108" s="35" t="s">
        <v>132</v>
      </c>
      <c r="AR108" s="35" t="s">
        <v>132</v>
      </c>
      <c r="AS108" s="35" t="s">
        <v>132</v>
      </c>
      <c r="AT108" s="35" t="s">
        <v>132</v>
      </c>
      <c r="AU108" s="35" t="s">
        <v>132</v>
      </c>
      <c r="AV108" s="35" t="s">
        <v>131</v>
      </c>
      <c r="AW108" s="35" t="s">
        <v>424</v>
      </c>
      <c r="AX108" s="35" t="s">
        <v>132</v>
      </c>
      <c r="AY108" s="36" t="s">
        <v>133</v>
      </c>
      <c r="AZ108" s="36" t="s">
        <v>133</v>
      </c>
      <c r="BA108" s="36" t="s">
        <v>133</v>
      </c>
      <c r="BB108" s="35" t="s">
        <v>145</v>
      </c>
      <c r="BC108" s="36" t="s">
        <v>133</v>
      </c>
      <c r="BD108" s="40">
        <v>1.0</v>
      </c>
      <c r="BE108" s="35">
        <v>1.0</v>
      </c>
      <c r="BF108" s="35">
        <v>2.0</v>
      </c>
      <c r="BG108" s="35">
        <v>2.0</v>
      </c>
      <c r="BH108" s="35">
        <v>3.0</v>
      </c>
      <c r="BI108" s="44" t="str">
        <f t="shared" si="3"/>
        <v>11223</v>
      </c>
      <c r="BJ108" s="35">
        <v>45.0</v>
      </c>
      <c r="BK108" s="35">
        <v>3.0</v>
      </c>
      <c r="BL108" s="35">
        <v>4.0</v>
      </c>
      <c r="BM108" s="35">
        <v>4.0</v>
      </c>
      <c r="BN108" s="35">
        <v>3.0</v>
      </c>
      <c r="BO108" s="35">
        <v>4.0</v>
      </c>
      <c r="BP108" s="35">
        <v>4.0</v>
      </c>
      <c r="BQ108" s="35">
        <v>3.0</v>
      </c>
      <c r="BR108" s="35">
        <v>4.0</v>
      </c>
      <c r="BS108" s="35">
        <v>4.0</v>
      </c>
      <c r="BT108" s="35">
        <v>2.0</v>
      </c>
      <c r="BU108" s="44">
        <f t="shared" si="4"/>
        <v>3</v>
      </c>
      <c r="BV108" s="44">
        <f t="shared" si="137"/>
        <v>4</v>
      </c>
      <c r="BW108" s="44">
        <f t="shared" si="138"/>
        <v>36</v>
      </c>
      <c r="BX108" s="44" t="str">
        <f t="shared" si="7"/>
        <v>FATIGA EXTREMA</v>
      </c>
      <c r="BY108" s="35">
        <v>0.0</v>
      </c>
      <c r="BZ108" s="35">
        <v>0.0</v>
      </c>
      <c r="CA108" s="35">
        <v>0.0</v>
      </c>
      <c r="CB108" s="35">
        <v>0.0</v>
      </c>
      <c r="CC108" s="35">
        <v>0.0</v>
      </c>
      <c r="CD108" s="35">
        <v>0.0</v>
      </c>
      <c r="CE108" s="35">
        <v>5.0</v>
      </c>
      <c r="CF108" s="35">
        <v>2.0</v>
      </c>
      <c r="CG108" s="35">
        <v>0.0</v>
      </c>
      <c r="CH108" s="35">
        <v>6.0</v>
      </c>
      <c r="CI108" s="35">
        <v>0.0</v>
      </c>
      <c r="CJ108" s="44">
        <f t="shared" si="27"/>
        <v>1980</v>
      </c>
      <c r="CK108" s="44">
        <f t="shared" si="28"/>
        <v>5</v>
      </c>
      <c r="CL108" s="44" t="b">
        <f t="shared" si="29"/>
        <v>0</v>
      </c>
      <c r="CM108" s="44" t="b">
        <f t="shared" si="30"/>
        <v>0</v>
      </c>
      <c r="CN108" s="45" t="str">
        <f t="shared" si="31"/>
        <v>Nivel de actividad física bajo</v>
      </c>
      <c r="CO108" s="35">
        <v>22.0</v>
      </c>
      <c r="CP108" s="35">
        <v>120.0</v>
      </c>
      <c r="CQ108" s="44">
        <f t="shared" si="32"/>
        <v>3</v>
      </c>
      <c r="CR108" s="35">
        <v>3.0</v>
      </c>
      <c r="CS108" s="35">
        <v>30.0</v>
      </c>
      <c r="CT108" s="35">
        <v>5.5</v>
      </c>
      <c r="CU108" s="35">
        <v>3.0</v>
      </c>
      <c r="CV108" s="35">
        <v>3.0</v>
      </c>
      <c r="CW108" s="35">
        <v>3.0</v>
      </c>
      <c r="CX108" s="35">
        <v>0.0</v>
      </c>
      <c r="CY108" s="35">
        <v>0.0</v>
      </c>
      <c r="CZ108" s="35">
        <v>0.0</v>
      </c>
      <c r="DA108" s="35">
        <v>0.0</v>
      </c>
      <c r="DB108" s="35">
        <v>3.0</v>
      </c>
      <c r="DC108" s="35">
        <v>0.0</v>
      </c>
      <c r="DD108" s="35">
        <v>0.0</v>
      </c>
      <c r="DE108" s="35">
        <v>0.0</v>
      </c>
      <c r="DF108" s="36" t="s">
        <v>133</v>
      </c>
      <c r="DG108" s="53">
        <f t="shared" si="55"/>
        <v>6</v>
      </c>
      <c r="DH108" s="35">
        <v>3.0</v>
      </c>
      <c r="DI108" s="35">
        <v>0.0</v>
      </c>
      <c r="DJ108" s="35">
        <v>1.0</v>
      </c>
      <c r="DK108" s="35">
        <v>3.0</v>
      </c>
      <c r="DL108" s="46">
        <f t="shared" si="34"/>
        <v>54.54545455</v>
      </c>
      <c r="DM108" s="44">
        <f t="shared" si="35"/>
        <v>3</v>
      </c>
      <c r="DN108" s="44">
        <f t="shared" si="36"/>
        <v>1</v>
      </c>
      <c r="DO108" s="44">
        <f t="shared" si="37"/>
        <v>3</v>
      </c>
      <c r="DP108" s="44">
        <f t="shared" si="38"/>
        <v>2</v>
      </c>
      <c r="DQ108" s="44">
        <f t="shared" si="39"/>
        <v>3</v>
      </c>
      <c r="DR108" s="44">
        <f t="shared" ref="DR108:DS108" si="161">(DH108)</f>
        <v>3</v>
      </c>
      <c r="DS108" s="44">
        <f t="shared" si="161"/>
        <v>0</v>
      </c>
      <c r="DT108" s="44">
        <f t="shared" si="41"/>
        <v>15</v>
      </c>
      <c r="DU108" s="44" t="str">
        <f t="shared" si="42"/>
        <v>poor sleep quality</v>
      </c>
      <c r="DV108" s="36">
        <v>3.0</v>
      </c>
      <c r="DW108" s="35" t="s">
        <v>149</v>
      </c>
      <c r="DX108" s="36" t="s">
        <v>146</v>
      </c>
      <c r="DY108" s="36">
        <v>1.0</v>
      </c>
      <c r="DZ108" s="36" t="s">
        <v>131</v>
      </c>
      <c r="EA108" s="35" t="s">
        <v>162</v>
      </c>
      <c r="EB108" s="35" t="s">
        <v>139</v>
      </c>
      <c r="EC108" s="36" t="s">
        <v>133</v>
      </c>
      <c r="ED108" s="35" t="s">
        <v>132</v>
      </c>
      <c r="EE108" s="35" t="s">
        <v>141</v>
      </c>
      <c r="EF108" s="35">
        <f t="shared" si="154"/>
        <v>696</v>
      </c>
      <c r="EG108" s="35">
        <f t="shared" si="155"/>
        <v>696</v>
      </c>
      <c r="EH108" s="47">
        <f t="shared" si="24"/>
        <v>45.16541834</v>
      </c>
    </row>
    <row r="109" ht="15.75" customHeight="1">
      <c r="A109" s="43" t="s">
        <v>425</v>
      </c>
      <c r="B109" s="36" t="s">
        <v>175</v>
      </c>
      <c r="C109" s="37">
        <v>45234.0</v>
      </c>
      <c r="D109" s="48">
        <v>53.0</v>
      </c>
      <c r="E109" s="35" t="s">
        <v>130</v>
      </c>
      <c r="F109" s="35">
        <v>158.0</v>
      </c>
      <c r="G109" s="39">
        <v>64.0</v>
      </c>
      <c r="H109" s="40" t="s">
        <v>131</v>
      </c>
      <c r="I109" s="35">
        <v>6.0</v>
      </c>
      <c r="J109" s="55">
        <v>45139.0</v>
      </c>
      <c r="K109" s="35" t="s">
        <v>131</v>
      </c>
      <c r="L109" s="35">
        <v>1.0</v>
      </c>
      <c r="M109" s="41">
        <v>44013.0</v>
      </c>
      <c r="N109" s="35">
        <v>0.0</v>
      </c>
      <c r="O109" s="41">
        <v>44013.0</v>
      </c>
      <c r="P109" s="35" t="s">
        <v>132</v>
      </c>
      <c r="Q109" s="36" t="s">
        <v>133</v>
      </c>
      <c r="R109" s="36" t="s">
        <v>133</v>
      </c>
      <c r="S109" s="36" t="s">
        <v>133</v>
      </c>
      <c r="T109" s="36" t="s">
        <v>133</v>
      </c>
      <c r="U109" s="36" t="s">
        <v>133</v>
      </c>
      <c r="V109" s="36" t="str">
        <f t="shared" si="151"/>
        <v>Paciente ambulatorio</v>
      </c>
      <c r="W109" s="35" t="s">
        <v>183</v>
      </c>
      <c r="X109" s="35" t="s">
        <v>132</v>
      </c>
      <c r="Y109" s="35">
        <v>3.0</v>
      </c>
      <c r="Z109" s="35">
        <v>1.0</v>
      </c>
      <c r="AA109" s="35">
        <v>3.0</v>
      </c>
      <c r="AB109" s="35">
        <v>3.0</v>
      </c>
      <c r="AC109" s="35">
        <v>1.0</v>
      </c>
      <c r="AD109" s="35">
        <v>1.0</v>
      </c>
      <c r="AE109" s="35">
        <v>1.0</v>
      </c>
      <c r="AF109" s="35">
        <v>1.0</v>
      </c>
      <c r="AG109" s="35">
        <v>3.0</v>
      </c>
      <c r="AH109" s="35">
        <v>1.0</v>
      </c>
      <c r="AI109" s="35">
        <v>3.0</v>
      </c>
      <c r="AJ109" s="35">
        <v>1.0</v>
      </c>
      <c r="AK109" s="36" t="s">
        <v>133</v>
      </c>
      <c r="AL109" s="40" t="s">
        <v>132</v>
      </c>
      <c r="AM109" s="35" t="s">
        <v>132</v>
      </c>
      <c r="AN109" s="35" t="s">
        <v>132</v>
      </c>
      <c r="AO109" s="35" t="s">
        <v>132</v>
      </c>
      <c r="AP109" s="35" t="s">
        <v>132</v>
      </c>
      <c r="AQ109" s="35" t="s">
        <v>132</v>
      </c>
      <c r="AR109" s="35" t="s">
        <v>132</v>
      </c>
      <c r="AS109" s="35" t="s">
        <v>132</v>
      </c>
      <c r="AT109" s="35" t="s">
        <v>132</v>
      </c>
      <c r="AU109" s="35" t="s">
        <v>132</v>
      </c>
      <c r="AV109" s="36" t="s">
        <v>133</v>
      </c>
      <c r="AW109" s="36" t="s">
        <v>133</v>
      </c>
      <c r="AX109" s="35" t="s">
        <v>131</v>
      </c>
      <c r="AY109" s="35">
        <v>11.0</v>
      </c>
      <c r="AZ109" s="35">
        <v>30.0</v>
      </c>
      <c r="BA109" s="36" t="s">
        <v>133</v>
      </c>
      <c r="BB109" s="35" t="s">
        <v>135</v>
      </c>
      <c r="BC109" s="39">
        <v>1.0</v>
      </c>
      <c r="BD109" s="40">
        <v>3.0</v>
      </c>
      <c r="BE109" s="35">
        <v>3.0</v>
      </c>
      <c r="BF109" s="35">
        <v>3.0</v>
      </c>
      <c r="BG109" s="35">
        <v>3.0</v>
      </c>
      <c r="BH109" s="35">
        <v>3.0</v>
      </c>
      <c r="BI109" s="44" t="str">
        <f t="shared" si="3"/>
        <v>33333</v>
      </c>
      <c r="BJ109" s="35">
        <v>35.0</v>
      </c>
      <c r="BK109" s="35">
        <v>4.0</v>
      </c>
      <c r="BL109" s="35">
        <v>5.0</v>
      </c>
      <c r="BM109" s="35">
        <v>2.0</v>
      </c>
      <c r="BN109" s="35">
        <v>1.0</v>
      </c>
      <c r="BO109" s="35">
        <v>5.0</v>
      </c>
      <c r="BP109" s="35">
        <v>5.0</v>
      </c>
      <c r="BQ109" s="35">
        <v>2.0</v>
      </c>
      <c r="BR109" s="35">
        <v>2.0</v>
      </c>
      <c r="BS109" s="35">
        <v>5.0</v>
      </c>
      <c r="BT109" s="35">
        <v>2.0</v>
      </c>
      <c r="BU109" s="44">
        <f t="shared" si="4"/>
        <v>5</v>
      </c>
      <c r="BV109" s="44">
        <f t="shared" si="137"/>
        <v>4</v>
      </c>
      <c r="BW109" s="44">
        <f t="shared" si="138"/>
        <v>36</v>
      </c>
      <c r="BX109" s="44" t="str">
        <f t="shared" si="7"/>
        <v>FATIGA EXTREMA</v>
      </c>
      <c r="BY109" s="35">
        <v>0.0</v>
      </c>
      <c r="BZ109" s="35">
        <v>0.0</v>
      </c>
      <c r="CA109" s="35">
        <v>0.0</v>
      </c>
      <c r="CB109" s="35">
        <v>0.0</v>
      </c>
      <c r="CC109" s="35">
        <v>0.0</v>
      </c>
      <c r="CD109" s="35">
        <v>0.0</v>
      </c>
      <c r="CE109" s="35">
        <v>2.0</v>
      </c>
      <c r="CF109" s="35">
        <v>0.0</v>
      </c>
      <c r="CG109" s="35">
        <v>15.0</v>
      </c>
      <c r="CH109" s="35">
        <v>0.0</v>
      </c>
      <c r="CI109" s="35">
        <v>30.0</v>
      </c>
      <c r="CJ109" s="44">
        <f t="shared" si="27"/>
        <v>99</v>
      </c>
      <c r="CK109" s="44">
        <f t="shared" si="28"/>
        <v>2</v>
      </c>
      <c r="CL109" s="44" t="b">
        <f t="shared" si="29"/>
        <v>0</v>
      </c>
      <c r="CM109" s="44" t="b">
        <f t="shared" si="30"/>
        <v>0</v>
      </c>
      <c r="CN109" s="45" t="str">
        <f t="shared" si="31"/>
        <v>Nivel de actividad física bajo</v>
      </c>
      <c r="CO109" s="35">
        <v>0.0</v>
      </c>
      <c r="CP109" s="35">
        <v>15.0</v>
      </c>
      <c r="CQ109" s="44">
        <f t="shared" si="32"/>
        <v>0</v>
      </c>
      <c r="CR109" s="35">
        <v>6.0</v>
      </c>
      <c r="CS109" s="35">
        <v>0.0</v>
      </c>
      <c r="CT109" s="35">
        <v>6.0</v>
      </c>
      <c r="CU109" s="35">
        <v>5.0</v>
      </c>
      <c r="CV109" s="35">
        <v>2.0</v>
      </c>
      <c r="CW109" s="35">
        <v>3.0</v>
      </c>
      <c r="CX109" s="35">
        <v>3.0</v>
      </c>
      <c r="CY109" s="35">
        <v>0.0</v>
      </c>
      <c r="CZ109" s="35">
        <v>0.0</v>
      </c>
      <c r="DA109" s="35">
        <v>3.0</v>
      </c>
      <c r="DB109" s="35">
        <v>3.0</v>
      </c>
      <c r="DC109" s="35">
        <v>1.0</v>
      </c>
      <c r="DD109" s="35">
        <v>3.0</v>
      </c>
      <c r="DE109" s="36" t="s">
        <v>133</v>
      </c>
      <c r="DF109" s="36" t="s">
        <v>133</v>
      </c>
      <c r="DG109" s="53">
        <f t="shared" si="55"/>
        <v>16</v>
      </c>
      <c r="DH109" s="35">
        <v>2.0</v>
      </c>
      <c r="DI109" s="35">
        <v>0.0</v>
      </c>
      <c r="DJ109" s="35">
        <v>0.0</v>
      </c>
      <c r="DK109" s="35">
        <v>2.0</v>
      </c>
      <c r="DL109" s="46">
        <f t="shared" si="34"/>
        <v>83.33333333</v>
      </c>
      <c r="DM109" s="44">
        <f t="shared" si="35"/>
        <v>2</v>
      </c>
      <c r="DN109" s="44">
        <f t="shared" si="36"/>
        <v>2</v>
      </c>
      <c r="DO109" s="44">
        <f t="shared" si="37"/>
        <v>1</v>
      </c>
      <c r="DP109" s="44">
        <f t="shared" si="38"/>
        <v>1</v>
      </c>
      <c r="DQ109" s="44">
        <f t="shared" si="39"/>
        <v>1</v>
      </c>
      <c r="DR109" s="44">
        <f t="shared" ref="DR109:DS109" si="162">(DH109)</f>
        <v>2</v>
      </c>
      <c r="DS109" s="44">
        <f t="shared" si="162"/>
        <v>0</v>
      </c>
      <c r="DT109" s="44">
        <f t="shared" si="41"/>
        <v>9</v>
      </c>
      <c r="DU109" s="44" t="str">
        <f t="shared" si="42"/>
        <v>poor sleep quality</v>
      </c>
      <c r="DV109" s="35">
        <v>6.0</v>
      </c>
      <c r="DW109" s="35" t="s">
        <v>426</v>
      </c>
      <c r="DX109" s="35" t="s">
        <v>146</v>
      </c>
      <c r="DY109" s="35">
        <v>1.0</v>
      </c>
      <c r="DZ109" s="35" t="s">
        <v>131</v>
      </c>
      <c r="EA109" s="35" t="s">
        <v>150</v>
      </c>
      <c r="EB109" s="35" t="s">
        <v>172</v>
      </c>
      <c r="EC109" s="36" t="s">
        <v>133</v>
      </c>
      <c r="ED109" s="36" t="s">
        <v>133</v>
      </c>
      <c r="EE109" s="35" t="s">
        <v>158</v>
      </c>
      <c r="EF109" s="35">
        <f t="shared" si="154"/>
        <v>1221</v>
      </c>
      <c r="EG109" s="35">
        <f t="shared" si="155"/>
        <v>1221</v>
      </c>
      <c r="EH109" s="47">
        <f t="shared" si="24"/>
        <v>25.63691716</v>
      </c>
    </row>
    <row r="110" ht="15.75" customHeight="1">
      <c r="A110" s="43" t="s">
        <v>427</v>
      </c>
      <c r="B110" s="36" t="s">
        <v>175</v>
      </c>
      <c r="C110" s="37">
        <v>45220.0</v>
      </c>
      <c r="D110" s="48">
        <v>48.0</v>
      </c>
      <c r="E110" s="35" t="s">
        <v>130</v>
      </c>
      <c r="F110" s="35">
        <v>160.0</v>
      </c>
      <c r="G110" s="39">
        <v>55.0</v>
      </c>
      <c r="H110" s="40" t="s">
        <v>131</v>
      </c>
      <c r="I110" s="35">
        <v>2.0</v>
      </c>
      <c r="J110" s="41">
        <v>44471.0</v>
      </c>
      <c r="K110" s="35" t="s">
        <v>131</v>
      </c>
      <c r="L110" s="35">
        <v>2.0</v>
      </c>
      <c r="M110" s="41">
        <v>44197.0</v>
      </c>
      <c r="N110" s="35">
        <v>0.0</v>
      </c>
      <c r="O110" s="41">
        <v>44562.0</v>
      </c>
      <c r="P110" s="35" t="s">
        <v>132</v>
      </c>
      <c r="Q110" s="36" t="s">
        <v>133</v>
      </c>
      <c r="R110" s="36" t="s">
        <v>133</v>
      </c>
      <c r="S110" s="36" t="s">
        <v>133</v>
      </c>
      <c r="T110" s="36" t="s">
        <v>133</v>
      </c>
      <c r="U110" s="36" t="s">
        <v>133</v>
      </c>
      <c r="V110" s="36" t="str">
        <f t="shared" si="151"/>
        <v>Paciente ambulatorio</v>
      </c>
      <c r="W110" s="35" t="s">
        <v>183</v>
      </c>
      <c r="X110" s="36" t="s">
        <v>133</v>
      </c>
      <c r="Y110" s="35">
        <v>1.0</v>
      </c>
      <c r="Z110" s="35">
        <v>1.0</v>
      </c>
      <c r="AA110" s="35">
        <v>2.0</v>
      </c>
      <c r="AB110" s="35">
        <v>2.0</v>
      </c>
      <c r="AC110" s="35">
        <v>1.0</v>
      </c>
      <c r="AD110" s="35">
        <v>2.0</v>
      </c>
      <c r="AE110" s="35">
        <v>3.0</v>
      </c>
      <c r="AF110" s="35">
        <v>1.0</v>
      </c>
      <c r="AG110" s="35">
        <v>3.0</v>
      </c>
      <c r="AH110" s="35">
        <v>1.0</v>
      </c>
      <c r="AI110" s="35">
        <v>1.0</v>
      </c>
      <c r="AJ110" s="35">
        <v>1.0</v>
      </c>
      <c r="AK110" s="36" t="s">
        <v>133</v>
      </c>
      <c r="AL110" s="40" t="s">
        <v>132</v>
      </c>
      <c r="AM110" s="35" t="s">
        <v>132</v>
      </c>
      <c r="AN110" s="35" t="s">
        <v>132</v>
      </c>
      <c r="AO110" s="35" t="s">
        <v>132</v>
      </c>
      <c r="AP110" s="35" t="s">
        <v>132</v>
      </c>
      <c r="AQ110" s="35" t="s">
        <v>132</v>
      </c>
      <c r="AR110" s="35" t="s">
        <v>132</v>
      </c>
      <c r="AS110" s="35" t="s">
        <v>132</v>
      </c>
      <c r="AT110" s="35" t="s">
        <v>132</v>
      </c>
      <c r="AU110" s="35" t="s">
        <v>132</v>
      </c>
      <c r="AV110" s="35" t="s">
        <v>131</v>
      </c>
      <c r="AW110" s="35" t="s">
        <v>428</v>
      </c>
      <c r="AX110" s="35" t="s">
        <v>132</v>
      </c>
      <c r="AY110" s="36" t="s">
        <v>133</v>
      </c>
      <c r="AZ110" s="36" t="s">
        <v>133</v>
      </c>
      <c r="BA110" s="36" t="s">
        <v>133</v>
      </c>
      <c r="BB110" s="35" t="s">
        <v>135</v>
      </c>
      <c r="BC110" s="39">
        <v>2.0</v>
      </c>
      <c r="BD110" s="40">
        <v>1.0</v>
      </c>
      <c r="BE110" s="35">
        <v>1.0</v>
      </c>
      <c r="BF110" s="35">
        <v>2.0</v>
      </c>
      <c r="BG110" s="35">
        <v>3.0</v>
      </c>
      <c r="BH110" s="35">
        <v>2.0</v>
      </c>
      <c r="BI110" s="44" t="str">
        <f t="shared" si="3"/>
        <v>11232</v>
      </c>
      <c r="BJ110" s="35">
        <v>50.0</v>
      </c>
      <c r="BK110" s="35">
        <v>5.0</v>
      </c>
      <c r="BL110" s="35">
        <v>4.0</v>
      </c>
      <c r="BM110" s="35">
        <v>2.0</v>
      </c>
      <c r="BN110" s="35">
        <v>2.0</v>
      </c>
      <c r="BO110" s="35">
        <v>5.0</v>
      </c>
      <c r="BP110" s="35">
        <v>2.0</v>
      </c>
      <c r="BQ110" s="35">
        <v>2.0</v>
      </c>
      <c r="BR110" s="35">
        <v>5.0</v>
      </c>
      <c r="BS110" s="35">
        <v>3.0</v>
      </c>
      <c r="BT110" s="35">
        <v>2.0</v>
      </c>
      <c r="BU110" s="44">
        <f t="shared" si="4"/>
        <v>4</v>
      </c>
      <c r="BV110" s="44">
        <f t="shared" si="137"/>
        <v>4</v>
      </c>
      <c r="BW110" s="44">
        <f t="shared" si="138"/>
        <v>34</v>
      </c>
      <c r="BX110" s="44" t="str">
        <f t="shared" si="7"/>
        <v>FATIGA</v>
      </c>
      <c r="BY110" s="35">
        <v>3.0</v>
      </c>
      <c r="BZ110" s="35">
        <v>1.0</v>
      </c>
      <c r="CA110" s="35">
        <v>30.0</v>
      </c>
      <c r="CB110" s="35">
        <v>1.0</v>
      </c>
      <c r="CC110" s="35">
        <v>0.0</v>
      </c>
      <c r="CD110" s="35">
        <v>30.0</v>
      </c>
      <c r="CE110" s="35">
        <v>2.0</v>
      </c>
      <c r="CF110" s="35">
        <v>0.0</v>
      </c>
      <c r="CG110" s="35">
        <v>30.0</v>
      </c>
      <c r="CH110" s="57">
        <v>0.0</v>
      </c>
      <c r="CI110" s="57">
        <v>0.0</v>
      </c>
      <c r="CJ110" s="44">
        <f t="shared" si="27"/>
        <v>2478</v>
      </c>
      <c r="CK110" s="44">
        <f t="shared" si="28"/>
        <v>6</v>
      </c>
      <c r="CL110" s="44" t="str">
        <f t="shared" si="29"/>
        <v>Nivel de actividad física alto</v>
      </c>
      <c r="CM110" s="44" t="str">
        <f t="shared" si="30"/>
        <v>Nivel de actividad física moderado</v>
      </c>
      <c r="CN110" s="45" t="str">
        <f t="shared" si="31"/>
        <v>Nivel de actividad física alto</v>
      </c>
      <c r="CO110" s="35">
        <v>21.0</v>
      </c>
      <c r="CP110" s="35">
        <v>30.0</v>
      </c>
      <c r="CQ110" s="44">
        <f t="shared" si="32"/>
        <v>1</v>
      </c>
      <c r="CR110" s="35">
        <v>8.0</v>
      </c>
      <c r="CS110" s="35">
        <v>0.0</v>
      </c>
      <c r="CT110" s="35">
        <v>11.0</v>
      </c>
      <c r="CU110" s="35">
        <v>5.0</v>
      </c>
      <c r="CV110" s="35">
        <v>3.0</v>
      </c>
      <c r="CW110" s="35">
        <v>3.0</v>
      </c>
      <c r="CX110" s="35">
        <v>3.0</v>
      </c>
      <c r="CY110" s="35">
        <v>1.0</v>
      </c>
      <c r="CZ110" s="35">
        <v>1.0</v>
      </c>
      <c r="DA110" s="35">
        <v>2.0</v>
      </c>
      <c r="DB110" s="35">
        <v>1.0</v>
      </c>
      <c r="DC110" s="35">
        <v>0.0</v>
      </c>
      <c r="DD110" s="35">
        <v>2.0</v>
      </c>
      <c r="DE110" s="35">
        <v>0.0</v>
      </c>
      <c r="DF110" s="36" t="s">
        <v>133</v>
      </c>
      <c r="DG110" s="53">
        <f t="shared" si="55"/>
        <v>13</v>
      </c>
      <c r="DH110" s="35">
        <v>2.0</v>
      </c>
      <c r="DI110" s="35">
        <v>0.0</v>
      </c>
      <c r="DJ110" s="35">
        <v>2.0</v>
      </c>
      <c r="DK110" s="35">
        <v>2.0</v>
      </c>
      <c r="DL110" s="46">
        <f t="shared" si="34"/>
        <v>45.45454545</v>
      </c>
      <c r="DM110" s="44">
        <f t="shared" si="35"/>
        <v>2</v>
      </c>
      <c r="DN110" s="44">
        <f t="shared" si="36"/>
        <v>2</v>
      </c>
      <c r="DO110" s="44">
        <f t="shared" si="37"/>
        <v>2</v>
      </c>
      <c r="DP110" s="44">
        <f t="shared" si="38"/>
        <v>2</v>
      </c>
      <c r="DQ110" s="44">
        <f t="shared" si="39"/>
        <v>3</v>
      </c>
      <c r="DR110" s="44">
        <f t="shared" ref="DR110:DS110" si="163">(DH110)</f>
        <v>2</v>
      </c>
      <c r="DS110" s="44">
        <f t="shared" si="163"/>
        <v>0</v>
      </c>
      <c r="DT110" s="44">
        <f t="shared" si="41"/>
        <v>13</v>
      </c>
      <c r="DU110" s="44" t="str">
        <f t="shared" si="42"/>
        <v>poor sleep quality</v>
      </c>
      <c r="DV110" s="35">
        <v>1.0</v>
      </c>
      <c r="DW110" s="35" t="s">
        <v>155</v>
      </c>
      <c r="DX110" s="35" t="s">
        <v>146</v>
      </c>
      <c r="DY110" s="35">
        <v>1.0</v>
      </c>
      <c r="DZ110" s="35" t="s">
        <v>131</v>
      </c>
      <c r="EA110" s="35" t="s">
        <v>167</v>
      </c>
      <c r="EB110" s="35" t="s">
        <v>219</v>
      </c>
      <c r="EC110" s="35" t="s">
        <v>131</v>
      </c>
      <c r="ED110" s="35" t="s">
        <v>132</v>
      </c>
      <c r="EE110" s="35" t="s">
        <v>203</v>
      </c>
      <c r="EF110" s="35">
        <f t="shared" si="154"/>
        <v>1023</v>
      </c>
      <c r="EG110" s="35">
        <f t="shared" si="155"/>
        <v>658</v>
      </c>
      <c r="EH110" s="47">
        <f t="shared" si="24"/>
        <v>21.484375</v>
      </c>
    </row>
    <row r="111" ht="15.75" customHeight="1">
      <c r="A111" s="43" t="s">
        <v>429</v>
      </c>
      <c r="B111" s="36" t="s">
        <v>175</v>
      </c>
      <c r="C111" s="37">
        <v>45220.0</v>
      </c>
      <c r="D111" s="48">
        <v>47.0</v>
      </c>
      <c r="E111" s="35" t="s">
        <v>130</v>
      </c>
      <c r="F111" s="35">
        <v>157.0</v>
      </c>
      <c r="G111" s="39">
        <v>55.0</v>
      </c>
      <c r="H111" s="40" t="s">
        <v>131</v>
      </c>
      <c r="I111" s="35">
        <v>3.0</v>
      </c>
      <c r="J111" s="42" t="s">
        <v>133</v>
      </c>
      <c r="K111" s="35" t="s">
        <v>131</v>
      </c>
      <c r="L111" s="35">
        <v>1.0</v>
      </c>
      <c r="M111" s="41">
        <v>44569.0</v>
      </c>
      <c r="N111" s="35">
        <v>2.0</v>
      </c>
      <c r="O111" s="41">
        <v>44569.0</v>
      </c>
      <c r="P111" s="35" t="s">
        <v>132</v>
      </c>
      <c r="Q111" s="36" t="s">
        <v>133</v>
      </c>
      <c r="R111" s="36" t="s">
        <v>133</v>
      </c>
      <c r="S111" s="36" t="s">
        <v>133</v>
      </c>
      <c r="T111" s="36" t="s">
        <v>133</v>
      </c>
      <c r="U111" s="36" t="s">
        <v>133</v>
      </c>
      <c r="V111" s="36" t="str">
        <f t="shared" si="151"/>
        <v>Paciente ambulatorio</v>
      </c>
      <c r="W111" s="35" t="s">
        <v>176</v>
      </c>
      <c r="X111" s="35" t="s">
        <v>132</v>
      </c>
      <c r="Y111" s="35">
        <v>1.0</v>
      </c>
      <c r="Z111" s="35">
        <v>1.0</v>
      </c>
      <c r="AA111" s="35">
        <v>3.0</v>
      </c>
      <c r="AB111" s="35">
        <v>3.0</v>
      </c>
      <c r="AC111" s="35">
        <v>2.0</v>
      </c>
      <c r="AD111" s="35">
        <v>1.0</v>
      </c>
      <c r="AE111" s="35">
        <v>1.0</v>
      </c>
      <c r="AF111" s="35">
        <v>1.0</v>
      </c>
      <c r="AG111" s="35">
        <v>3.0</v>
      </c>
      <c r="AH111" s="35">
        <v>3.0</v>
      </c>
      <c r="AI111" s="35">
        <v>1.0</v>
      </c>
      <c r="AJ111" s="35">
        <v>1.0</v>
      </c>
      <c r="AK111" s="39" t="s">
        <v>430</v>
      </c>
      <c r="AL111" s="40" t="s">
        <v>131</v>
      </c>
      <c r="AM111" s="35" t="s">
        <v>132</v>
      </c>
      <c r="AN111" s="35" t="s">
        <v>131</v>
      </c>
      <c r="AO111" s="35" t="s">
        <v>131</v>
      </c>
      <c r="AP111" s="35" t="s">
        <v>132</v>
      </c>
      <c r="AQ111" s="35" t="s">
        <v>132</v>
      </c>
      <c r="AR111" s="35" t="s">
        <v>132</v>
      </c>
      <c r="AS111" s="35" t="s">
        <v>131</v>
      </c>
      <c r="AT111" s="35" t="s">
        <v>132</v>
      </c>
      <c r="AU111" s="35" t="s">
        <v>132</v>
      </c>
      <c r="AV111" s="35" t="s">
        <v>131</v>
      </c>
      <c r="AW111" s="35" t="s">
        <v>431</v>
      </c>
      <c r="AX111" s="35" t="s">
        <v>131</v>
      </c>
      <c r="AY111" s="35">
        <v>30.0</v>
      </c>
      <c r="AZ111" s="35">
        <v>32.0</v>
      </c>
      <c r="BA111" s="36" t="s">
        <v>133</v>
      </c>
      <c r="BB111" s="35" t="s">
        <v>145</v>
      </c>
      <c r="BC111" s="36" t="s">
        <v>133</v>
      </c>
      <c r="BD111" s="40">
        <v>1.0</v>
      </c>
      <c r="BE111" s="35">
        <v>1.0</v>
      </c>
      <c r="BF111" s="35">
        <v>2.0</v>
      </c>
      <c r="BG111" s="35">
        <v>1.0</v>
      </c>
      <c r="BH111" s="35">
        <v>2.0</v>
      </c>
      <c r="BI111" s="44" t="str">
        <f t="shared" si="3"/>
        <v>11212</v>
      </c>
      <c r="BJ111" s="35">
        <v>60.0</v>
      </c>
      <c r="BK111" s="35">
        <v>3.0</v>
      </c>
      <c r="BL111" s="35">
        <v>3.0</v>
      </c>
      <c r="BM111" s="35">
        <v>2.0</v>
      </c>
      <c r="BN111" s="35">
        <v>2.0</v>
      </c>
      <c r="BO111" s="35">
        <v>2.0</v>
      </c>
      <c r="BP111" s="35">
        <v>3.0</v>
      </c>
      <c r="BQ111" s="35">
        <v>1.0</v>
      </c>
      <c r="BR111" s="35">
        <v>2.0</v>
      </c>
      <c r="BS111" s="35">
        <v>5.0</v>
      </c>
      <c r="BT111" s="35">
        <v>3.0</v>
      </c>
      <c r="BU111" s="44">
        <f t="shared" si="4"/>
        <v>4</v>
      </c>
      <c r="BV111" s="44">
        <f t="shared" si="137"/>
        <v>3</v>
      </c>
      <c r="BW111" s="44">
        <f t="shared" si="138"/>
        <v>27</v>
      </c>
      <c r="BX111" s="44" t="str">
        <f t="shared" si="7"/>
        <v>FATIGA</v>
      </c>
      <c r="BY111" s="35">
        <v>0.0</v>
      </c>
      <c r="BZ111" s="35">
        <v>0.0</v>
      </c>
      <c r="CA111" s="35">
        <v>0.0</v>
      </c>
      <c r="CB111" s="35">
        <v>0.0</v>
      </c>
      <c r="CC111" s="35">
        <v>0.0</v>
      </c>
      <c r="CD111" s="35">
        <v>0.0</v>
      </c>
      <c r="CE111" s="35">
        <v>3.0</v>
      </c>
      <c r="CF111" s="35">
        <v>0.0</v>
      </c>
      <c r="CG111" s="35">
        <v>20.0</v>
      </c>
      <c r="CH111" s="35">
        <v>5.0</v>
      </c>
      <c r="CI111" s="35">
        <v>0.0</v>
      </c>
      <c r="CJ111" s="44">
        <f t="shared" si="27"/>
        <v>198</v>
      </c>
      <c r="CK111" s="44">
        <f t="shared" si="28"/>
        <v>3</v>
      </c>
      <c r="CL111" s="44" t="b">
        <f t="shared" si="29"/>
        <v>0</v>
      </c>
      <c r="CM111" s="44" t="b">
        <f t="shared" si="30"/>
        <v>0</v>
      </c>
      <c r="CN111" s="45" t="str">
        <f t="shared" si="31"/>
        <v>Nivel de actividad física bajo</v>
      </c>
      <c r="CO111" s="51">
        <v>0.8541666666666666</v>
      </c>
      <c r="CP111" s="35">
        <v>10.0</v>
      </c>
      <c r="CQ111" s="44">
        <f t="shared" si="32"/>
        <v>0</v>
      </c>
      <c r="CR111" s="35">
        <v>4.0</v>
      </c>
      <c r="CS111" s="35">
        <v>0.0</v>
      </c>
      <c r="CT111" s="35">
        <v>7.5</v>
      </c>
      <c r="CU111" s="35">
        <v>6.0</v>
      </c>
      <c r="CV111" s="35">
        <v>0.0</v>
      </c>
      <c r="CW111" s="35">
        <v>2.0</v>
      </c>
      <c r="CX111" s="35">
        <v>2.0</v>
      </c>
      <c r="CY111" s="35">
        <v>3.0</v>
      </c>
      <c r="CZ111" s="35">
        <v>0.0</v>
      </c>
      <c r="DA111" s="35">
        <v>1.0</v>
      </c>
      <c r="DB111" s="36" t="s">
        <v>133</v>
      </c>
      <c r="DC111" s="35">
        <v>3.0</v>
      </c>
      <c r="DD111" s="35">
        <v>2.0</v>
      </c>
      <c r="DE111" s="35">
        <v>0.0</v>
      </c>
      <c r="DF111" s="36" t="s">
        <v>133</v>
      </c>
      <c r="DG111" s="53">
        <f t="shared" si="55"/>
        <v>13</v>
      </c>
      <c r="DH111" s="35">
        <v>2.0</v>
      </c>
      <c r="DI111" s="35">
        <v>1.0</v>
      </c>
      <c r="DJ111" s="35">
        <v>3.0</v>
      </c>
      <c r="DK111" s="35">
        <v>3.0</v>
      </c>
      <c r="DL111" s="46">
        <f t="shared" si="34"/>
        <v>80</v>
      </c>
      <c r="DM111" s="44">
        <f t="shared" si="35"/>
        <v>1</v>
      </c>
      <c r="DN111" s="44">
        <f t="shared" si="36"/>
        <v>2</v>
      </c>
      <c r="DO111" s="44">
        <f t="shared" si="37"/>
        <v>0</v>
      </c>
      <c r="DP111" s="44">
        <f t="shared" si="38"/>
        <v>3</v>
      </c>
      <c r="DQ111" s="44">
        <f t="shared" si="39"/>
        <v>1</v>
      </c>
      <c r="DR111" s="44">
        <f t="shared" ref="DR111:DS111" si="164">(DH111)</f>
        <v>2</v>
      </c>
      <c r="DS111" s="44">
        <f t="shared" si="164"/>
        <v>1</v>
      </c>
      <c r="DT111" s="44">
        <f t="shared" si="41"/>
        <v>10</v>
      </c>
      <c r="DU111" s="44" t="str">
        <f t="shared" si="42"/>
        <v>poor sleep quality</v>
      </c>
      <c r="DV111" s="35">
        <v>0.0</v>
      </c>
      <c r="DW111" s="36" t="s">
        <v>133</v>
      </c>
      <c r="DX111" s="35" t="s">
        <v>146</v>
      </c>
      <c r="DY111" s="35">
        <v>1.0</v>
      </c>
      <c r="DZ111" s="35" t="s">
        <v>131</v>
      </c>
      <c r="EA111" s="35" t="s">
        <v>162</v>
      </c>
      <c r="EB111" s="35" t="s">
        <v>172</v>
      </c>
      <c r="EC111" s="36" t="s">
        <v>133</v>
      </c>
      <c r="ED111" s="35" t="s">
        <v>131</v>
      </c>
      <c r="EE111" s="35" t="s">
        <v>151</v>
      </c>
      <c r="EF111" s="35">
        <f t="shared" si="154"/>
        <v>651</v>
      </c>
      <c r="EG111" s="35">
        <f t="shared" si="155"/>
        <v>651</v>
      </c>
      <c r="EH111" s="47">
        <f t="shared" si="24"/>
        <v>22.31327843</v>
      </c>
    </row>
    <row r="112" ht="15.75" customHeight="1">
      <c r="A112" s="43" t="s">
        <v>432</v>
      </c>
      <c r="B112" s="36" t="s">
        <v>175</v>
      </c>
      <c r="C112" s="37">
        <v>45248.0</v>
      </c>
      <c r="D112" s="48">
        <v>47.0</v>
      </c>
      <c r="E112" s="35" t="s">
        <v>130</v>
      </c>
      <c r="F112" s="35">
        <v>172.0</v>
      </c>
      <c r="G112" s="39">
        <v>95.0</v>
      </c>
      <c r="H112" s="40" t="s">
        <v>131</v>
      </c>
      <c r="I112" s="35">
        <v>4.0</v>
      </c>
      <c r="J112" s="41">
        <v>44866.0</v>
      </c>
      <c r="K112" s="35" t="s">
        <v>131</v>
      </c>
      <c r="L112" s="35">
        <v>1.0</v>
      </c>
      <c r="M112" s="41">
        <v>44013.0</v>
      </c>
      <c r="N112" s="35">
        <v>0.0</v>
      </c>
      <c r="O112" s="41">
        <v>44013.0</v>
      </c>
      <c r="P112" s="35" t="s">
        <v>132</v>
      </c>
      <c r="Q112" s="36" t="s">
        <v>133</v>
      </c>
      <c r="R112" s="36" t="s">
        <v>133</v>
      </c>
      <c r="S112" s="36" t="s">
        <v>133</v>
      </c>
      <c r="T112" s="36" t="s">
        <v>133</v>
      </c>
      <c r="U112" s="36" t="s">
        <v>133</v>
      </c>
      <c r="V112" s="36" t="str">
        <f t="shared" si="151"/>
        <v>Paciente ambulatorio</v>
      </c>
      <c r="W112" s="35" t="s">
        <v>176</v>
      </c>
      <c r="X112" s="35" t="s">
        <v>132</v>
      </c>
      <c r="Y112" s="35">
        <v>1.0</v>
      </c>
      <c r="Z112" s="35">
        <v>1.0</v>
      </c>
      <c r="AA112" s="35">
        <v>1.0</v>
      </c>
      <c r="AB112" s="35">
        <v>1.0</v>
      </c>
      <c r="AC112" s="35">
        <v>1.0</v>
      </c>
      <c r="AD112" s="35">
        <v>1.0</v>
      </c>
      <c r="AE112" s="35">
        <v>1.0</v>
      </c>
      <c r="AF112" s="35">
        <v>1.0</v>
      </c>
      <c r="AG112" s="35">
        <v>1.0</v>
      </c>
      <c r="AH112" s="35">
        <v>1.0</v>
      </c>
      <c r="AI112" s="35">
        <v>1.0</v>
      </c>
      <c r="AJ112" s="35">
        <v>1.0</v>
      </c>
      <c r="AK112" s="36" t="s">
        <v>133</v>
      </c>
      <c r="AL112" s="40" t="s">
        <v>132</v>
      </c>
      <c r="AM112" s="35" t="s">
        <v>132</v>
      </c>
      <c r="AN112" s="35" t="s">
        <v>132</v>
      </c>
      <c r="AO112" s="35" t="s">
        <v>132</v>
      </c>
      <c r="AP112" s="35" t="s">
        <v>132</v>
      </c>
      <c r="AQ112" s="35" t="s">
        <v>132</v>
      </c>
      <c r="AR112" s="35" t="s">
        <v>132</v>
      </c>
      <c r="AS112" s="35" t="s">
        <v>132</v>
      </c>
      <c r="AT112" s="35" t="s">
        <v>132</v>
      </c>
      <c r="AU112" s="35" t="s">
        <v>132</v>
      </c>
      <c r="AV112" s="35" t="s">
        <v>132</v>
      </c>
      <c r="AW112" s="36" t="s">
        <v>133</v>
      </c>
      <c r="AX112" s="35" t="s">
        <v>131</v>
      </c>
      <c r="AY112" s="35">
        <v>0.03</v>
      </c>
      <c r="AZ112" s="35">
        <v>4.5</v>
      </c>
      <c r="BA112" s="36" t="s">
        <v>133</v>
      </c>
      <c r="BB112" s="35" t="s">
        <v>135</v>
      </c>
      <c r="BC112" s="39">
        <v>1.0</v>
      </c>
      <c r="BD112" s="40">
        <v>1.0</v>
      </c>
      <c r="BE112" s="35">
        <v>1.0</v>
      </c>
      <c r="BF112" s="35">
        <v>2.0</v>
      </c>
      <c r="BG112" s="35">
        <v>2.0</v>
      </c>
      <c r="BH112" s="35">
        <v>3.0</v>
      </c>
      <c r="BI112" s="44" t="str">
        <f t="shared" si="3"/>
        <v>11223</v>
      </c>
      <c r="BJ112" s="35">
        <v>75.0</v>
      </c>
      <c r="BK112" s="35">
        <v>5.0</v>
      </c>
      <c r="BL112" s="35">
        <v>5.0</v>
      </c>
      <c r="BM112" s="35">
        <v>5.0</v>
      </c>
      <c r="BN112" s="35">
        <v>4.0</v>
      </c>
      <c r="BO112" s="35">
        <v>2.0</v>
      </c>
      <c r="BP112" s="35">
        <v>2.0</v>
      </c>
      <c r="BQ112" s="35">
        <v>2.0</v>
      </c>
      <c r="BR112" s="35">
        <v>1.0</v>
      </c>
      <c r="BS112" s="35">
        <v>4.0</v>
      </c>
      <c r="BT112" s="35">
        <v>2.0</v>
      </c>
      <c r="BU112" s="44">
        <f t="shared" si="4"/>
        <v>2</v>
      </c>
      <c r="BV112" s="44">
        <f t="shared" si="137"/>
        <v>4</v>
      </c>
      <c r="BW112" s="44">
        <f t="shared" si="138"/>
        <v>32</v>
      </c>
      <c r="BX112" s="44" t="str">
        <f t="shared" si="7"/>
        <v>FATIGA</v>
      </c>
      <c r="BY112" s="35">
        <v>0.0</v>
      </c>
      <c r="BZ112" s="35">
        <v>0.0</v>
      </c>
      <c r="CA112" s="35">
        <v>0.0</v>
      </c>
      <c r="CB112" s="35">
        <v>0.0</v>
      </c>
      <c r="CC112" s="35">
        <v>0.0</v>
      </c>
      <c r="CD112" s="35">
        <v>0.0</v>
      </c>
      <c r="CE112" s="35">
        <v>5.0</v>
      </c>
      <c r="CF112" s="35">
        <v>1.0</v>
      </c>
      <c r="CG112" s="35">
        <v>0.0</v>
      </c>
      <c r="CH112" s="35">
        <v>8.0</v>
      </c>
      <c r="CI112" s="35">
        <v>0.0</v>
      </c>
      <c r="CJ112" s="44">
        <f t="shared" si="27"/>
        <v>990</v>
      </c>
      <c r="CK112" s="44">
        <f t="shared" si="28"/>
        <v>5</v>
      </c>
      <c r="CL112" s="44" t="b">
        <f t="shared" si="29"/>
        <v>0</v>
      </c>
      <c r="CM112" s="44" t="b">
        <f t="shared" si="30"/>
        <v>0</v>
      </c>
      <c r="CN112" s="45" t="str">
        <f t="shared" si="31"/>
        <v>Nivel de actividad física bajo</v>
      </c>
      <c r="CO112" s="35">
        <v>21.0</v>
      </c>
      <c r="CP112" s="35">
        <v>60.0</v>
      </c>
      <c r="CQ112" s="44">
        <f t="shared" si="32"/>
        <v>2</v>
      </c>
      <c r="CR112" s="35">
        <v>5.0</v>
      </c>
      <c r="CS112" s="35">
        <v>30.0</v>
      </c>
      <c r="CT112" s="35">
        <v>8.5</v>
      </c>
      <c r="CU112" s="35">
        <v>5.5</v>
      </c>
      <c r="CV112" s="35">
        <v>3.0</v>
      </c>
      <c r="CW112" s="35">
        <v>3.0</v>
      </c>
      <c r="CX112" s="35">
        <v>3.0</v>
      </c>
      <c r="CY112" s="35">
        <v>2.0</v>
      </c>
      <c r="CZ112" s="35">
        <v>3.0</v>
      </c>
      <c r="DA112" s="35">
        <v>0.0</v>
      </c>
      <c r="DB112" s="35">
        <v>2.0</v>
      </c>
      <c r="DC112" s="35">
        <v>3.0</v>
      </c>
      <c r="DD112" s="35">
        <v>3.0</v>
      </c>
      <c r="DE112" s="35">
        <v>0.0</v>
      </c>
      <c r="DF112" s="35">
        <v>2.0</v>
      </c>
      <c r="DG112" s="53">
        <f t="shared" si="55"/>
        <v>21</v>
      </c>
      <c r="DH112" s="35">
        <v>2.0</v>
      </c>
      <c r="DI112" s="35">
        <v>0.0</v>
      </c>
      <c r="DJ112" s="35">
        <v>3.0</v>
      </c>
      <c r="DK112" s="35">
        <v>0.0</v>
      </c>
      <c r="DL112" s="46">
        <f t="shared" si="34"/>
        <v>64.70588235</v>
      </c>
      <c r="DM112" s="44">
        <f t="shared" si="35"/>
        <v>2</v>
      </c>
      <c r="DN112" s="44">
        <f t="shared" si="36"/>
        <v>3</v>
      </c>
      <c r="DO112" s="44">
        <f t="shared" si="37"/>
        <v>3</v>
      </c>
      <c r="DP112" s="44">
        <f t="shared" si="38"/>
        <v>2</v>
      </c>
      <c r="DQ112" s="44">
        <f t="shared" si="39"/>
        <v>3</v>
      </c>
      <c r="DR112" s="44">
        <f t="shared" ref="DR112:DS112" si="165">(DH112)</f>
        <v>2</v>
      </c>
      <c r="DS112" s="44">
        <f t="shared" si="165"/>
        <v>0</v>
      </c>
      <c r="DT112" s="44">
        <f t="shared" si="41"/>
        <v>15</v>
      </c>
      <c r="DU112" s="44" t="str">
        <f t="shared" si="42"/>
        <v>poor sleep quality</v>
      </c>
      <c r="DV112" s="35">
        <v>5.0</v>
      </c>
      <c r="DW112" s="35" t="s">
        <v>433</v>
      </c>
      <c r="DX112" s="35" t="s">
        <v>213</v>
      </c>
      <c r="DY112" s="35">
        <v>1.0</v>
      </c>
      <c r="DZ112" s="35" t="s">
        <v>131</v>
      </c>
      <c r="EA112" s="35" t="s">
        <v>157</v>
      </c>
      <c r="EB112" s="35" t="s">
        <v>139</v>
      </c>
      <c r="EC112" s="36" t="s">
        <v>133</v>
      </c>
      <c r="ED112" s="36" t="s">
        <v>133</v>
      </c>
      <c r="EE112" s="35" t="s">
        <v>158</v>
      </c>
      <c r="EF112" s="35">
        <f t="shared" si="154"/>
        <v>1235</v>
      </c>
      <c r="EG112" s="35">
        <f t="shared" si="155"/>
        <v>1235</v>
      </c>
      <c r="EH112" s="47">
        <f t="shared" si="24"/>
        <v>32.11195241</v>
      </c>
    </row>
    <row r="113" ht="15.75" customHeight="1">
      <c r="A113" s="43" t="s">
        <v>434</v>
      </c>
      <c r="B113" s="36" t="s">
        <v>175</v>
      </c>
      <c r="C113" s="37">
        <v>45227.0</v>
      </c>
      <c r="D113" s="48">
        <v>37.0</v>
      </c>
      <c r="E113" s="35" t="s">
        <v>130</v>
      </c>
      <c r="F113" s="35">
        <v>165.0</v>
      </c>
      <c r="G113" s="39">
        <v>92.0</v>
      </c>
      <c r="H113" s="40" t="s">
        <v>131</v>
      </c>
      <c r="I113" s="35">
        <v>3.0</v>
      </c>
      <c r="J113" s="41">
        <v>44896.0</v>
      </c>
      <c r="K113" s="35" t="s">
        <v>131</v>
      </c>
      <c r="L113" s="35">
        <v>1.0</v>
      </c>
      <c r="M113" s="41">
        <v>44927.0</v>
      </c>
      <c r="N113" s="35">
        <v>0.0</v>
      </c>
      <c r="O113" s="41">
        <v>44927.0</v>
      </c>
      <c r="P113" s="35" t="s">
        <v>132</v>
      </c>
      <c r="Q113" s="36" t="s">
        <v>133</v>
      </c>
      <c r="R113" s="36" t="s">
        <v>133</v>
      </c>
      <c r="S113" s="36" t="s">
        <v>133</v>
      </c>
      <c r="T113" s="36" t="s">
        <v>133</v>
      </c>
      <c r="U113" s="36" t="s">
        <v>133</v>
      </c>
      <c r="V113" s="36" t="str">
        <f t="shared" si="151"/>
        <v>Paciente ambulatorio</v>
      </c>
      <c r="W113" s="35" t="s">
        <v>183</v>
      </c>
      <c r="X113" s="35" t="s">
        <v>132</v>
      </c>
      <c r="Y113" s="35">
        <v>2.0</v>
      </c>
      <c r="Z113" s="35">
        <v>1.0</v>
      </c>
      <c r="AA113" s="35">
        <v>3.0</v>
      </c>
      <c r="AB113" s="35">
        <v>3.0</v>
      </c>
      <c r="AC113" s="35">
        <v>3.0</v>
      </c>
      <c r="AD113" s="35">
        <v>2.0</v>
      </c>
      <c r="AE113" s="35">
        <v>2.0</v>
      </c>
      <c r="AF113" s="35">
        <v>1.0</v>
      </c>
      <c r="AG113" s="35">
        <v>1.0</v>
      </c>
      <c r="AH113" s="35">
        <v>3.0</v>
      </c>
      <c r="AI113" s="35">
        <v>1.0</v>
      </c>
      <c r="AJ113" s="35">
        <v>1.0</v>
      </c>
      <c r="AK113" s="36" t="s">
        <v>133</v>
      </c>
      <c r="AL113" s="40" t="s">
        <v>132</v>
      </c>
      <c r="AM113" s="35" t="s">
        <v>132</v>
      </c>
      <c r="AN113" s="35" t="s">
        <v>132</v>
      </c>
      <c r="AO113" s="35" t="s">
        <v>132</v>
      </c>
      <c r="AP113" s="35" t="s">
        <v>132</v>
      </c>
      <c r="AQ113" s="35" t="s">
        <v>132</v>
      </c>
      <c r="AR113" s="35" t="s">
        <v>132</v>
      </c>
      <c r="AS113" s="35" t="s">
        <v>132</v>
      </c>
      <c r="AT113" s="35" t="s">
        <v>132</v>
      </c>
      <c r="AU113" s="35" t="s">
        <v>132</v>
      </c>
      <c r="AV113" s="35" t="s">
        <v>132</v>
      </c>
      <c r="AW113" s="36" t="s">
        <v>133</v>
      </c>
      <c r="AX113" s="35" t="s">
        <v>131</v>
      </c>
      <c r="AY113" s="35">
        <v>2.5</v>
      </c>
      <c r="AZ113" s="36" t="s">
        <v>133</v>
      </c>
      <c r="BA113" s="36" t="s">
        <v>133</v>
      </c>
      <c r="BB113" s="35" t="s">
        <v>135</v>
      </c>
      <c r="BC113" s="39">
        <v>2.0</v>
      </c>
      <c r="BD113" s="36" t="s">
        <v>133</v>
      </c>
      <c r="BE113" s="36" t="s">
        <v>133</v>
      </c>
      <c r="BF113" s="36" t="s">
        <v>133</v>
      </c>
      <c r="BG113" s="36" t="s">
        <v>133</v>
      </c>
      <c r="BH113" s="36" t="s">
        <v>133</v>
      </c>
      <c r="BI113" s="36" t="s">
        <v>133</v>
      </c>
      <c r="BJ113" s="35">
        <v>55.0</v>
      </c>
      <c r="BK113" s="35">
        <v>4.0</v>
      </c>
      <c r="BL113" s="35">
        <v>3.0</v>
      </c>
      <c r="BM113" s="35">
        <v>3.0</v>
      </c>
      <c r="BN113" s="35">
        <v>3.0</v>
      </c>
      <c r="BO113" s="35">
        <v>2.0</v>
      </c>
      <c r="BP113" s="35">
        <v>5.0</v>
      </c>
      <c r="BQ113" s="35">
        <v>4.0</v>
      </c>
      <c r="BR113" s="35">
        <v>3.0</v>
      </c>
      <c r="BS113" s="35">
        <v>3.0</v>
      </c>
      <c r="BT113" s="35">
        <v>2.0</v>
      </c>
      <c r="BU113" s="44">
        <f t="shared" si="4"/>
        <v>3</v>
      </c>
      <c r="BV113" s="44">
        <f t="shared" si="137"/>
        <v>4</v>
      </c>
      <c r="BW113" s="44">
        <f t="shared" si="138"/>
        <v>33</v>
      </c>
      <c r="BX113" s="44" t="str">
        <f t="shared" si="7"/>
        <v>FATIGA</v>
      </c>
      <c r="BY113" s="35">
        <v>0.0</v>
      </c>
      <c r="BZ113" s="35">
        <v>0.0</v>
      </c>
      <c r="CA113" s="35">
        <v>0.0</v>
      </c>
      <c r="CB113" s="35">
        <v>0.0</v>
      </c>
      <c r="CC113" s="35">
        <v>0.0</v>
      </c>
      <c r="CD113" s="35">
        <v>0.0</v>
      </c>
      <c r="CE113" s="35">
        <v>7.0</v>
      </c>
      <c r="CF113" s="35">
        <v>1.0</v>
      </c>
      <c r="CG113" s="35">
        <v>0.0</v>
      </c>
      <c r="CH113" s="35">
        <v>11.0</v>
      </c>
      <c r="CI113" s="35">
        <v>0.0</v>
      </c>
      <c r="CJ113" s="44">
        <f t="shared" si="27"/>
        <v>1386</v>
      </c>
      <c r="CK113" s="44">
        <f t="shared" si="28"/>
        <v>7</v>
      </c>
      <c r="CL113" s="44" t="b">
        <f t="shared" si="29"/>
        <v>0</v>
      </c>
      <c r="CM113" s="44" t="str">
        <f t="shared" si="30"/>
        <v>Nivel de actividad física moderado</v>
      </c>
      <c r="CN113" s="45" t="str">
        <f t="shared" si="31"/>
        <v>Nivel de actividad física moderado</v>
      </c>
      <c r="CO113" s="35">
        <v>23.0</v>
      </c>
      <c r="CP113" s="35">
        <v>30.0</v>
      </c>
      <c r="CQ113" s="44">
        <f t="shared" si="32"/>
        <v>1</v>
      </c>
      <c r="CR113" s="35">
        <v>6.0</v>
      </c>
      <c r="CS113" s="35">
        <v>0.0</v>
      </c>
      <c r="CT113" s="35">
        <v>6.5</v>
      </c>
      <c r="CU113" s="35">
        <v>4.5</v>
      </c>
      <c r="CV113" s="35">
        <v>3.0</v>
      </c>
      <c r="CW113" s="35">
        <v>3.0</v>
      </c>
      <c r="CX113" s="35">
        <v>3.0</v>
      </c>
      <c r="CY113" s="35">
        <v>0.0</v>
      </c>
      <c r="CZ113" s="35">
        <v>0.0</v>
      </c>
      <c r="DA113" s="35">
        <v>0.0</v>
      </c>
      <c r="DB113" s="35">
        <v>0.0</v>
      </c>
      <c r="DC113" s="35">
        <v>2.0</v>
      </c>
      <c r="DD113" s="35">
        <v>3.0</v>
      </c>
      <c r="DE113" s="35">
        <v>1.0</v>
      </c>
      <c r="DF113" s="35" t="s">
        <v>435</v>
      </c>
      <c r="DG113" s="53">
        <f t="shared" si="55"/>
        <v>12</v>
      </c>
      <c r="DH113" s="35">
        <v>2.0</v>
      </c>
      <c r="DI113" s="35">
        <v>0.0</v>
      </c>
      <c r="DJ113" s="35">
        <v>3.0</v>
      </c>
      <c r="DK113" s="35">
        <v>1.0</v>
      </c>
      <c r="DL113" s="46">
        <f t="shared" si="34"/>
        <v>69.23076923</v>
      </c>
      <c r="DM113" s="44">
        <f t="shared" si="35"/>
        <v>3</v>
      </c>
      <c r="DN113" s="44">
        <f t="shared" si="36"/>
        <v>2</v>
      </c>
      <c r="DO113" s="44">
        <f t="shared" si="37"/>
        <v>2</v>
      </c>
      <c r="DP113" s="44">
        <f t="shared" si="38"/>
        <v>2</v>
      </c>
      <c r="DQ113" s="44">
        <f t="shared" si="39"/>
        <v>2</v>
      </c>
      <c r="DR113" s="44">
        <f t="shared" ref="DR113:DS113" si="166">(DH113)</f>
        <v>2</v>
      </c>
      <c r="DS113" s="44">
        <f t="shared" si="166"/>
        <v>0</v>
      </c>
      <c r="DT113" s="44">
        <f t="shared" si="41"/>
        <v>13</v>
      </c>
      <c r="DU113" s="44" t="str">
        <f t="shared" si="42"/>
        <v>poor sleep quality</v>
      </c>
      <c r="DV113" s="35">
        <v>0.0</v>
      </c>
      <c r="DW113" s="36" t="s">
        <v>133</v>
      </c>
      <c r="DX113" s="35" t="s">
        <v>146</v>
      </c>
      <c r="DY113" s="35">
        <v>1.0</v>
      </c>
      <c r="DZ113" s="35" t="s">
        <v>131</v>
      </c>
      <c r="EA113" s="35" t="s">
        <v>157</v>
      </c>
      <c r="EB113" s="35" t="s">
        <v>139</v>
      </c>
      <c r="EC113" s="36" t="s">
        <v>133</v>
      </c>
      <c r="ED113" s="36" t="s">
        <v>133</v>
      </c>
      <c r="EE113" s="35" t="s">
        <v>141</v>
      </c>
      <c r="EF113" s="35">
        <f t="shared" si="154"/>
        <v>300</v>
      </c>
      <c r="EG113" s="35">
        <f t="shared" si="155"/>
        <v>300</v>
      </c>
      <c r="EH113" s="47">
        <f t="shared" si="24"/>
        <v>33.79247016</v>
      </c>
    </row>
    <row r="114" ht="15.75" customHeight="1">
      <c r="A114" s="43" t="s">
        <v>436</v>
      </c>
      <c r="B114" s="36" t="s">
        <v>175</v>
      </c>
      <c r="C114" s="37">
        <v>45227.0</v>
      </c>
      <c r="D114" s="64">
        <v>35.0</v>
      </c>
      <c r="E114" s="35" t="s">
        <v>130</v>
      </c>
      <c r="F114" s="35">
        <v>162.0</v>
      </c>
      <c r="G114" s="39">
        <v>59.0</v>
      </c>
      <c r="H114" s="40" t="s">
        <v>131</v>
      </c>
      <c r="I114" s="35">
        <v>3.0</v>
      </c>
      <c r="J114" s="42" t="s">
        <v>133</v>
      </c>
      <c r="K114" s="35" t="s">
        <v>131</v>
      </c>
      <c r="L114" s="35">
        <v>2.0</v>
      </c>
      <c r="M114" s="41">
        <v>44287.0</v>
      </c>
      <c r="N114" s="35">
        <v>1.0</v>
      </c>
      <c r="O114" s="41">
        <v>44562.0</v>
      </c>
      <c r="P114" s="35" t="s">
        <v>132</v>
      </c>
      <c r="Q114" s="36" t="s">
        <v>133</v>
      </c>
      <c r="R114" s="36" t="s">
        <v>133</v>
      </c>
      <c r="S114" s="36" t="s">
        <v>133</v>
      </c>
      <c r="T114" s="36" t="s">
        <v>133</v>
      </c>
      <c r="U114" s="36" t="s">
        <v>133</v>
      </c>
      <c r="V114" s="36" t="str">
        <f t="shared" si="151"/>
        <v>Paciente ambulatorio</v>
      </c>
      <c r="W114" s="35" t="s">
        <v>176</v>
      </c>
      <c r="X114" s="35" t="s">
        <v>132</v>
      </c>
      <c r="Y114" s="35">
        <v>2.0</v>
      </c>
      <c r="Z114" s="35">
        <v>1.0</v>
      </c>
      <c r="AA114" s="35">
        <v>3.0</v>
      </c>
      <c r="AB114" s="35">
        <v>3.0</v>
      </c>
      <c r="AC114" s="35">
        <v>1.0</v>
      </c>
      <c r="AD114" s="35">
        <v>1.0</v>
      </c>
      <c r="AE114" s="35">
        <v>3.0</v>
      </c>
      <c r="AF114" s="35">
        <v>1.0</v>
      </c>
      <c r="AG114" s="35">
        <v>1.0</v>
      </c>
      <c r="AH114" s="35">
        <v>3.0</v>
      </c>
      <c r="AI114" s="35">
        <v>1.0</v>
      </c>
      <c r="AJ114" s="35">
        <v>1.0</v>
      </c>
      <c r="AK114" s="36" t="s">
        <v>133</v>
      </c>
      <c r="AL114" s="40" t="s">
        <v>132</v>
      </c>
      <c r="AM114" s="35" t="s">
        <v>132</v>
      </c>
      <c r="AN114" s="35" t="s">
        <v>132</v>
      </c>
      <c r="AO114" s="35" t="s">
        <v>132</v>
      </c>
      <c r="AP114" s="35" t="s">
        <v>132</v>
      </c>
      <c r="AQ114" s="35" t="s">
        <v>132</v>
      </c>
      <c r="AR114" s="35" t="s">
        <v>132</v>
      </c>
      <c r="AS114" s="35" t="s">
        <v>132</v>
      </c>
      <c r="AT114" s="35" t="s">
        <v>132</v>
      </c>
      <c r="AU114" s="35" t="s">
        <v>132</v>
      </c>
      <c r="AV114" s="35" t="s">
        <v>131</v>
      </c>
      <c r="AW114" s="35" t="s">
        <v>437</v>
      </c>
      <c r="AX114" s="35" t="s">
        <v>165</v>
      </c>
      <c r="AY114" s="36" t="s">
        <v>133</v>
      </c>
      <c r="AZ114" s="36" t="s">
        <v>133</v>
      </c>
      <c r="BA114" s="35">
        <v>1.0</v>
      </c>
      <c r="BB114" s="35" t="s">
        <v>135</v>
      </c>
      <c r="BC114" s="39">
        <v>1.0</v>
      </c>
      <c r="BD114" s="40">
        <v>1.0</v>
      </c>
      <c r="BE114" s="35">
        <v>1.0</v>
      </c>
      <c r="BF114" s="35">
        <v>1.0</v>
      </c>
      <c r="BG114" s="35">
        <v>2.0</v>
      </c>
      <c r="BH114" s="35">
        <v>3.0</v>
      </c>
      <c r="BI114" s="44" t="str">
        <f t="shared" ref="BI114:BI139" si="168">CONCATENATE(BD114:BH114)</f>
        <v>11123</v>
      </c>
      <c r="BJ114" s="35">
        <v>80.0</v>
      </c>
      <c r="BK114" s="35">
        <v>3.0</v>
      </c>
      <c r="BL114" s="35">
        <v>2.0</v>
      </c>
      <c r="BM114" s="35">
        <v>1.0</v>
      </c>
      <c r="BN114" s="35">
        <v>3.0</v>
      </c>
      <c r="BO114" s="35">
        <v>3.0</v>
      </c>
      <c r="BP114" s="35">
        <v>2.0</v>
      </c>
      <c r="BQ114" s="35">
        <v>2.0</v>
      </c>
      <c r="BR114" s="35">
        <v>1.0</v>
      </c>
      <c r="BS114" s="35">
        <v>2.0</v>
      </c>
      <c r="BT114" s="35">
        <v>4.0</v>
      </c>
      <c r="BU114" s="44">
        <f t="shared" si="4"/>
        <v>3</v>
      </c>
      <c r="BV114" s="44">
        <f t="shared" si="137"/>
        <v>2</v>
      </c>
      <c r="BW114" s="44">
        <f t="shared" si="138"/>
        <v>22</v>
      </c>
      <c r="BX114" s="44" t="str">
        <f t="shared" si="7"/>
        <v>FATIGA</v>
      </c>
      <c r="BY114" s="35">
        <v>0.0</v>
      </c>
      <c r="BZ114" s="35">
        <v>0.0</v>
      </c>
      <c r="CA114" s="35">
        <v>0.0</v>
      </c>
      <c r="CB114" s="35">
        <v>0.0</v>
      </c>
      <c r="CC114" s="35">
        <v>0.0</v>
      </c>
      <c r="CD114" s="35">
        <v>0.0</v>
      </c>
      <c r="CE114" s="35">
        <v>2.0</v>
      </c>
      <c r="CF114" s="35">
        <v>0.0</v>
      </c>
      <c r="CG114" s="35">
        <v>20.0</v>
      </c>
      <c r="CH114" s="35">
        <v>9.0</v>
      </c>
      <c r="CI114" s="35">
        <v>0.0</v>
      </c>
      <c r="CJ114" s="44">
        <f t="shared" si="27"/>
        <v>132</v>
      </c>
      <c r="CK114" s="44">
        <f t="shared" si="28"/>
        <v>2</v>
      </c>
      <c r="CL114" s="44" t="b">
        <f t="shared" si="29"/>
        <v>0</v>
      </c>
      <c r="CM114" s="44" t="b">
        <f t="shared" si="30"/>
        <v>0</v>
      </c>
      <c r="CN114" s="45" t="str">
        <f t="shared" si="31"/>
        <v>Nivel de actividad física bajo</v>
      </c>
      <c r="CO114" s="35">
        <v>23.0</v>
      </c>
      <c r="CP114" s="35">
        <v>5.0</v>
      </c>
      <c r="CQ114" s="44">
        <f t="shared" si="32"/>
        <v>0</v>
      </c>
      <c r="CR114" s="35">
        <v>8.0</v>
      </c>
      <c r="CS114" s="35">
        <v>0.0</v>
      </c>
      <c r="CT114" s="35">
        <v>9.0</v>
      </c>
      <c r="CU114" s="35">
        <v>9.0</v>
      </c>
      <c r="CV114" s="35">
        <v>0.0</v>
      </c>
      <c r="CW114" s="35">
        <v>0.0</v>
      </c>
      <c r="CX114" s="35">
        <v>0.0</v>
      </c>
      <c r="CY114" s="35">
        <v>1.0</v>
      </c>
      <c r="CZ114" s="35">
        <v>1.0</v>
      </c>
      <c r="DA114" s="35">
        <v>0.0</v>
      </c>
      <c r="DB114" s="35">
        <v>1.0</v>
      </c>
      <c r="DC114" s="35">
        <v>1.0</v>
      </c>
      <c r="DD114" s="35">
        <v>0.0</v>
      </c>
      <c r="DE114" s="36" t="s">
        <v>133</v>
      </c>
      <c r="DF114" s="36" t="s">
        <v>133</v>
      </c>
      <c r="DG114" s="53">
        <f t="shared" si="55"/>
        <v>4</v>
      </c>
      <c r="DH114" s="35">
        <v>1.0</v>
      </c>
      <c r="DI114" s="35">
        <v>0.0</v>
      </c>
      <c r="DJ114" s="35">
        <v>3.0</v>
      </c>
      <c r="DK114" s="35">
        <v>3.0</v>
      </c>
      <c r="DL114" s="46">
        <f t="shared" si="34"/>
        <v>100</v>
      </c>
      <c r="DM114" s="44">
        <f t="shared" si="35"/>
        <v>0</v>
      </c>
      <c r="DN114" s="44">
        <f t="shared" si="36"/>
        <v>1</v>
      </c>
      <c r="DO114" s="44">
        <f t="shared" si="37"/>
        <v>0</v>
      </c>
      <c r="DP114" s="44">
        <f t="shared" si="38"/>
        <v>3</v>
      </c>
      <c r="DQ114" s="44">
        <f t="shared" si="39"/>
        <v>0</v>
      </c>
      <c r="DR114" s="44">
        <f t="shared" ref="DR114:DS114" si="167">(DH114)</f>
        <v>1</v>
      </c>
      <c r="DS114" s="44">
        <f t="shared" si="167"/>
        <v>0</v>
      </c>
      <c r="DT114" s="44">
        <f t="shared" si="41"/>
        <v>5</v>
      </c>
      <c r="DU114" s="44" t="str">
        <f t="shared" si="42"/>
        <v>good sleep quality</v>
      </c>
      <c r="DV114" s="35">
        <v>2.0</v>
      </c>
      <c r="DW114" s="35" t="s">
        <v>438</v>
      </c>
      <c r="DX114" s="35" t="s">
        <v>137</v>
      </c>
      <c r="DY114" s="35">
        <v>1.0</v>
      </c>
      <c r="DZ114" s="35" t="s">
        <v>131</v>
      </c>
      <c r="EA114" s="35" t="s">
        <v>178</v>
      </c>
      <c r="EB114" s="35" t="s">
        <v>139</v>
      </c>
      <c r="EC114" s="36" t="s">
        <v>133</v>
      </c>
      <c r="ED114" s="36" t="s">
        <v>133</v>
      </c>
      <c r="EE114" s="35" t="s">
        <v>141</v>
      </c>
      <c r="EF114" s="35">
        <f t="shared" si="154"/>
        <v>940</v>
      </c>
      <c r="EG114" s="35">
        <f t="shared" si="155"/>
        <v>665</v>
      </c>
      <c r="EH114" s="47">
        <f t="shared" si="24"/>
        <v>22.48132907</v>
      </c>
    </row>
    <row r="115" ht="15.75" customHeight="1">
      <c r="A115" s="43" t="s">
        <v>439</v>
      </c>
      <c r="B115" s="36" t="s">
        <v>175</v>
      </c>
      <c r="C115" s="37">
        <v>45227.0</v>
      </c>
      <c r="D115" s="48">
        <v>39.0</v>
      </c>
      <c r="E115" s="35" t="s">
        <v>130</v>
      </c>
      <c r="F115" s="35">
        <v>157.0</v>
      </c>
      <c r="G115" s="39">
        <v>75.0</v>
      </c>
      <c r="H115" s="40" t="s">
        <v>131</v>
      </c>
      <c r="I115" s="35">
        <v>3.0</v>
      </c>
      <c r="J115" s="41">
        <v>44658.0</v>
      </c>
      <c r="K115" s="35" t="s">
        <v>131</v>
      </c>
      <c r="L115" s="35">
        <v>2.0</v>
      </c>
      <c r="M115" s="41">
        <v>44044.0</v>
      </c>
      <c r="N115" s="35">
        <v>0.0</v>
      </c>
      <c r="O115" s="41">
        <v>44440.0</v>
      </c>
      <c r="P115" s="35" t="s">
        <v>132</v>
      </c>
      <c r="Q115" s="36" t="s">
        <v>133</v>
      </c>
      <c r="R115" s="36" t="s">
        <v>133</v>
      </c>
      <c r="S115" s="36" t="s">
        <v>133</v>
      </c>
      <c r="T115" s="36" t="s">
        <v>133</v>
      </c>
      <c r="U115" s="36" t="s">
        <v>133</v>
      </c>
      <c r="V115" s="36" t="str">
        <f t="shared" si="151"/>
        <v>Paciente ambulatorio</v>
      </c>
      <c r="W115" s="35" t="s">
        <v>176</v>
      </c>
      <c r="X115" s="35" t="s">
        <v>132</v>
      </c>
      <c r="Y115" s="35">
        <v>2.0</v>
      </c>
      <c r="Z115" s="35">
        <v>3.0</v>
      </c>
      <c r="AA115" s="35">
        <v>2.0</v>
      </c>
      <c r="AB115" s="35">
        <v>2.0</v>
      </c>
      <c r="AC115" s="35">
        <v>2.0</v>
      </c>
      <c r="AD115" s="35">
        <v>2.0</v>
      </c>
      <c r="AE115" s="35">
        <v>3.0</v>
      </c>
      <c r="AF115" s="35">
        <v>1.0</v>
      </c>
      <c r="AG115" s="35">
        <v>1.0</v>
      </c>
      <c r="AH115" s="35">
        <v>3.0</v>
      </c>
      <c r="AI115" s="35">
        <v>1.0</v>
      </c>
      <c r="AJ115" s="35">
        <v>1.0</v>
      </c>
      <c r="AK115" s="36" t="s">
        <v>133</v>
      </c>
      <c r="AL115" s="40" t="s">
        <v>132</v>
      </c>
      <c r="AM115" s="35" t="s">
        <v>132</v>
      </c>
      <c r="AN115" s="35" t="s">
        <v>131</v>
      </c>
      <c r="AO115" s="35" t="s">
        <v>132</v>
      </c>
      <c r="AP115" s="35" t="s">
        <v>132</v>
      </c>
      <c r="AQ115" s="35" t="s">
        <v>132</v>
      </c>
      <c r="AR115" s="35" t="s">
        <v>132</v>
      </c>
      <c r="AS115" s="35" t="s">
        <v>132</v>
      </c>
      <c r="AT115" s="35" t="s">
        <v>132</v>
      </c>
      <c r="AU115" s="35" t="s">
        <v>132</v>
      </c>
      <c r="AV115" s="35" t="s">
        <v>132</v>
      </c>
      <c r="AW115" s="36" t="s">
        <v>133</v>
      </c>
      <c r="AX115" s="35" t="s">
        <v>132</v>
      </c>
      <c r="AY115" s="36" t="s">
        <v>133</v>
      </c>
      <c r="AZ115" s="36" t="s">
        <v>133</v>
      </c>
      <c r="BA115" s="36" t="s">
        <v>133</v>
      </c>
      <c r="BB115" s="35" t="s">
        <v>145</v>
      </c>
      <c r="BC115" s="36" t="s">
        <v>133</v>
      </c>
      <c r="BD115" s="40">
        <v>1.0</v>
      </c>
      <c r="BE115" s="35">
        <v>1.0</v>
      </c>
      <c r="BF115" s="35">
        <v>1.0</v>
      </c>
      <c r="BG115" s="35">
        <v>1.0</v>
      </c>
      <c r="BH115" s="35">
        <v>2.0</v>
      </c>
      <c r="BI115" s="44" t="str">
        <f t="shared" si="168"/>
        <v>11112</v>
      </c>
      <c r="BJ115" s="35">
        <v>95.0</v>
      </c>
      <c r="BK115" s="35">
        <v>2.0</v>
      </c>
      <c r="BL115" s="35">
        <v>2.0</v>
      </c>
      <c r="BM115" s="35">
        <v>1.0</v>
      </c>
      <c r="BN115" s="35">
        <v>5.0</v>
      </c>
      <c r="BO115" s="35">
        <v>2.0</v>
      </c>
      <c r="BP115" s="35">
        <v>1.0</v>
      </c>
      <c r="BQ115" s="35">
        <v>3.0</v>
      </c>
      <c r="BR115" s="35">
        <v>1.0</v>
      </c>
      <c r="BS115" s="35">
        <v>2.0</v>
      </c>
      <c r="BT115" s="35">
        <v>2.0</v>
      </c>
      <c r="BU115" s="44">
        <f t="shared" si="4"/>
        <v>1</v>
      </c>
      <c r="BV115" s="44">
        <f t="shared" si="137"/>
        <v>4</v>
      </c>
      <c r="BW115" s="44">
        <f t="shared" si="138"/>
        <v>20</v>
      </c>
      <c r="BX115" s="44" t="str">
        <f t="shared" si="7"/>
        <v>NO HAY FATIGA</v>
      </c>
      <c r="BY115" s="35">
        <v>2.0</v>
      </c>
      <c r="BZ115" s="35">
        <v>1.0</v>
      </c>
      <c r="CA115" s="35">
        <v>0.0</v>
      </c>
      <c r="CB115" s="35">
        <v>3.0</v>
      </c>
      <c r="CC115" s="35">
        <v>1.0</v>
      </c>
      <c r="CD115" s="35">
        <v>30.0</v>
      </c>
      <c r="CE115" s="35">
        <v>7.0</v>
      </c>
      <c r="CF115" s="35">
        <v>0.0</v>
      </c>
      <c r="CG115" s="35">
        <v>30.0</v>
      </c>
      <c r="CH115" s="35">
        <v>4.0</v>
      </c>
      <c r="CI115" s="35">
        <v>0.0</v>
      </c>
      <c r="CJ115" s="44">
        <f t="shared" si="27"/>
        <v>2733</v>
      </c>
      <c r="CK115" s="44">
        <f t="shared" si="28"/>
        <v>12</v>
      </c>
      <c r="CL115" s="44" t="b">
        <f t="shared" si="29"/>
        <v>0</v>
      </c>
      <c r="CM115" s="44" t="str">
        <f t="shared" si="30"/>
        <v>Nivel de actividad física moderado</v>
      </c>
      <c r="CN115" s="45" t="str">
        <f t="shared" si="31"/>
        <v>Nivel de actividad física moderado</v>
      </c>
      <c r="CO115" s="35">
        <v>23.0</v>
      </c>
      <c r="CP115" s="35">
        <v>10.0</v>
      </c>
      <c r="CQ115" s="44">
        <f t="shared" si="32"/>
        <v>0</v>
      </c>
      <c r="CR115" s="35">
        <v>5.0</v>
      </c>
      <c r="CS115" s="35">
        <v>30.0</v>
      </c>
      <c r="CT115" s="35">
        <v>6.5</v>
      </c>
      <c r="CU115" s="35">
        <v>6.0</v>
      </c>
      <c r="CV115" s="35">
        <v>0.0</v>
      </c>
      <c r="CW115" s="35">
        <v>1.0</v>
      </c>
      <c r="CX115" s="35">
        <v>0.0</v>
      </c>
      <c r="CY115" s="35">
        <v>0.0</v>
      </c>
      <c r="CZ115" s="35">
        <v>0.0</v>
      </c>
      <c r="DA115" s="35">
        <v>0.0</v>
      </c>
      <c r="DB115" s="35">
        <v>0.0</v>
      </c>
      <c r="DC115" s="35">
        <v>0.0</v>
      </c>
      <c r="DD115" s="35">
        <v>0.0</v>
      </c>
      <c r="DE115" s="35">
        <v>0.0</v>
      </c>
      <c r="DF115" s="36" t="s">
        <v>133</v>
      </c>
      <c r="DG115" s="53">
        <f t="shared" si="55"/>
        <v>1</v>
      </c>
      <c r="DH115" s="35">
        <v>0.0</v>
      </c>
      <c r="DI115" s="35">
        <v>0.0</v>
      </c>
      <c r="DJ115" s="35">
        <v>0.0</v>
      </c>
      <c r="DK115" s="35">
        <v>0.0</v>
      </c>
      <c r="DL115" s="46">
        <f t="shared" si="34"/>
        <v>92.30769231</v>
      </c>
      <c r="DM115" s="44">
        <f t="shared" si="35"/>
        <v>1</v>
      </c>
      <c r="DN115" s="44">
        <f t="shared" si="36"/>
        <v>1</v>
      </c>
      <c r="DO115" s="44">
        <f t="shared" si="37"/>
        <v>0</v>
      </c>
      <c r="DP115" s="44">
        <f t="shared" si="38"/>
        <v>0</v>
      </c>
      <c r="DQ115" s="44">
        <f t="shared" si="39"/>
        <v>0</v>
      </c>
      <c r="DR115" s="44">
        <f t="shared" ref="DR115:DS115" si="169">(DH115)</f>
        <v>0</v>
      </c>
      <c r="DS115" s="44">
        <f t="shared" si="169"/>
        <v>0</v>
      </c>
      <c r="DT115" s="44">
        <f t="shared" si="41"/>
        <v>2</v>
      </c>
      <c r="DU115" s="44" t="str">
        <f t="shared" si="42"/>
        <v>good sleep quality</v>
      </c>
      <c r="DV115" s="35">
        <v>1.0</v>
      </c>
      <c r="DW115" s="35" t="s">
        <v>314</v>
      </c>
      <c r="DX115" s="35" t="s">
        <v>137</v>
      </c>
      <c r="DY115" s="35">
        <v>2.0</v>
      </c>
      <c r="DZ115" s="35" t="s">
        <v>131</v>
      </c>
      <c r="EA115" s="35" t="s">
        <v>157</v>
      </c>
      <c r="EB115" s="35" t="s">
        <v>139</v>
      </c>
      <c r="EC115" s="36" t="s">
        <v>133</v>
      </c>
      <c r="ED115" s="35" t="s">
        <v>132</v>
      </c>
      <c r="EE115" s="35" t="s">
        <v>141</v>
      </c>
      <c r="EF115" s="35">
        <f t="shared" si="154"/>
        <v>1183</v>
      </c>
      <c r="EG115" s="35">
        <f t="shared" si="155"/>
        <v>787</v>
      </c>
      <c r="EH115" s="47">
        <f t="shared" si="24"/>
        <v>30.42719786</v>
      </c>
    </row>
    <row r="116" ht="15.75" customHeight="1">
      <c r="A116" s="43" t="s">
        <v>440</v>
      </c>
      <c r="B116" s="36" t="s">
        <v>175</v>
      </c>
      <c r="C116" s="37">
        <v>45236.0</v>
      </c>
      <c r="D116" s="48">
        <v>49.0</v>
      </c>
      <c r="E116" s="35" t="s">
        <v>153</v>
      </c>
      <c r="F116" s="35">
        <v>167.0</v>
      </c>
      <c r="G116" s="39">
        <v>121.0</v>
      </c>
      <c r="H116" s="40" t="s">
        <v>131</v>
      </c>
      <c r="I116" s="35">
        <v>4.0</v>
      </c>
      <c r="J116" s="41">
        <v>44805.0</v>
      </c>
      <c r="K116" s="35" t="s">
        <v>131</v>
      </c>
      <c r="L116" s="35">
        <v>1.0</v>
      </c>
      <c r="M116" s="41">
        <v>44333.0</v>
      </c>
      <c r="N116" s="35">
        <v>0.0</v>
      </c>
      <c r="O116" s="42" t="s">
        <v>133</v>
      </c>
      <c r="P116" s="35" t="s">
        <v>132</v>
      </c>
      <c r="Q116" s="36" t="s">
        <v>133</v>
      </c>
      <c r="R116" s="36" t="s">
        <v>133</v>
      </c>
      <c r="S116" s="36" t="s">
        <v>133</v>
      </c>
      <c r="T116" s="36" t="s">
        <v>133</v>
      </c>
      <c r="U116" s="36" t="s">
        <v>133</v>
      </c>
      <c r="V116" s="36" t="str">
        <f t="shared" si="151"/>
        <v>Paciente ambulatorio</v>
      </c>
      <c r="W116" s="35" t="s">
        <v>183</v>
      </c>
      <c r="X116" s="36" t="s">
        <v>133</v>
      </c>
      <c r="Y116" s="35">
        <v>2.0</v>
      </c>
      <c r="Z116" s="35">
        <v>2.0</v>
      </c>
      <c r="AA116" s="35">
        <v>2.0</v>
      </c>
      <c r="AB116" s="35">
        <v>2.0</v>
      </c>
      <c r="AC116" s="35">
        <v>3.0</v>
      </c>
      <c r="AD116" s="35">
        <v>3.0</v>
      </c>
      <c r="AE116" s="35">
        <v>3.0</v>
      </c>
      <c r="AF116" s="35">
        <v>3.0</v>
      </c>
      <c r="AG116" s="35">
        <v>3.0</v>
      </c>
      <c r="AH116" s="35">
        <v>3.0</v>
      </c>
      <c r="AI116" s="35">
        <v>1.0</v>
      </c>
      <c r="AJ116" s="35">
        <v>3.0</v>
      </c>
      <c r="AK116" s="36" t="s">
        <v>133</v>
      </c>
      <c r="AL116" s="40" t="s">
        <v>132</v>
      </c>
      <c r="AM116" s="35" t="s">
        <v>132</v>
      </c>
      <c r="AN116" s="35" t="s">
        <v>132</v>
      </c>
      <c r="AO116" s="35" t="s">
        <v>132</v>
      </c>
      <c r="AP116" s="35" t="s">
        <v>132</v>
      </c>
      <c r="AQ116" s="35" t="s">
        <v>132</v>
      </c>
      <c r="AR116" s="35" t="s">
        <v>132</v>
      </c>
      <c r="AS116" s="35" t="s">
        <v>132</v>
      </c>
      <c r="AT116" s="35" t="s">
        <v>132</v>
      </c>
      <c r="AU116" s="35" t="s">
        <v>132</v>
      </c>
      <c r="AV116" s="35" t="s">
        <v>131</v>
      </c>
      <c r="AW116" s="35" t="s">
        <v>441</v>
      </c>
      <c r="AX116" s="35" t="s">
        <v>165</v>
      </c>
      <c r="AY116" s="36" t="s">
        <v>133</v>
      </c>
      <c r="AZ116" s="36" t="s">
        <v>133</v>
      </c>
      <c r="BA116" s="35">
        <v>10.0</v>
      </c>
      <c r="BB116" s="35" t="s">
        <v>135</v>
      </c>
      <c r="BC116" s="39">
        <v>2.0</v>
      </c>
      <c r="BD116" s="40">
        <v>1.0</v>
      </c>
      <c r="BE116" s="35">
        <v>1.0</v>
      </c>
      <c r="BF116" s="35">
        <v>1.0</v>
      </c>
      <c r="BG116" s="35">
        <v>2.0</v>
      </c>
      <c r="BH116" s="35">
        <v>1.0</v>
      </c>
      <c r="BI116" s="44" t="str">
        <f t="shared" si="168"/>
        <v>11121</v>
      </c>
      <c r="BJ116" s="35">
        <v>65.0</v>
      </c>
      <c r="BK116" s="35">
        <v>1.0</v>
      </c>
      <c r="BL116" s="35">
        <v>2.0</v>
      </c>
      <c r="BM116" s="35">
        <v>1.0</v>
      </c>
      <c r="BN116" s="35">
        <v>5.0</v>
      </c>
      <c r="BO116" s="35">
        <v>1.0</v>
      </c>
      <c r="BP116" s="35">
        <v>2.0</v>
      </c>
      <c r="BQ116" s="35">
        <v>1.0</v>
      </c>
      <c r="BR116" s="35">
        <v>1.0</v>
      </c>
      <c r="BS116" s="35">
        <v>1.0</v>
      </c>
      <c r="BT116" s="35">
        <v>5.0</v>
      </c>
      <c r="BU116" s="44">
        <f t="shared" si="4"/>
        <v>1</v>
      </c>
      <c r="BV116" s="44">
        <f t="shared" si="137"/>
        <v>1</v>
      </c>
      <c r="BW116" s="44">
        <f t="shared" si="138"/>
        <v>16</v>
      </c>
      <c r="BX116" s="44" t="str">
        <f t="shared" si="7"/>
        <v>NO HAY FATIGA</v>
      </c>
      <c r="BY116" s="35">
        <v>2.0</v>
      </c>
      <c r="BZ116" s="35">
        <v>1.0</v>
      </c>
      <c r="CA116" s="35">
        <v>0.0</v>
      </c>
      <c r="CB116" s="35">
        <v>0.0</v>
      </c>
      <c r="CC116" s="35">
        <v>0.0</v>
      </c>
      <c r="CD116" s="35">
        <v>0.0</v>
      </c>
      <c r="CE116" s="35">
        <v>3.0</v>
      </c>
      <c r="CF116" s="35">
        <v>0.0</v>
      </c>
      <c r="CG116" s="35">
        <v>10.0</v>
      </c>
      <c r="CH116" s="35">
        <v>9.0</v>
      </c>
      <c r="CI116" s="35">
        <v>0.0</v>
      </c>
      <c r="CJ116" s="44">
        <f t="shared" si="27"/>
        <v>1059</v>
      </c>
      <c r="CK116" s="44">
        <f t="shared" si="28"/>
        <v>5</v>
      </c>
      <c r="CL116" s="44" t="b">
        <f t="shared" si="29"/>
        <v>0</v>
      </c>
      <c r="CM116" s="44" t="b">
        <f t="shared" si="30"/>
        <v>0</v>
      </c>
      <c r="CN116" s="45" t="str">
        <f t="shared" si="31"/>
        <v>Nivel de actividad física bajo</v>
      </c>
      <c r="CO116" s="35">
        <v>22.0</v>
      </c>
      <c r="CP116" s="35">
        <v>15.0</v>
      </c>
      <c r="CQ116" s="44">
        <f t="shared" si="32"/>
        <v>0</v>
      </c>
      <c r="CR116" s="35">
        <v>7.0</v>
      </c>
      <c r="CS116" s="35">
        <v>0.0</v>
      </c>
      <c r="CT116" s="35">
        <v>9.0</v>
      </c>
      <c r="CU116" s="35">
        <v>6.0</v>
      </c>
      <c r="CV116" s="35">
        <v>0.0</v>
      </c>
      <c r="CW116" s="35">
        <v>3.0</v>
      </c>
      <c r="CX116" s="35">
        <v>3.0</v>
      </c>
      <c r="CY116" s="35">
        <v>3.0</v>
      </c>
      <c r="CZ116" s="35">
        <v>3.0</v>
      </c>
      <c r="DA116" s="35">
        <v>1.0</v>
      </c>
      <c r="DB116" s="35">
        <v>1.0</v>
      </c>
      <c r="DC116" s="35">
        <v>1.0</v>
      </c>
      <c r="DD116" s="35">
        <v>1.0</v>
      </c>
      <c r="DE116" s="35">
        <v>0.0</v>
      </c>
      <c r="DF116" s="36" t="s">
        <v>133</v>
      </c>
      <c r="DG116" s="53">
        <f t="shared" si="55"/>
        <v>16</v>
      </c>
      <c r="DH116" s="35">
        <v>2.0</v>
      </c>
      <c r="DI116" s="35">
        <v>0.0</v>
      </c>
      <c r="DJ116" s="35">
        <v>3.0</v>
      </c>
      <c r="DK116" s="35">
        <v>0.0</v>
      </c>
      <c r="DL116" s="46">
        <f t="shared" si="34"/>
        <v>66.66666667</v>
      </c>
      <c r="DM116" s="44">
        <f t="shared" si="35"/>
        <v>1</v>
      </c>
      <c r="DN116" s="44">
        <f t="shared" si="36"/>
        <v>2</v>
      </c>
      <c r="DO116" s="44">
        <f t="shared" si="37"/>
        <v>0</v>
      </c>
      <c r="DP116" s="44">
        <f t="shared" si="38"/>
        <v>2</v>
      </c>
      <c r="DQ116" s="44">
        <f t="shared" si="39"/>
        <v>2</v>
      </c>
      <c r="DR116" s="44">
        <f t="shared" ref="DR116:DS116" si="170">(DH116)</f>
        <v>2</v>
      </c>
      <c r="DS116" s="44">
        <f t="shared" si="170"/>
        <v>0</v>
      </c>
      <c r="DT116" s="44">
        <f t="shared" si="41"/>
        <v>9</v>
      </c>
      <c r="DU116" s="44" t="str">
        <f t="shared" si="42"/>
        <v>poor sleep quality</v>
      </c>
      <c r="DV116" s="35">
        <v>1.0</v>
      </c>
      <c r="DW116" s="35" t="s">
        <v>155</v>
      </c>
      <c r="DX116" s="35" t="s">
        <v>137</v>
      </c>
      <c r="DY116" s="35">
        <v>1.0</v>
      </c>
      <c r="DZ116" s="35" t="s">
        <v>131</v>
      </c>
      <c r="EA116" s="35" t="s">
        <v>167</v>
      </c>
      <c r="EB116" s="35" t="s">
        <v>139</v>
      </c>
      <c r="EC116" s="36" t="s">
        <v>133</v>
      </c>
      <c r="ED116" s="36" t="s">
        <v>133</v>
      </c>
      <c r="EE116" s="35" t="s">
        <v>158</v>
      </c>
      <c r="EF116" s="35">
        <f t="shared" si="154"/>
        <v>903</v>
      </c>
      <c r="EG116" s="36" t="s">
        <v>133</v>
      </c>
      <c r="EH116" s="47">
        <f t="shared" si="24"/>
        <v>43.38628133</v>
      </c>
    </row>
    <row r="117" ht="15.75" customHeight="1">
      <c r="A117" s="35" t="s">
        <v>442</v>
      </c>
      <c r="B117" s="36" t="s">
        <v>175</v>
      </c>
      <c r="C117" s="37">
        <v>45227.0</v>
      </c>
      <c r="D117" s="48">
        <v>50.0</v>
      </c>
      <c r="E117" s="35" t="s">
        <v>130</v>
      </c>
      <c r="F117" s="35">
        <v>160.0</v>
      </c>
      <c r="G117" s="39">
        <v>78.0</v>
      </c>
      <c r="H117" s="40" t="s">
        <v>131</v>
      </c>
      <c r="I117" s="35">
        <v>4.0</v>
      </c>
      <c r="J117" s="41">
        <v>44785.0</v>
      </c>
      <c r="K117" s="35" t="s">
        <v>131</v>
      </c>
      <c r="L117" s="35">
        <v>2.0</v>
      </c>
      <c r="M117" s="41">
        <v>43983.0</v>
      </c>
      <c r="N117" s="35">
        <v>0.0</v>
      </c>
      <c r="O117" s="41">
        <v>44866.0</v>
      </c>
      <c r="P117" s="35" t="s">
        <v>132</v>
      </c>
      <c r="Q117" s="36" t="s">
        <v>133</v>
      </c>
      <c r="R117" s="36" t="s">
        <v>133</v>
      </c>
      <c r="S117" s="36" t="s">
        <v>133</v>
      </c>
      <c r="T117" s="36" t="s">
        <v>133</v>
      </c>
      <c r="U117" s="36" t="s">
        <v>133</v>
      </c>
      <c r="V117" s="36" t="str">
        <f t="shared" si="151"/>
        <v>Paciente ambulatorio</v>
      </c>
      <c r="W117" s="35" t="s">
        <v>176</v>
      </c>
      <c r="X117" s="35" t="s">
        <v>132</v>
      </c>
      <c r="Y117" s="35">
        <v>1.0</v>
      </c>
      <c r="Z117" s="35">
        <v>1.0</v>
      </c>
      <c r="AA117" s="35">
        <v>1.0</v>
      </c>
      <c r="AB117" s="35">
        <v>1.0</v>
      </c>
      <c r="AC117" s="35">
        <v>1.0</v>
      </c>
      <c r="AD117" s="35">
        <v>1.0</v>
      </c>
      <c r="AE117" s="35">
        <v>1.0</v>
      </c>
      <c r="AF117" s="35">
        <v>1.0</v>
      </c>
      <c r="AG117" s="35">
        <v>3.0</v>
      </c>
      <c r="AH117" s="35">
        <v>1.0</v>
      </c>
      <c r="AI117" s="35">
        <v>1.0</v>
      </c>
      <c r="AJ117" s="35">
        <v>1.0</v>
      </c>
      <c r="AK117" s="39" t="s">
        <v>443</v>
      </c>
      <c r="AL117" s="40" t="s">
        <v>132</v>
      </c>
      <c r="AM117" s="35" t="s">
        <v>131</v>
      </c>
      <c r="AN117" s="35" t="s">
        <v>132</v>
      </c>
      <c r="AO117" s="35" t="s">
        <v>132</v>
      </c>
      <c r="AP117" s="35" t="s">
        <v>132</v>
      </c>
      <c r="AQ117" s="35" t="s">
        <v>132</v>
      </c>
      <c r="AR117" s="35" t="s">
        <v>132</v>
      </c>
      <c r="AS117" s="35" t="s">
        <v>132</v>
      </c>
      <c r="AT117" s="35" t="s">
        <v>132</v>
      </c>
      <c r="AU117" s="35" t="s">
        <v>132</v>
      </c>
      <c r="AV117" s="35" t="s">
        <v>131</v>
      </c>
      <c r="AW117" s="35" t="s">
        <v>444</v>
      </c>
      <c r="AX117" s="35" t="s">
        <v>131</v>
      </c>
      <c r="AY117" s="35">
        <v>1.0</v>
      </c>
      <c r="AZ117" s="36" t="s">
        <v>133</v>
      </c>
      <c r="BA117" s="36" t="s">
        <v>133</v>
      </c>
      <c r="BB117" s="35" t="s">
        <v>145</v>
      </c>
      <c r="BC117" s="36" t="s">
        <v>133</v>
      </c>
      <c r="BD117" s="40">
        <v>2.0</v>
      </c>
      <c r="BE117" s="35">
        <v>1.0</v>
      </c>
      <c r="BF117" s="35">
        <v>1.0</v>
      </c>
      <c r="BG117" s="35">
        <v>3.0</v>
      </c>
      <c r="BH117" s="35">
        <v>2.0</v>
      </c>
      <c r="BI117" s="44" t="str">
        <f t="shared" si="168"/>
        <v>21132</v>
      </c>
      <c r="BJ117" s="35">
        <v>60.0</v>
      </c>
      <c r="BK117" s="35">
        <v>3.0</v>
      </c>
      <c r="BL117" s="35">
        <v>3.0</v>
      </c>
      <c r="BM117" s="35">
        <v>2.0</v>
      </c>
      <c r="BN117" s="35">
        <v>2.0</v>
      </c>
      <c r="BO117" s="35">
        <v>3.0</v>
      </c>
      <c r="BP117" s="35">
        <v>2.0</v>
      </c>
      <c r="BQ117" s="35">
        <v>2.0</v>
      </c>
      <c r="BR117" s="35">
        <v>2.0</v>
      </c>
      <c r="BS117" s="35">
        <v>2.0</v>
      </c>
      <c r="BT117" s="35">
        <v>2.0</v>
      </c>
      <c r="BU117" s="44">
        <f t="shared" si="4"/>
        <v>4</v>
      </c>
      <c r="BV117" s="44">
        <f t="shared" si="137"/>
        <v>4</v>
      </c>
      <c r="BW117" s="44">
        <f t="shared" si="138"/>
        <v>25</v>
      </c>
      <c r="BX117" s="44" t="str">
        <f t="shared" si="7"/>
        <v>FATIGA</v>
      </c>
      <c r="BY117" s="35">
        <v>0.0</v>
      </c>
      <c r="BZ117" s="35">
        <v>0.0</v>
      </c>
      <c r="CA117" s="35">
        <v>0.0</v>
      </c>
      <c r="CB117" s="35">
        <v>0.0</v>
      </c>
      <c r="CC117" s="35">
        <v>0.0</v>
      </c>
      <c r="CD117" s="35">
        <v>7.0</v>
      </c>
      <c r="CE117" s="35">
        <v>0.0</v>
      </c>
      <c r="CF117" s="35">
        <v>0.0</v>
      </c>
      <c r="CG117" s="35">
        <v>30.0</v>
      </c>
      <c r="CH117" s="35">
        <v>6.0</v>
      </c>
      <c r="CI117" s="35">
        <v>0.0</v>
      </c>
      <c r="CJ117" s="44">
        <f t="shared" si="27"/>
        <v>0</v>
      </c>
      <c r="CK117" s="44">
        <f t="shared" si="28"/>
        <v>0</v>
      </c>
      <c r="CL117" s="44" t="b">
        <f t="shared" si="29"/>
        <v>0</v>
      </c>
      <c r="CM117" s="44" t="b">
        <f t="shared" si="30"/>
        <v>0</v>
      </c>
      <c r="CN117" s="45" t="str">
        <f t="shared" si="31"/>
        <v>Nivel de actividad física bajo</v>
      </c>
      <c r="CO117" s="51">
        <v>0.9791666666666666</v>
      </c>
      <c r="CP117" s="35">
        <v>5.0</v>
      </c>
      <c r="CQ117" s="44">
        <f t="shared" si="32"/>
        <v>0</v>
      </c>
      <c r="CR117" s="35">
        <v>6.0</v>
      </c>
      <c r="CS117" s="35">
        <v>0.0</v>
      </c>
      <c r="CT117" s="35">
        <v>6.5</v>
      </c>
      <c r="CU117" s="35">
        <v>6.0</v>
      </c>
      <c r="CV117" s="35">
        <v>0.0</v>
      </c>
      <c r="CW117" s="35">
        <v>3.0</v>
      </c>
      <c r="CX117" s="35">
        <v>0.0</v>
      </c>
      <c r="CY117" s="35">
        <v>0.0</v>
      </c>
      <c r="CZ117" s="35">
        <v>0.0</v>
      </c>
      <c r="DA117" s="35">
        <v>3.0</v>
      </c>
      <c r="DB117" s="35">
        <v>3.0</v>
      </c>
      <c r="DC117" s="35">
        <v>1.0</v>
      </c>
      <c r="DD117" s="35">
        <v>3.0</v>
      </c>
      <c r="DE117" s="35">
        <v>3.0</v>
      </c>
      <c r="DF117" s="35" t="s">
        <v>445</v>
      </c>
      <c r="DG117" s="53">
        <f t="shared" si="55"/>
        <v>16</v>
      </c>
      <c r="DH117" s="35">
        <v>2.0</v>
      </c>
      <c r="DI117" s="35">
        <v>0.0</v>
      </c>
      <c r="DJ117" s="35">
        <v>3.0</v>
      </c>
      <c r="DK117" s="35">
        <v>2.0</v>
      </c>
      <c r="DL117" s="46">
        <f t="shared" si="34"/>
        <v>92.30769231</v>
      </c>
      <c r="DM117" s="44">
        <f t="shared" si="35"/>
        <v>1</v>
      </c>
      <c r="DN117" s="44">
        <f t="shared" si="36"/>
        <v>2</v>
      </c>
      <c r="DO117" s="44">
        <f t="shared" si="37"/>
        <v>0</v>
      </c>
      <c r="DP117" s="44">
        <f t="shared" si="38"/>
        <v>3</v>
      </c>
      <c r="DQ117" s="44">
        <f t="shared" si="39"/>
        <v>0</v>
      </c>
      <c r="DR117" s="44">
        <f t="shared" ref="DR117:DS117" si="171">(DH117)</f>
        <v>2</v>
      </c>
      <c r="DS117" s="44">
        <f t="shared" si="171"/>
        <v>0</v>
      </c>
      <c r="DT117" s="44">
        <f t="shared" si="41"/>
        <v>8</v>
      </c>
      <c r="DU117" s="44" t="str">
        <f t="shared" si="42"/>
        <v>poor sleep quality</v>
      </c>
      <c r="DV117" s="35">
        <v>2.0</v>
      </c>
      <c r="DW117" s="35" t="s">
        <v>149</v>
      </c>
      <c r="DX117" s="35" t="s">
        <v>207</v>
      </c>
      <c r="DY117" s="35">
        <v>2.0</v>
      </c>
      <c r="DZ117" s="35" t="s">
        <v>131</v>
      </c>
      <c r="EA117" s="35" t="s">
        <v>162</v>
      </c>
      <c r="EB117" s="35" t="s">
        <v>172</v>
      </c>
      <c r="EC117" s="36" t="s">
        <v>133</v>
      </c>
      <c r="ED117" s="35" t="s">
        <v>131</v>
      </c>
      <c r="EE117" s="35" t="s">
        <v>141</v>
      </c>
      <c r="EF117" s="35">
        <f t="shared" si="154"/>
        <v>1244</v>
      </c>
      <c r="EG117" s="35">
        <f>C117-O117</f>
        <v>361</v>
      </c>
      <c r="EH117" s="47">
        <f t="shared" si="24"/>
        <v>30.46875</v>
      </c>
    </row>
    <row r="118" ht="15.75" customHeight="1">
      <c r="A118" s="35" t="s">
        <v>446</v>
      </c>
      <c r="B118" s="36" t="s">
        <v>175</v>
      </c>
      <c r="C118" s="37">
        <v>45234.0</v>
      </c>
      <c r="D118" s="48">
        <v>35.0</v>
      </c>
      <c r="E118" s="35" t="s">
        <v>130</v>
      </c>
      <c r="F118" s="35">
        <v>155.0</v>
      </c>
      <c r="G118" s="39">
        <v>110.0</v>
      </c>
      <c r="H118" s="40" t="s">
        <v>131</v>
      </c>
      <c r="I118" s="35">
        <v>5.0</v>
      </c>
      <c r="J118" s="55">
        <v>44986.0</v>
      </c>
      <c r="K118" s="35" t="s">
        <v>131</v>
      </c>
      <c r="L118" s="35">
        <v>1.0</v>
      </c>
      <c r="M118" s="41">
        <v>44562.0</v>
      </c>
      <c r="N118" s="35">
        <v>1.0</v>
      </c>
      <c r="O118" s="42" t="s">
        <v>133</v>
      </c>
      <c r="P118" s="35" t="s">
        <v>132</v>
      </c>
      <c r="Q118" s="36" t="s">
        <v>133</v>
      </c>
      <c r="R118" s="36" t="s">
        <v>133</v>
      </c>
      <c r="S118" s="36" t="s">
        <v>133</v>
      </c>
      <c r="T118" s="36" t="s">
        <v>133</v>
      </c>
      <c r="U118" s="36" t="s">
        <v>133</v>
      </c>
      <c r="V118" s="36" t="str">
        <f t="shared" si="151"/>
        <v>Paciente ambulatorio</v>
      </c>
      <c r="W118" s="35" t="s">
        <v>183</v>
      </c>
      <c r="X118" s="35" t="s">
        <v>132</v>
      </c>
      <c r="Y118" s="35">
        <v>3.0</v>
      </c>
      <c r="Z118" s="35">
        <v>2.0</v>
      </c>
      <c r="AA118" s="35">
        <v>2.0</v>
      </c>
      <c r="AB118" s="35">
        <v>2.0</v>
      </c>
      <c r="AC118" s="35">
        <v>3.0</v>
      </c>
      <c r="AD118" s="35">
        <v>2.0</v>
      </c>
      <c r="AE118" s="35">
        <v>2.0</v>
      </c>
      <c r="AF118" s="35">
        <v>1.0</v>
      </c>
      <c r="AG118" s="35">
        <v>3.0</v>
      </c>
      <c r="AH118" s="35">
        <v>3.0</v>
      </c>
      <c r="AI118" s="35">
        <v>3.0</v>
      </c>
      <c r="AJ118" s="35">
        <v>1.0</v>
      </c>
      <c r="AK118" s="36" t="s">
        <v>133</v>
      </c>
      <c r="AL118" s="40" t="s">
        <v>131</v>
      </c>
      <c r="AM118" s="35" t="s">
        <v>132</v>
      </c>
      <c r="AN118" s="35" t="s">
        <v>132</v>
      </c>
      <c r="AO118" s="35" t="s">
        <v>131</v>
      </c>
      <c r="AP118" s="35" t="s">
        <v>132</v>
      </c>
      <c r="AQ118" s="35" t="s">
        <v>132</v>
      </c>
      <c r="AR118" s="35" t="s">
        <v>132</v>
      </c>
      <c r="AS118" s="35" t="s">
        <v>132</v>
      </c>
      <c r="AT118" s="35" t="s">
        <v>132</v>
      </c>
      <c r="AU118" s="35" t="s">
        <v>132</v>
      </c>
      <c r="AV118" s="35" t="s">
        <v>131</v>
      </c>
      <c r="AW118" s="35" t="s">
        <v>177</v>
      </c>
      <c r="AX118" s="35" t="s">
        <v>165</v>
      </c>
      <c r="AY118" s="36" t="s">
        <v>133</v>
      </c>
      <c r="AZ118" s="36" t="s">
        <v>133</v>
      </c>
      <c r="BA118" s="35">
        <v>20.0</v>
      </c>
      <c r="BB118" s="35" t="s">
        <v>135</v>
      </c>
      <c r="BC118" s="39">
        <v>1.0</v>
      </c>
      <c r="BD118" s="40">
        <v>1.0</v>
      </c>
      <c r="BE118" s="35">
        <v>1.0</v>
      </c>
      <c r="BF118" s="35">
        <v>1.0</v>
      </c>
      <c r="BG118" s="35">
        <v>1.0</v>
      </c>
      <c r="BH118" s="35">
        <v>2.0</v>
      </c>
      <c r="BI118" s="44" t="str">
        <f t="shared" si="168"/>
        <v>11112</v>
      </c>
      <c r="BJ118" s="35">
        <v>70.0</v>
      </c>
      <c r="BK118" s="35">
        <v>1.0</v>
      </c>
      <c r="BL118" s="35">
        <v>1.0</v>
      </c>
      <c r="BM118" s="35">
        <v>3.0</v>
      </c>
      <c r="BN118" s="35">
        <v>5.0</v>
      </c>
      <c r="BO118" s="35">
        <v>1.0</v>
      </c>
      <c r="BP118" s="35">
        <v>1.0</v>
      </c>
      <c r="BQ118" s="35">
        <v>1.0</v>
      </c>
      <c r="BR118" s="35">
        <v>1.0</v>
      </c>
      <c r="BS118" s="35">
        <v>1.0</v>
      </c>
      <c r="BT118" s="35">
        <v>5.0</v>
      </c>
      <c r="BU118" s="44">
        <f t="shared" si="4"/>
        <v>1</v>
      </c>
      <c r="BV118" s="44">
        <f t="shared" si="137"/>
        <v>1</v>
      </c>
      <c r="BW118" s="44">
        <f t="shared" si="138"/>
        <v>16</v>
      </c>
      <c r="BX118" s="44" t="str">
        <f t="shared" si="7"/>
        <v>NO HAY FATIGA</v>
      </c>
      <c r="BY118" s="35">
        <v>0.0</v>
      </c>
      <c r="BZ118" s="35">
        <v>0.0</v>
      </c>
      <c r="CA118" s="35">
        <v>0.0</v>
      </c>
      <c r="CB118" s="35">
        <v>0.0</v>
      </c>
      <c r="CC118" s="35">
        <v>0.0</v>
      </c>
      <c r="CD118" s="35">
        <v>0.0</v>
      </c>
      <c r="CE118" s="35">
        <v>7.0</v>
      </c>
      <c r="CF118" s="35">
        <v>0.0</v>
      </c>
      <c r="CG118" s="35">
        <v>15.0</v>
      </c>
      <c r="CH118" s="35">
        <v>7.0</v>
      </c>
      <c r="CI118" s="35">
        <v>0.0</v>
      </c>
      <c r="CJ118" s="44"/>
      <c r="CK118" s="44">
        <f t="shared" si="28"/>
        <v>7</v>
      </c>
      <c r="CL118" s="44" t="b">
        <f t="shared" si="29"/>
        <v>0</v>
      </c>
      <c r="CM118" s="44" t="b">
        <f t="shared" si="30"/>
        <v>0</v>
      </c>
      <c r="CN118" s="45" t="str">
        <f t="shared" si="31"/>
        <v>Nivel de actividad física bajo</v>
      </c>
      <c r="CO118" s="51">
        <v>0.0</v>
      </c>
      <c r="CP118" s="35">
        <v>15.0</v>
      </c>
      <c r="CQ118" s="44">
        <f t="shared" si="32"/>
        <v>0</v>
      </c>
      <c r="CR118" s="35">
        <v>8.0</v>
      </c>
      <c r="CS118" s="35">
        <v>0.0</v>
      </c>
      <c r="CT118" s="35">
        <v>8.0</v>
      </c>
      <c r="CU118" s="35">
        <v>6.0</v>
      </c>
      <c r="CV118" s="35">
        <v>2.0</v>
      </c>
      <c r="CW118" s="35">
        <v>0.0</v>
      </c>
      <c r="CX118" s="35">
        <v>0.0</v>
      </c>
      <c r="CY118" s="35">
        <v>0.0</v>
      </c>
      <c r="CZ118" s="35">
        <v>0.0</v>
      </c>
      <c r="DA118" s="35">
        <v>3.0</v>
      </c>
      <c r="DB118" s="35">
        <v>0.0</v>
      </c>
      <c r="DC118" s="35">
        <v>0.0</v>
      </c>
      <c r="DD118" s="35">
        <v>0.0</v>
      </c>
      <c r="DE118" s="36" t="s">
        <v>133</v>
      </c>
      <c r="DF118" s="36" t="s">
        <v>133</v>
      </c>
      <c r="DG118" s="53">
        <f t="shared" si="55"/>
        <v>3</v>
      </c>
      <c r="DH118" s="35">
        <v>1.0</v>
      </c>
      <c r="DI118" s="35">
        <v>0.0</v>
      </c>
      <c r="DJ118" s="35">
        <v>0.0</v>
      </c>
      <c r="DK118" s="35">
        <v>0.0</v>
      </c>
      <c r="DL118" s="46">
        <f t="shared" si="34"/>
        <v>75</v>
      </c>
      <c r="DM118" s="44">
        <f t="shared" si="35"/>
        <v>1</v>
      </c>
      <c r="DN118" s="44">
        <f t="shared" si="36"/>
        <v>1</v>
      </c>
      <c r="DO118" s="44">
        <f t="shared" si="37"/>
        <v>1</v>
      </c>
      <c r="DP118" s="44">
        <f t="shared" si="38"/>
        <v>0</v>
      </c>
      <c r="DQ118" s="44">
        <f t="shared" si="39"/>
        <v>2</v>
      </c>
      <c r="DR118" s="44">
        <f t="shared" ref="DR118:DS118" si="172">(DH118)</f>
        <v>1</v>
      </c>
      <c r="DS118" s="44">
        <f t="shared" si="172"/>
        <v>0</v>
      </c>
      <c r="DT118" s="44">
        <f t="shared" si="41"/>
        <v>6</v>
      </c>
      <c r="DU118" s="44" t="str">
        <f t="shared" si="42"/>
        <v>poor sleep quality</v>
      </c>
      <c r="DV118" s="35">
        <v>2.0</v>
      </c>
      <c r="DW118" s="35" t="s">
        <v>149</v>
      </c>
      <c r="DX118" s="35" t="s">
        <v>213</v>
      </c>
      <c r="DY118" s="35">
        <v>1.0</v>
      </c>
      <c r="DZ118" s="35" t="s">
        <v>131</v>
      </c>
      <c r="EA118" s="35" t="s">
        <v>162</v>
      </c>
      <c r="EB118" s="36" t="s">
        <v>447</v>
      </c>
      <c r="EC118" s="35" t="s">
        <v>172</v>
      </c>
      <c r="ED118" s="36" t="s">
        <v>133</v>
      </c>
      <c r="EE118" s="35" t="s">
        <v>203</v>
      </c>
      <c r="EF118" s="35">
        <f t="shared" si="154"/>
        <v>672</v>
      </c>
      <c r="EG118" s="36" t="s">
        <v>133</v>
      </c>
      <c r="EH118" s="47">
        <f t="shared" si="24"/>
        <v>45.78563996</v>
      </c>
    </row>
    <row r="119" ht="15.75" customHeight="1">
      <c r="A119" s="35" t="s">
        <v>448</v>
      </c>
      <c r="B119" s="36" t="s">
        <v>175</v>
      </c>
      <c r="C119" s="37">
        <v>45227.0</v>
      </c>
      <c r="D119" s="48">
        <v>47.0</v>
      </c>
      <c r="E119" s="35" t="s">
        <v>130</v>
      </c>
      <c r="F119" s="35">
        <v>160.0</v>
      </c>
      <c r="G119" s="39">
        <v>90.0</v>
      </c>
      <c r="H119" s="40" t="s">
        <v>131</v>
      </c>
      <c r="I119" s="36" t="s">
        <v>133</v>
      </c>
      <c r="J119" s="41">
        <v>44611.0</v>
      </c>
      <c r="K119" s="35" t="s">
        <v>131</v>
      </c>
      <c r="L119" s="35">
        <v>2.0</v>
      </c>
      <c r="M119" s="41">
        <v>44044.0</v>
      </c>
      <c r="N119" s="35">
        <v>0.0</v>
      </c>
      <c r="O119" s="41">
        <v>44531.0</v>
      </c>
      <c r="P119" s="35" t="s">
        <v>132</v>
      </c>
      <c r="Q119" s="36" t="s">
        <v>133</v>
      </c>
      <c r="R119" s="36" t="s">
        <v>133</v>
      </c>
      <c r="S119" s="36" t="s">
        <v>133</v>
      </c>
      <c r="T119" s="36" t="s">
        <v>133</v>
      </c>
      <c r="U119" s="36" t="s">
        <v>133</v>
      </c>
      <c r="V119" s="36" t="str">
        <f t="shared" si="151"/>
        <v>Paciente ambulatorio</v>
      </c>
      <c r="W119" s="35" t="s">
        <v>176</v>
      </c>
      <c r="X119" s="35" t="s">
        <v>132</v>
      </c>
      <c r="Y119" s="35">
        <v>2.0</v>
      </c>
      <c r="Z119" s="35">
        <v>1.0</v>
      </c>
      <c r="AA119" s="35">
        <v>2.0</v>
      </c>
      <c r="AB119" s="35">
        <v>3.0</v>
      </c>
      <c r="AC119" s="35">
        <v>1.0</v>
      </c>
      <c r="AD119" s="35">
        <v>2.0</v>
      </c>
      <c r="AE119" s="35">
        <v>2.0</v>
      </c>
      <c r="AF119" s="35">
        <v>3.0</v>
      </c>
      <c r="AG119" s="35">
        <v>3.0</v>
      </c>
      <c r="AH119" s="35">
        <v>3.0</v>
      </c>
      <c r="AI119" s="35">
        <v>3.0</v>
      </c>
      <c r="AJ119" s="35">
        <v>3.0</v>
      </c>
      <c r="AK119" s="50" t="s">
        <v>449</v>
      </c>
      <c r="AL119" s="40" t="s">
        <v>132</v>
      </c>
      <c r="AM119" s="35" t="s">
        <v>132</v>
      </c>
      <c r="AN119" s="35" t="s">
        <v>132</v>
      </c>
      <c r="AO119" s="35" t="s">
        <v>132</v>
      </c>
      <c r="AP119" s="35" t="s">
        <v>132</v>
      </c>
      <c r="AQ119" s="35" t="s">
        <v>132</v>
      </c>
      <c r="AR119" s="35" t="s">
        <v>132</v>
      </c>
      <c r="AS119" s="35" t="s">
        <v>132</v>
      </c>
      <c r="AT119" s="35" t="s">
        <v>132</v>
      </c>
      <c r="AU119" s="35" t="s">
        <v>132</v>
      </c>
      <c r="AV119" s="35" t="s">
        <v>131</v>
      </c>
      <c r="AW119" s="36" t="s">
        <v>133</v>
      </c>
      <c r="AX119" s="35" t="s">
        <v>132</v>
      </c>
      <c r="AY119" s="36" t="s">
        <v>133</v>
      </c>
      <c r="AZ119" s="36" t="s">
        <v>133</v>
      </c>
      <c r="BA119" s="36" t="s">
        <v>133</v>
      </c>
      <c r="BB119" s="35" t="s">
        <v>145</v>
      </c>
      <c r="BC119" s="36" t="s">
        <v>133</v>
      </c>
      <c r="BD119" s="40">
        <v>1.0</v>
      </c>
      <c r="BE119" s="35">
        <v>1.0</v>
      </c>
      <c r="BF119" s="35">
        <v>1.0</v>
      </c>
      <c r="BG119" s="35">
        <v>1.0</v>
      </c>
      <c r="BH119" s="35">
        <v>2.0</v>
      </c>
      <c r="BI119" s="44" t="str">
        <f t="shared" si="168"/>
        <v>11112</v>
      </c>
      <c r="BJ119" s="35">
        <v>70.0</v>
      </c>
      <c r="BK119" s="35">
        <v>4.0</v>
      </c>
      <c r="BL119" s="35">
        <v>3.0</v>
      </c>
      <c r="BM119" s="35">
        <v>5.0</v>
      </c>
      <c r="BN119" s="35">
        <v>3.0</v>
      </c>
      <c r="BO119" s="35">
        <v>3.0</v>
      </c>
      <c r="BP119" s="35">
        <v>3.0</v>
      </c>
      <c r="BQ119" s="35">
        <v>4.0</v>
      </c>
      <c r="BR119" s="35">
        <v>4.0</v>
      </c>
      <c r="BS119" s="35">
        <v>4.0</v>
      </c>
      <c r="BT119" s="35">
        <v>3.0</v>
      </c>
      <c r="BU119" s="44">
        <f t="shared" si="4"/>
        <v>3</v>
      </c>
      <c r="BV119" s="44">
        <f t="shared" si="137"/>
        <v>3</v>
      </c>
      <c r="BW119" s="44">
        <f t="shared" si="138"/>
        <v>36</v>
      </c>
      <c r="BX119" s="44" t="str">
        <f t="shared" si="7"/>
        <v>FATIGA EXTREMA</v>
      </c>
      <c r="BY119" s="35">
        <v>0.0</v>
      </c>
      <c r="BZ119" s="35">
        <v>0.0</v>
      </c>
      <c r="CA119" s="35">
        <v>0.0</v>
      </c>
      <c r="CB119" s="35">
        <v>0.0</v>
      </c>
      <c r="CC119" s="35">
        <v>0.0</v>
      </c>
      <c r="CD119" s="35">
        <v>0.0</v>
      </c>
      <c r="CE119" s="35">
        <v>0.0</v>
      </c>
      <c r="CF119" s="35">
        <v>0.0</v>
      </c>
      <c r="CG119" s="35">
        <v>0.0</v>
      </c>
      <c r="CH119" s="35">
        <v>9.0</v>
      </c>
      <c r="CI119" s="35">
        <v>0.0</v>
      </c>
      <c r="CJ119" s="44">
        <f t="shared" ref="CJ119:CJ139" si="174">(8*BY119*(BZ119*60+CA119)+4*CB119*(CC119*60+CD119)+3.3*CE119*(CF119*60+CG119))</f>
        <v>0</v>
      </c>
      <c r="CK119" s="44">
        <f t="shared" si="28"/>
        <v>0</v>
      </c>
      <c r="CL119" s="44" t="b">
        <f t="shared" si="29"/>
        <v>0</v>
      </c>
      <c r="CM119" s="44" t="b">
        <f t="shared" si="30"/>
        <v>0</v>
      </c>
      <c r="CN119" s="45" t="str">
        <f t="shared" si="31"/>
        <v>Nivel de actividad física bajo</v>
      </c>
      <c r="CO119" s="35">
        <v>21.0</v>
      </c>
      <c r="CP119" s="35">
        <v>20.0</v>
      </c>
      <c r="CQ119" s="44">
        <f t="shared" si="32"/>
        <v>1</v>
      </c>
      <c r="CR119" s="35">
        <v>5.0</v>
      </c>
      <c r="CS119" s="35">
        <v>45.0</v>
      </c>
      <c r="CT119" s="35">
        <v>8.75</v>
      </c>
      <c r="CU119" s="35">
        <v>6.0</v>
      </c>
      <c r="CV119" s="35">
        <v>1.0</v>
      </c>
      <c r="CW119" s="35">
        <v>3.0</v>
      </c>
      <c r="CX119" s="35">
        <v>0.0</v>
      </c>
      <c r="CY119" s="35">
        <v>2.0</v>
      </c>
      <c r="CZ119" s="35">
        <v>0.0</v>
      </c>
      <c r="DA119" s="35">
        <v>0.0</v>
      </c>
      <c r="DB119" s="35">
        <v>0.0</v>
      </c>
      <c r="DC119" s="35">
        <v>1.0</v>
      </c>
      <c r="DD119" s="35">
        <v>0.0</v>
      </c>
      <c r="DE119" s="35">
        <v>3.0</v>
      </c>
      <c r="DF119" s="35" t="s">
        <v>240</v>
      </c>
      <c r="DG119" s="53">
        <f t="shared" si="55"/>
        <v>9</v>
      </c>
      <c r="DH119" s="35">
        <v>1.0</v>
      </c>
      <c r="DI119" s="35">
        <v>0.0</v>
      </c>
      <c r="DJ119" s="35">
        <v>3.0</v>
      </c>
      <c r="DK119" s="35">
        <v>3.0</v>
      </c>
      <c r="DL119" s="46">
        <f t="shared" si="34"/>
        <v>68.57142857</v>
      </c>
      <c r="DM119" s="44">
        <f t="shared" si="35"/>
        <v>1</v>
      </c>
      <c r="DN119" s="44">
        <f t="shared" si="36"/>
        <v>1</v>
      </c>
      <c r="DO119" s="44">
        <f t="shared" si="37"/>
        <v>1</v>
      </c>
      <c r="DP119" s="44">
        <f t="shared" si="38"/>
        <v>3</v>
      </c>
      <c r="DQ119" s="44">
        <f t="shared" si="39"/>
        <v>2</v>
      </c>
      <c r="DR119" s="44">
        <f t="shared" ref="DR119:DS119" si="173">(DH119)</f>
        <v>1</v>
      </c>
      <c r="DS119" s="44">
        <f t="shared" si="173"/>
        <v>0</v>
      </c>
      <c r="DT119" s="44">
        <f t="shared" si="41"/>
        <v>9</v>
      </c>
      <c r="DU119" s="44" t="str">
        <f t="shared" si="42"/>
        <v>poor sleep quality</v>
      </c>
      <c r="DV119" s="35">
        <v>3.0</v>
      </c>
      <c r="DW119" s="35" t="s">
        <v>149</v>
      </c>
      <c r="DX119" s="35" t="s">
        <v>207</v>
      </c>
      <c r="DY119" s="35">
        <v>1.0</v>
      </c>
      <c r="DZ119" s="35" t="s">
        <v>131</v>
      </c>
      <c r="EA119" s="35" t="s">
        <v>167</v>
      </c>
      <c r="EB119" s="35" t="s">
        <v>139</v>
      </c>
      <c r="EC119" s="36" t="s">
        <v>133</v>
      </c>
      <c r="ED119" s="35" t="s">
        <v>131</v>
      </c>
      <c r="EE119" s="35" t="s">
        <v>141</v>
      </c>
      <c r="EF119" s="35">
        <f t="shared" si="154"/>
        <v>1183</v>
      </c>
      <c r="EG119" s="35">
        <f t="shared" ref="EG119:EG131" si="176">C119-O119</f>
        <v>696</v>
      </c>
      <c r="EH119" s="47">
        <f t="shared" si="24"/>
        <v>35.15625</v>
      </c>
    </row>
    <row r="120" ht="15.75" customHeight="1">
      <c r="A120" s="57" t="s">
        <v>450</v>
      </c>
      <c r="B120" s="50" t="s">
        <v>175</v>
      </c>
      <c r="C120" s="63">
        <v>45570.0</v>
      </c>
      <c r="D120" s="64">
        <v>54.0</v>
      </c>
      <c r="E120" s="57" t="s">
        <v>130</v>
      </c>
      <c r="F120" s="57">
        <v>166.0</v>
      </c>
      <c r="G120" s="65">
        <v>71.0</v>
      </c>
      <c r="H120" s="59" t="s">
        <v>131</v>
      </c>
      <c r="I120" s="57">
        <v>3.0</v>
      </c>
      <c r="J120" s="55">
        <v>44531.0</v>
      </c>
      <c r="K120" s="57" t="s">
        <v>131</v>
      </c>
      <c r="L120" s="57">
        <v>2.0</v>
      </c>
      <c r="M120" s="55">
        <v>44075.0</v>
      </c>
      <c r="N120" s="57">
        <v>0.0</v>
      </c>
      <c r="O120" s="55">
        <v>44562.0</v>
      </c>
      <c r="P120" s="57" t="s">
        <v>132</v>
      </c>
      <c r="Q120" s="36" t="s">
        <v>133</v>
      </c>
      <c r="R120" s="36" t="s">
        <v>133</v>
      </c>
      <c r="S120" s="36" t="s">
        <v>133</v>
      </c>
      <c r="T120" s="36" t="s">
        <v>133</v>
      </c>
      <c r="U120" s="36" t="s">
        <v>133</v>
      </c>
      <c r="V120" s="36" t="s">
        <v>133</v>
      </c>
      <c r="W120" s="57" t="s">
        <v>176</v>
      </c>
      <c r="X120" s="57" t="s">
        <v>132</v>
      </c>
      <c r="Y120" s="57">
        <v>3.0</v>
      </c>
      <c r="Z120" s="57">
        <v>3.0</v>
      </c>
      <c r="AA120" s="57">
        <v>2.0</v>
      </c>
      <c r="AB120" s="57">
        <v>3.0</v>
      </c>
      <c r="AC120" s="57">
        <v>3.0</v>
      </c>
      <c r="AD120" s="57">
        <v>3.0</v>
      </c>
      <c r="AE120" s="57">
        <v>3.0</v>
      </c>
      <c r="AF120" s="57">
        <v>1.0</v>
      </c>
      <c r="AG120" s="57">
        <v>1.0</v>
      </c>
      <c r="AH120" s="57">
        <v>3.0</v>
      </c>
      <c r="AI120" s="57">
        <v>1.0</v>
      </c>
      <c r="AJ120" s="57">
        <v>3.0</v>
      </c>
      <c r="AK120" s="36" t="s">
        <v>133</v>
      </c>
      <c r="AL120" s="59" t="s">
        <v>132</v>
      </c>
      <c r="AM120" s="57" t="s">
        <v>132</v>
      </c>
      <c r="AN120" s="57" t="s">
        <v>132</v>
      </c>
      <c r="AO120" s="57" t="s">
        <v>132</v>
      </c>
      <c r="AP120" s="57" t="s">
        <v>132</v>
      </c>
      <c r="AQ120" s="57" t="s">
        <v>132</v>
      </c>
      <c r="AR120" s="57" t="s">
        <v>132</v>
      </c>
      <c r="AS120" s="57" t="s">
        <v>132</v>
      </c>
      <c r="AT120" s="57" t="s">
        <v>132</v>
      </c>
      <c r="AU120" s="57" t="s">
        <v>132</v>
      </c>
      <c r="AV120" s="57" t="s">
        <v>131</v>
      </c>
      <c r="AW120" s="57" t="s">
        <v>451</v>
      </c>
      <c r="AX120" s="57" t="s">
        <v>165</v>
      </c>
      <c r="AY120" s="36" t="s">
        <v>133</v>
      </c>
      <c r="AZ120" s="36" t="s">
        <v>133</v>
      </c>
      <c r="BA120" s="57">
        <v>2.0</v>
      </c>
      <c r="BB120" s="57" t="s">
        <v>145</v>
      </c>
      <c r="BC120" s="36" t="s">
        <v>133</v>
      </c>
      <c r="BD120" s="59">
        <v>1.0</v>
      </c>
      <c r="BE120" s="57">
        <v>1.0</v>
      </c>
      <c r="BF120" s="57">
        <v>4.0</v>
      </c>
      <c r="BG120" s="57">
        <v>2.0</v>
      </c>
      <c r="BH120" s="57">
        <v>2.0</v>
      </c>
      <c r="BI120" s="44" t="str">
        <f t="shared" si="168"/>
        <v>11422</v>
      </c>
      <c r="BJ120" s="57">
        <v>80.0</v>
      </c>
      <c r="BK120" s="57">
        <v>2.0</v>
      </c>
      <c r="BL120" s="57">
        <v>2.0</v>
      </c>
      <c r="BM120" s="57">
        <v>2.0</v>
      </c>
      <c r="BN120" s="57">
        <v>4.0</v>
      </c>
      <c r="BO120" s="57">
        <v>2.0</v>
      </c>
      <c r="BP120" s="57">
        <v>1.0</v>
      </c>
      <c r="BQ120" s="57">
        <v>3.0</v>
      </c>
      <c r="BR120" s="57">
        <v>1.0</v>
      </c>
      <c r="BS120" s="57">
        <v>3.0</v>
      </c>
      <c r="BT120" s="57">
        <v>3.0</v>
      </c>
      <c r="BU120" s="44">
        <f t="shared" si="4"/>
        <v>2</v>
      </c>
      <c r="BV120" s="44">
        <f t="shared" si="137"/>
        <v>3</v>
      </c>
      <c r="BW120" s="44">
        <f t="shared" si="138"/>
        <v>22</v>
      </c>
      <c r="BX120" s="44" t="str">
        <f t="shared" si="7"/>
        <v>FATIGA</v>
      </c>
      <c r="BY120" s="57">
        <v>2.0</v>
      </c>
      <c r="BZ120" s="57">
        <v>1.0</v>
      </c>
      <c r="CA120" s="57">
        <v>15.0</v>
      </c>
      <c r="CB120" s="57">
        <v>0.0</v>
      </c>
      <c r="CC120" s="57">
        <v>0.0</v>
      </c>
      <c r="CD120" s="57">
        <v>0.0</v>
      </c>
      <c r="CE120" s="57">
        <v>0.0</v>
      </c>
      <c r="CF120" s="57">
        <v>0.0</v>
      </c>
      <c r="CG120" s="57">
        <v>0.0</v>
      </c>
      <c r="CH120" s="57">
        <v>2.0</v>
      </c>
      <c r="CI120" s="57">
        <v>0.0</v>
      </c>
      <c r="CJ120" s="44">
        <f t="shared" si="174"/>
        <v>1200</v>
      </c>
      <c r="CK120" s="44">
        <f t="shared" si="28"/>
        <v>2</v>
      </c>
      <c r="CL120" s="44" t="b">
        <f t="shared" si="29"/>
        <v>0</v>
      </c>
      <c r="CM120" s="44" t="b">
        <f t="shared" si="30"/>
        <v>0</v>
      </c>
      <c r="CN120" s="45" t="str">
        <f t="shared" si="31"/>
        <v>Nivel de actividad física bajo</v>
      </c>
      <c r="CO120" s="69">
        <v>0.9791666666666666</v>
      </c>
      <c r="CP120" s="57">
        <v>40.0</v>
      </c>
      <c r="CQ120" s="44">
        <f t="shared" si="32"/>
        <v>2</v>
      </c>
      <c r="CR120" s="57">
        <v>8.0</v>
      </c>
      <c r="CS120" s="57">
        <v>0.0</v>
      </c>
      <c r="CT120" s="57">
        <v>8.5</v>
      </c>
      <c r="CU120" s="57">
        <v>7.0</v>
      </c>
      <c r="CV120" s="57">
        <v>3.0</v>
      </c>
      <c r="CW120" s="57">
        <v>3.0</v>
      </c>
      <c r="CX120" s="57">
        <v>3.0</v>
      </c>
      <c r="CY120" s="57">
        <v>0.0</v>
      </c>
      <c r="CZ120" s="57">
        <v>1.0</v>
      </c>
      <c r="DA120" s="57">
        <v>2.0</v>
      </c>
      <c r="DB120" s="57">
        <v>0.0</v>
      </c>
      <c r="DC120" s="57">
        <v>0.0</v>
      </c>
      <c r="DD120" s="57">
        <v>1.0</v>
      </c>
      <c r="DE120" s="57">
        <v>0.0</v>
      </c>
      <c r="DF120" s="36" t="s">
        <v>133</v>
      </c>
      <c r="DG120" s="53">
        <f t="shared" si="55"/>
        <v>10</v>
      </c>
      <c r="DH120" s="57">
        <v>1.0</v>
      </c>
      <c r="DI120" s="57">
        <v>0.0</v>
      </c>
      <c r="DJ120" s="57">
        <v>0.0</v>
      </c>
      <c r="DK120" s="57">
        <v>0.0</v>
      </c>
      <c r="DL120" s="46">
        <f t="shared" si="34"/>
        <v>82.35294118</v>
      </c>
      <c r="DM120" s="44">
        <f t="shared" si="35"/>
        <v>0</v>
      </c>
      <c r="DN120" s="44">
        <f t="shared" si="36"/>
        <v>2</v>
      </c>
      <c r="DO120" s="44">
        <f t="shared" si="37"/>
        <v>3</v>
      </c>
      <c r="DP120" s="44">
        <f t="shared" si="38"/>
        <v>0</v>
      </c>
      <c r="DQ120" s="44">
        <f t="shared" si="39"/>
        <v>1</v>
      </c>
      <c r="DR120" s="44">
        <f t="shared" ref="DR120:DS120" si="175">(DH120)</f>
        <v>1</v>
      </c>
      <c r="DS120" s="44">
        <f t="shared" si="175"/>
        <v>0</v>
      </c>
      <c r="DT120" s="44">
        <f t="shared" si="41"/>
        <v>7</v>
      </c>
      <c r="DU120" s="44" t="str">
        <f t="shared" si="42"/>
        <v>poor sleep quality</v>
      </c>
      <c r="DV120" s="57">
        <v>1.0</v>
      </c>
      <c r="DW120" s="57" t="s">
        <v>155</v>
      </c>
      <c r="DX120" s="57" t="s">
        <v>146</v>
      </c>
      <c r="DY120" s="57">
        <v>1.0</v>
      </c>
      <c r="DZ120" s="57" t="s">
        <v>131</v>
      </c>
      <c r="EA120" s="57" t="s">
        <v>147</v>
      </c>
      <c r="EB120" s="57" t="s">
        <v>139</v>
      </c>
      <c r="EC120" s="36" t="s">
        <v>133</v>
      </c>
      <c r="ED120" s="57" t="s">
        <v>132</v>
      </c>
      <c r="EE120" s="57" t="s">
        <v>141</v>
      </c>
      <c r="EF120" s="35">
        <f t="shared" si="154"/>
        <v>1495</v>
      </c>
      <c r="EG120" s="35">
        <f t="shared" si="176"/>
        <v>1008</v>
      </c>
      <c r="EH120" s="47">
        <f t="shared" si="24"/>
        <v>25.76571346</v>
      </c>
    </row>
    <row r="121" ht="15.75" customHeight="1">
      <c r="A121" s="35" t="s">
        <v>452</v>
      </c>
      <c r="B121" s="36" t="s">
        <v>175</v>
      </c>
      <c r="C121" s="37">
        <v>45222.0</v>
      </c>
      <c r="D121" s="48">
        <v>59.0</v>
      </c>
      <c r="E121" s="35" t="s">
        <v>153</v>
      </c>
      <c r="F121" s="35">
        <v>170.0</v>
      </c>
      <c r="G121" s="39">
        <v>78.0</v>
      </c>
      <c r="H121" s="40" t="s">
        <v>131</v>
      </c>
      <c r="I121" s="35">
        <v>4.0</v>
      </c>
      <c r="J121" s="41">
        <v>44713.0</v>
      </c>
      <c r="K121" s="35" t="s">
        <v>131</v>
      </c>
      <c r="L121" s="35">
        <v>1.0</v>
      </c>
      <c r="M121" s="41">
        <v>44232.0</v>
      </c>
      <c r="N121" s="35">
        <v>0.0</v>
      </c>
      <c r="O121" s="41">
        <v>44232.0</v>
      </c>
      <c r="P121" s="35" t="s">
        <v>131</v>
      </c>
      <c r="Q121" s="56">
        <v>44323.0</v>
      </c>
      <c r="R121" s="56">
        <v>44338.0</v>
      </c>
      <c r="S121" s="35" t="s">
        <v>132</v>
      </c>
      <c r="T121" s="36" t="s">
        <v>133</v>
      </c>
      <c r="U121" s="35" t="s">
        <v>131</v>
      </c>
      <c r="V121" s="36" t="str">
        <f t="shared" ref="V121:V217" si="178">IF(K121="NO","No infectado",IF(P121="SI",IF(U121="SI","Internación severa (UCI)","Internación moderada"),"Paciente ambulatorio"))</f>
        <v>Internación severa (UCI)</v>
      </c>
      <c r="W121" s="35" t="s">
        <v>176</v>
      </c>
      <c r="X121" s="35" t="s">
        <v>132</v>
      </c>
      <c r="Y121" s="35">
        <v>2.0</v>
      </c>
      <c r="Z121" s="35">
        <v>2.0</v>
      </c>
      <c r="AA121" s="35">
        <v>2.0</v>
      </c>
      <c r="AB121" s="35">
        <v>2.0</v>
      </c>
      <c r="AC121" s="35">
        <v>2.0</v>
      </c>
      <c r="AD121" s="35">
        <v>2.0</v>
      </c>
      <c r="AE121" s="35">
        <v>2.0</v>
      </c>
      <c r="AF121" s="35">
        <v>1.0</v>
      </c>
      <c r="AG121" s="35">
        <v>1.0</v>
      </c>
      <c r="AH121" s="35">
        <v>2.0</v>
      </c>
      <c r="AI121" s="35">
        <v>1.0</v>
      </c>
      <c r="AJ121" s="35">
        <v>2.0</v>
      </c>
      <c r="AK121" s="36" t="s">
        <v>133</v>
      </c>
      <c r="AL121" s="40" t="s">
        <v>132</v>
      </c>
      <c r="AM121" s="35" t="s">
        <v>132</v>
      </c>
      <c r="AN121" s="35" t="s">
        <v>132</v>
      </c>
      <c r="AO121" s="35" t="s">
        <v>132</v>
      </c>
      <c r="AP121" s="35" t="s">
        <v>132</v>
      </c>
      <c r="AQ121" s="35" t="s">
        <v>132</v>
      </c>
      <c r="AR121" s="35" t="s">
        <v>132</v>
      </c>
      <c r="AS121" s="35" t="s">
        <v>132</v>
      </c>
      <c r="AT121" s="35" t="s">
        <v>132</v>
      </c>
      <c r="AU121" s="35" t="s">
        <v>132</v>
      </c>
      <c r="AV121" s="35" t="s">
        <v>131</v>
      </c>
      <c r="AW121" s="35" t="s">
        <v>453</v>
      </c>
      <c r="AX121" s="35" t="s">
        <v>165</v>
      </c>
      <c r="AY121" s="36" t="s">
        <v>133</v>
      </c>
      <c r="AZ121" s="36" t="s">
        <v>133</v>
      </c>
      <c r="BA121" s="35">
        <v>14.0</v>
      </c>
      <c r="BB121" s="35" t="s">
        <v>145</v>
      </c>
      <c r="BC121" s="36" t="s">
        <v>133</v>
      </c>
      <c r="BD121" s="40">
        <v>2.0</v>
      </c>
      <c r="BE121" s="35">
        <v>1.0</v>
      </c>
      <c r="BF121" s="35">
        <v>2.0</v>
      </c>
      <c r="BG121" s="35">
        <v>2.0</v>
      </c>
      <c r="BH121" s="35">
        <v>1.0</v>
      </c>
      <c r="BI121" s="44" t="str">
        <f t="shared" si="168"/>
        <v>21221</v>
      </c>
      <c r="BJ121" s="35">
        <v>75.0</v>
      </c>
      <c r="BK121" s="35">
        <v>1.0</v>
      </c>
      <c r="BL121" s="35">
        <v>1.0</v>
      </c>
      <c r="BM121" s="35">
        <v>1.0</v>
      </c>
      <c r="BN121" s="35">
        <v>5.0</v>
      </c>
      <c r="BO121" s="35">
        <v>1.0</v>
      </c>
      <c r="BP121" s="35">
        <v>2.0</v>
      </c>
      <c r="BQ121" s="35">
        <v>3.0</v>
      </c>
      <c r="BR121" s="35">
        <v>1.0</v>
      </c>
      <c r="BS121" s="35">
        <v>1.0</v>
      </c>
      <c r="BT121" s="35">
        <v>2.0</v>
      </c>
      <c r="BU121" s="44">
        <f t="shared" si="4"/>
        <v>1</v>
      </c>
      <c r="BV121" s="44">
        <f t="shared" si="137"/>
        <v>4</v>
      </c>
      <c r="BW121" s="44">
        <f t="shared" si="138"/>
        <v>17</v>
      </c>
      <c r="BX121" s="44" t="str">
        <f t="shared" si="7"/>
        <v>NO HAY FATIGA</v>
      </c>
      <c r="BY121" s="35">
        <v>2.0</v>
      </c>
      <c r="BZ121" s="35">
        <v>1.0</v>
      </c>
      <c r="CA121" s="35">
        <v>0.0</v>
      </c>
      <c r="CB121" s="35">
        <v>0.0</v>
      </c>
      <c r="CC121" s="35">
        <v>0.0</v>
      </c>
      <c r="CD121" s="35">
        <v>0.0</v>
      </c>
      <c r="CE121" s="35">
        <v>3.0</v>
      </c>
      <c r="CF121" s="35">
        <v>0.0</v>
      </c>
      <c r="CG121" s="35">
        <v>40.0</v>
      </c>
      <c r="CH121" s="35">
        <v>5.0</v>
      </c>
      <c r="CI121" s="35">
        <v>0.0</v>
      </c>
      <c r="CJ121" s="44">
        <f t="shared" si="174"/>
        <v>1356</v>
      </c>
      <c r="CK121" s="44">
        <f t="shared" si="28"/>
        <v>5</v>
      </c>
      <c r="CL121" s="44" t="b">
        <f t="shared" si="29"/>
        <v>0</v>
      </c>
      <c r="CM121" s="44" t="b">
        <f t="shared" si="30"/>
        <v>0</v>
      </c>
      <c r="CN121" s="45" t="str">
        <f t="shared" si="31"/>
        <v>Nivel de actividad física bajo</v>
      </c>
      <c r="CO121" s="35">
        <v>1.0</v>
      </c>
      <c r="CP121" s="35">
        <v>5.0</v>
      </c>
      <c r="CQ121" s="44">
        <f t="shared" si="32"/>
        <v>0</v>
      </c>
      <c r="CR121" s="35">
        <v>7.0</v>
      </c>
      <c r="CS121" s="35">
        <v>0.0</v>
      </c>
      <c r="CT121" s="35">
        <v>6.0</v>
      </c>
      <c r="CU121" s="35">
        <v>4.5</v>
      </c>
      <c r="CV121" s="35">
        <v>0.0</v>
      </c>
      <c r="CW121" s="35">
        <v>3.0</v>
      </c>
      <c r="CX121" s="35">
        <v>3.0</v>
      </c>
      <c r="CY121" s="35">
        <v>0.0</v>
      </c>
      <c r="CZ121" s="35">
        <v>0.0</v>
      </c>
      <c r="DA121" s="35">
        <v>0.0</v>
      </c>
      <c r="DB121" s="35">
        <v>0.0</v>
      </c>
      <c r="DC121" s="35">
        <v>0.0</v>
      </c>
      <c r="DD121" s="35">
        <v>0.0</v>
      </c>
      <c r="DE121" s="35">
        <v>0.0</v>
      </c>
      <c r="DF121" s="36" t="s">
        <v>133</v>
      </c>
      <c r="DG121" s="53">
        <f t="shared" si="55"/>
        <v>6</v>
      </c>
      <c r="DH121" s="35">
        <v>1.0</v>
      </c>
      <c r="DI121" s="35">
        <v>0.0</v>
      </c>
      <c r="DJ121" s="35">
        <v>3.0</v>
      </c>
      <c r="DK121" s="35">
        <v>0.0</v>
      </c>
      <c r="DL121" s="46">
        <f t="shared" si="34"/>
        <v>75</v>
      </c>
      <c r="DM121" s="44">
        <f t="shared" si="35"/>
        <v>3</v>
      </c>
      <c r="DN121" s="44">
        <f t="shared" si="36"/>
        <v>1</v>
      </c>
      <c r="DO121" s="44">
        <f t="shared" si="37"/>
        <v>0</v>
      </c>
      <c r="DP121" s="44">
        <f t="shared" si="38"/>
        <v>2</v>
      </c>
      <c r="DQ121" s="44">
        <f t="shared" si="39"/>
        <v>2</v>
      </c>
      <c r="DR121" s="44">
        <f t="shared" ref="DR121:DS121" si="177">(DH121)</f>
        <v>1</v>
      </c>
      <c r="DS121" s="44">
        <f t="shared" si="177"/>
        <v>0</v>
      </c>
      <c r="DT121" s="44">
        <f t="shared" si="41"/>
        <v>9</v>
      </c>
      <c r="DU121" s="44" t="str">
        <f t="shared" si="42"/>
        <v>poor sleep quality</v>
      </c>
      <c r="DV121" s="35">
        <v>4.0</v>
      </c>
      <c r="DW121" s="35" t="s">
        <v>149</v>
      </c>
      <c r="DX121" s="35" t="s">
        <v>146</v>
      </c>
      <c r="DY121" s="35">
        <v>2.0</v>
      </c>
      <c r="DZ121" s="35" t="s">
        <v>131</v>
      </c>
      <c r="EA121" s="35" t="s">
        <v>202</v>
      </c>
      <c r="EB121" s="35" t="s">
        <v>139</v>
      </c>
      <c r="EC121" s="36" t="s">
        <v>133</v>
      </c>
      <c r="ED121" s="36" t="s">
        <v>133</v>
      </c>
      <c r="EE121" s="35" t="s">
        <v>141</v>
      </c>
      <c r="EF121" s="35">
        <f t="shared" si="154"/>
        <v>990</v>
      </c>
      <c r="EG121" s="35">
        <f t="shared" si="176"/>
        <v>990</v>
      </c>
      <c r="EH121" s="47">
        <f t="shared" si="24"/>
        <v>26.98961938</v>
      </c>
    </row>
    <row r="122" ht="15.75" customHeight="1">
      <c r="A122" s="35" t="s">
        <v>454</v>
      </c>
      <c r="B122" s="36" t="s">
        <v>175</v>
      </c>
      <c r="C122" s="37">
        <v>45234.0</v>
      </c>
      <c r="D122" s="48">
        <v>52.0</v>
      </c>
      <c r="E122" s="35" t="s">
        <v>130</v>
      </c>
      <c r="F122" s="35">
        <v>153.0</v>
      </c>
      <c r="G122" s="39">
        <v>55.0</v>
      </c>
      <c r="H122" s="40" t="s">
        <v>131</v>
      </c>
      <c r="I122" s="35">
        <v>4.0</v>
      </c>
      <c r="J122" s="42" t="s">
        <v>133</v>
      </c>
      <c r="K122" s="35" t="s">
        <v>131</v>
      </c>
      <c r="L122" s="35">
        <v>3.0</v>
      </c>
      <c r="M122" s="41">
        <v>44166.0</v>
      </c>
      <c r="N122" s="35">
        <v>0.0</v>
      </c>
      <c r="O122" s="41">
        <v>44896.0</v>
      </c>
      <c r="P122" s="35" t="s">
        <v>132</v>
      </c>
      <c r="Q122" s="36" t="s">
        <v>133</v>
      </c>
      <c r="R122" s="36" t="s">
        <v>133</v>
      </c>
      <c r="S122" s="36" t="s">
        <v>133</v>
      </c>
      <c r="T122" s="36" t="s">
        <v>133</v>
      </c>
      <c r="U122" s="36" t="s">
        <v>133</v>
      </c>
      <c r="V122" s="36" t="str">
        <f t="shared" si="178"/>
        <v>Paciente ambulatorio</v>
      </c>
      <c r="W122" s="35" t="s">
        <v>190</v>
      </c>
      <c r="X122" s="35" t="s">
        <v>132</v>
      </c>
      <c r="Y122" s="35">
        <v>1.0</v>
      </c>
      <c r="Z122" s="35">
        <v>1.0</v>
      </c>
      <c r="AA122" s="35">
        <v>2.0</v>
      </c>
      <c r="AB122" s="35">
        <v>2.0</v>
      </c>
      <c r="AC122" s="35">
        <v>2.0</v>
      </c>
      <c r="AD122" s="35">
        <v>1.0</v>
      </c>
      <c r="AE122" s="35">
        <v>1.0</v>
      </c>
      <c r="AF122" s="35">
        <v>1.0</v>
      </c>
      <c r="AG122" s="35">
        <v>1.0</v>
      </c>
      <c r="AH122" s="35">
        <v>1.0</v>
      </c>
      <c r="AI122" s="35">
        <v>1.0</v>
      </c>
      <c r="AJ122" s="35">
        <v>1.0</v>
      </c>
      <c r="AK122" s="36" t="s">
        <v>133</v>
      </c>
      <c r="AL122" s="40" t="s">
        <v>131</v>
      </c>
      <c r="AM122" s="35" t="s">
        <v>132</v>
      </c>
      <c r="AN122" s="35" t="s">
        <v>132</v>
      </c>
      <c r="AO122" s="35" t="s">
        <v>132</v>
      </c>
      <c r="AP122" s="35" t="s">
        <v>132</v>
      </c>
      <c r="AQ122" s="35" t="s">
        <v>132</v>
      </c>
      <c r="AR122" s="35" t="s">
        <v>132</v>
      </c>
      <c r="AS122" s="35" t="s">
        <v>132</v>
      </c>
      <c r="AT122" s="35" t="s">
        <v>132</v>
      </c>
      <c r="AU122" s="35" t="s">
        <v>132</v>
      </c>
      <c r="AV122" s="35" t="s">
        <v>132</v>
      </c>
      <c r="AW122" s="36" t="s">
        <v>133</v>
      </c>
      <c r="AX122" s="35" t="s">
        <v>132</v>
      </c>
      <c r="AY122" s="36" t="s">
        <v>133</v>
      </c>
      <c r="AZ122" s="36" t="s">
        <v>133</v>
      </c>
      <c r="BA122" s="36" t="s">
        <v>133</v>
      </c>
      <c r="BB122" s="35" t="s">
        <v>135</v>
      </c>
      <c r="BC122" s="39">
        <v>2.0</v>
      </c>
      <c r="BD122" s="40">
        <v>2.0</v>
      </c>
      <c r="BE122" s="35">
        <v>1.0</v>
      </c>
      <c r="BF122" s="35">
        <v>3.0</v>
      </c>
      <c r="BG122" s="35">
        <v>3.0</v>
      </c>
      <c r="BH122" s="35">
        <v>3.0</v>
      </c>
      <c r="BI122" s="44" t="str">
        <f t="shared" si="168"/>
        <v>21333</v>
      </c>
      <c r="BJ122" s="35">
        <v>85.0</v>
      </c>
      <c r="BK122" s="36" t="s">
        <v>133</v>
      </c>
      <c r="BL122" s="36" t="s">
        <v>133</v>
      </c>
      <c r="BM122" s="36" t="s">
        <v>133</v>
      </c>
      <c r="BN122" s="36" t="s">
        <v>133</v>
      </c>
      <c r="BO122" s="36" t="s">
        <v>133</v>
      </c>
      <c r="BP122" s="36" t="s">
        <v>133</v>
      </c>
      <c r="BQ122" s="36" t="s">
        <v>133</v>
      </c>
      <c r="BR122" s="36" t="s">
        <v>133</v>
      </c>
      <c r="BS122" s="36" t="s">
        <v>133</v>
      </c>
      <c r="BT122" s="36" t="s">
        <v>133</v>
      </c>
      <c r="BU122" s="36" t="s">
        <v>133</v>
      </c>
      <c r="BV122" s="36" t="s">
        <v>133</v>
      </c>
      <c r="BW122" s="36" t="s">
        <v>133</v>
      </c>
      <c r="BX122" s="36" t="s">
        <v>133</v>
      </c>
      <c r="BY122" s="35">
        <v>0.0</v>
      </c>
      <c r="BZ122" s="35">
        <v>0.0</v>
      </c>
      <c r="CA122" s="35">
        <v>0.0</v>
      </c>
      <c r="CB122" s="35">
        <v>6.0</v>
      </c>
      <c r="CC122" s="35">
        <v>0.0</v>
      </c>
      <c r="CD122" s="35">
        <v>15.0</v>
      </c>
      <c r="CE122" s="35">
        <v>4.0</v>
      </c>
      <c r="CF122" s="35">
        <v>0.0</v>
      </c>
      <c r="CG122" s="35">
        <v>40.0</v>
      </c>
      <c r="CH122" s="35">
        <v>1.0</v>
      </c>
      <c r="CI122" s="35">
        <v>0.0</v>
      </c>
      <c r="CJ122" s="44">
        <f t="shared" si="174"/>
        <v>888</v>
      </c>
      <c r="CK122" s="44">
        <f t="shared" si="28"/>
        <v>10</v>
      </c>
      <c r="CL122" s="44" t="b">
        <f t="shared" si="29"/>
        <v>0</v>
      </c>
      <c r="CM122" s="44" t="str">
        <f t="shared" si="30"/>
        <v>Nivel de actividad física moderado</v>
      </c>
      <c r="CN122" s="45" t="str">
        <f t="shared" si="31"/>
        <v>Nivel de actividad física moderado</v>
      </c>
      <c r="CO122" s="35">
        <v>19.0</v>
      </c>
      <c r="CP122" s="35">
        <v>5.0</v>
      </c>
      <c r="CQ122" s="44">
        <f t="shared" si="32"/>
        <v>0</v>
      </c>
      <c r="CR122" s="35">
        <v>5.0</v>
      </c>
      <c r="CS122" s="35">
        <v>40.0</v>
      </c>
      <c r="CT122" s="35">
        <v>10.6</v>
      </c>
      <c r="CU122" s="35">
        <v>4.0</v>
      </c>
      <c r="CV122" s="35">
        <v>0.0</v>
      </c>
      <c r="CW122" s="35">
        <v>3.0</v>
      </c>
      <c r="CX122" s="35">
        <v>2.0</v>
      </c>
      <c r="CY122" s="35">
        <v>0.0</v>
      </c>
      <c r="CZ122" s="35">
        <v>0.0</v>
      </c>
      <c r="DA122" s="35">
        <v>0.0</v>
      </c>
      <c r="DB122" s="35">
        <v>0.0</v>
      </c>
      <c r="DC122" s="35">
        <v>0.0</v>
      </c>
      <c r="DD122" s="35">
        <v>0.0</v>
      </c>
      <c r="DE122" s="35">
        <v>3.0</v>
      </c>
      <c r="DF122" s="35" t="s">
        <v>193</v>
      </c>
      <c r="DG122" s="53">
        <f t="shared" si="55"/>
        <v>8</v>
      </c>
      <c r="DH122" s="35">
        <v>3.0</v>
      </c>
      <c r="DI122" s="35">
        <v>0.0</v>
      </c>
      <c r="DJ122" s="35">
        <v>3.0</v>
      </c>
      <c r="DK122" s="35">
        <v>3.0</v>
      </c>
      <c r="DL122" s="46">
        <f t="shared" si="34"/>
        <v>37.73584906</v>
      </c>
      <c r="DM122" s="44">
        <f t="shared" si="35"/>
        <v>3</v>
      </c>
      <c r="DN122" s="44">
        <f t="shared" si="36"/>
        <v>1</v>
      </c>
      <c r="DO122" s="44">
        <f t="shared" si="37"/>
        <v>0</v>
      </c>
      <c r="DP122" s="44">
        <f t="shared" si="38"/>
        <v>3</v>
      </c>
      <c r="DQ122" s="44">
        <f t="shared" si="39"/>
        <v>3</v>
      </c>
      <c r="DR122" s="44">
        <f t="shared" ref="DR122:DS122" si="179">(DH122)</f>
        <v>3</v>
      </c>
      <c r="DS122" s="44">
        <f t="shared" si="179"/>
        <v>0</v>
      </c>
      <c r="DT122" s="44">
        <f t="shared" si="41"/>
        <v>13</v>
      </c>
      <c r="DU122" s="44" t="str">
        <f t="shared" si="42"/>
        <v>poor sleep quality</v>
      </c>
      <c r="DV122" s="35">
        <v>3.0</v>
      </c>
      <c r="DW122" s="35" t="s">
        <v>455</v>
      </c>
      <c r="DX122" s="35" t="s">
        <v>137</v>
      </c>
      <c r="DY122" s="35">
        <v>1.0</v>
      </c>
      <c r="DZ122" s="35" t="s">
        <v>131</v>
      </c>
      <c r="EA122" s="35" t="s">
        <v>178</v>
      </c>
      <c r="EB122" s="35" t="s">
        <v>139</v>
      </c>
      <c r="EC122" s="36" t="s">
        <v>133</v>
      </c>
      <c r="ED122" s="35" t="s">
        <v>132</v>
      </c>
      <c r="EE122" s="35" t="s">
        <v>141</v>
      </c>
      <c r="EF122" s="35">
        <f t="shared" si="154"/>
        <v>1068</v>
      </c>
      <c r="EG122" s="35">
        <f t="shared" si="176"/>
        <v>338</v>
      </c>
      <c r="EH122" s="47">
        <f t="shared" si="24"/>
        <v>23.49523687</v>
      </c>
    </row>
    <row r="123" ht="15.75" customHeight="1">
      <c r="A123" s="43" t="s">
        <v>456</v>
      </c>
      <c r="B123" s="36" t="s">
        <v>175</v>
      </c>
      <c r="C123" s="37">
        <v>45234.0</v>
      </c>
      <c r="D123" s="48">
        <v>37.0</v>
      </c>
      <c r="E123" s="35" t="s">
        <v>130</v>
      </c>
      <c r="F123" s="35">
        <v>153.0</v>
      </c>
      <c r="G123" s="39">
        <v>65.0</v>
      </c>
      <c r="H123" s="40" t="s">
        <v>131</v>
      </c>
      <c r="I123" s="35">
        <v>3.0</v>
      </c>
      <c r="J123" s="55">
        <v>44593.0</v>
      </c>
      <c r="K123" s="35" t="s">
        <v>131</v>
      </c>
      <c r="L123" s="35">
        <v>1.0</v>
      </c>
      <c r="M123" s="41">
        <v>43952.0</v>
      </c>
      <c r="N123" s="35">
        <v>0.0</v>
      </c>
      <c r="O123" s="41">
        <v>43952.0</v>
      </c>
      <c r="P123" s="35" t="s">
        <v>132</v>
      </c>
      <c r="Q123" s="36" t="s">
        <v>133</v>
      </c>
      <c r="R123" s="36" t="s">
        <v>133</v>
      </c>
      <c r="S123" s="36" t="s">
        <v>133</v>
      </c>
      <c r="T123" s="36" t="s">
        <v>133</v>
      </c>
      <c r="U123" s="36" t="s">
        <v>133</v>
      </c>
      <c r="V123" s="36" t="str">
        <f t="shared" si="178"/>
        <v>Paciente ambulatorio</v>
      </c>
      <c r="W123" s="35" t="s">
        <v>176</v>
      </c>
      <c r="X123" s="35" t="s">
        <v>132</v>
      </c>
      <c r="Y123" s="35">
        <v>1.0</v>
      </c>
      <c r="Z123" s="35">
        <v>1.0</v>
      </c>
      <c r="AA123" s="35">
        <v>2.0</v>
      </c>
      <c r="AB123" s="35">
        <v>1.0</v>
      </c>
      <c r="AC123" s="35">
        <v>3.0</v>
      </c>
      <c r="AD123" s="35">
        <v>1.0</v>
      </c>
      <c r="AE123" s="35">
        <v>2.0</v>
      </c>
      <c r="AF123" s="35">
        <v>1.0</v>
      </c>
      <c r="AG123" s="35">
        <v>2.0</v>
      </c>
      <c r="AH123" s="35">
        <v>1.0</v>
      </c>
      <c r="AI123" s="35">
        <v>1.0</v>
      </c>
      <c r="AJ123" s="35">
        <v>1.0</v>
      </c>
      <c r="AK123" s="39" t="s">
        <v>457</v>
      </c>
      <c r="AL123" s="40" t="s">
        <v>132</v>
      </c>
      <c r="AM123" s="35" t="s">
        <v>132</v>
      </c>
      <c r="AN123" s="35" t="s">
        <v>132</v>
      </c>
      <c r="AO123" s="35" t="s">
        <v>132</v>
      </c>
      <c r="AP123" s="35" t="s">
        <v>132</v>
      </c>
      <c r="AQ123" s="35" t="s">
        <v>132</v>
      </c>
      <c r="AR123" s="35" t="s">
        <v>132</v>
      </c>
      <c r="AS123" s="35" t="s">
        <v>132</v>
      </c>
      <c r="AT123" s="35" t="s">
        <v>132</v>
      </c>
      <c r="AU123" s="35" t="s">
        <v>132</v>
      </c>
      <c r="AV123" s="35" t="s">
        <v>132</v>
      </c>
      <c r="AW123" s="36" t="s">
        <v>133</v>
      </c>
      <c r="AX123" s="35" t="s">
        <v>131</v>
      </c>
      <c r="AY123" s="35">
        <v>5.5</v>
      </c>
      <c r="AZ123" s="35">
        <v>22.0</v>
      </c>
      <c r="BA123" s="36" t="s">
        <v>133</v>
      </c>
      <c r="BB123" s="35" t="s">
        <v>145</v>
      </c>
      <c r="BC123" s="36" t="s">
        <v>133</v>
      </c>
      <c r="BD123" s="40">
        <v>2.0</v>
      </c>
      <c r="BE123" s="35">
        <v>1.0</v>
      </c>
      <c r="BF123" s="35">
        <v>1.0</v>
      </c>
      <c r="BG123" s="35">
        <v>3.0</v>
      </c>
      <c r="BH123" s="35">
        <v>2.0</v>
      </c>
      <c r="BI123" s="44" t="str">
        <f t="shared" si="168"/>
        <v>21132</v>
      </c>
      <c r="BJ123" s="35">
        <v>50.0</v>
      </c>
      <c r="BK123" s="35">
        <v>1.0</v>
      </c>
      <c r="BL123" s="35">
        <v>3.0</v>
      </c>
      <c r="BM123" s="35">
        <v>4.0</v>
      </c>
      <c r="BN123" s="35">
        <v>3.0</v>
      </c>
      <c r="BO123" s="35">
        <v>2.0</v>
      </c>
      <c r="BP123" s="35">
        <v>2.0</v>
      </c>
      <c r="BQ123" s="35">
        <v>3.0</v>
      </c>
      <c r="BR123" s="35">
        <v>2.0</v>
      </c>
      <c r="BS123" s="35">
        <v>2.0</v>
      </c>
      <c r="BT123" s="35">
        <v>2.0</v>
      </c>
      <c r="BU123" s="44">
        <f t="shared" ref="BU123:BU158" si="181">IF(BN123=1,5,IF(BN123=2,4,IF(BN123=3,3,IF(BN123=4,2,IF(BN123=5,1)))))</f>
        <v>3</v>
      </c>
      <c r="BV123" s="44">
        <f t="shared" ref="BV123:BV158" si="182">IF(BT123=1,5,IF(BT123=2,4,IF(BT123=3,3,IF(BT123=4,2,IF(BT123=5,1)))))</f>
        <v>4</v>
      </c>
      <c r="BW123" s="44">
        <f t="shared" ref="BW123:BW217" si="183">SUM(BK123,BL123,BM123,BO123,BP123,BQ123,BR123,BS123,BT123,BV123)</f>
        <v>25</v>
      </c>
      <c r="BX123" s="44" t="str">
        <f t="shared" ref="BX123:BX158" si="184">IF(BW123&lt;22,"NO HAY FATIGA",IF(BW123&lt;35,"FATIGA","FATIGA EXTREMA"))</f>
        <v>FATIGA</v>
      </c>
      <c r="BY123" s="35">
        <v>5.0</v>
      </c>
      <c r="BZ123" s="35">
        <v>0.0</v>
      </c>
      <c r="CA123" s="35">
        <v>30.0</v>
      </c>
      <c r="CB123" s="35">
        <v>5.0</v>
      </c>
      <c r="CC123" s="35">
        <v>1.0</v>
      </c>
      <c r="CD123" s="35">
        <v>0.0</v>
      </c>
      <c r="CE123" s="35">
        <v>7.0</v>
      </c>
      <c r="CF123" s="35">
        <v>0.0</v>
      </c>
      <c r="CG123" s="35">
        <v>30.0</v>
      </c>
      <c r="CH123" s="35">
        <v>10.0</v>
      </c>
      <c r="CI123" s="35">
        <v>0.0</v>
      </c>
      <c r="CJ123" s="44">
        <f t="shared" si="174"/>
        <v>3093</v>
      </c>
      <c r="CK123" s="44">
        <f t="shared" si="28"/>
        <v>17</v>
      </c>
      <c r="CL123" s="44" t="str">
        <f t="shared" si="29"/>
        <v>Nivel de actividad física alto</v>
      </c>
      <c r="CM123" s="44" t="str">
        <f t="shared" si="30"/>
        <v>Nivel de actividad física moderado</v>
      </c>
      <c r="CN123" s="45" t="str">
        <f t="shared" si="31"/>
        <v>Nivel de actividad física alto</v>
      </c>
      <c r="CO123" s="35">
        <v>3.0</v>
      </c>
      <c r="CP123" s="35">
        <v>60.0</v>
      </c>
      <c r="CQ123" s="44">
        <f t="shared" si="32"/>
        <v>2</v>
      </c>
      <c r="CR123" s="35">
        <v>9.0</v>
      </c>
      <c r="CS123" s="35">
        <v>0.0</v>
      </c>
      <c r="CT123" s="35">
        <v>6.0</v>
      </c>
      <c r="CU123" s="35">
        <v>5.0</v>
      </c>
      <c r="CV123" s="35">
        <v>3.0</v>
      </c>
      <c r="CW123" s="35">
        <v>3.0</v>
      </c>
      <c r="CX123" s="35">
        <v>3.0</v>
      </c>
      <c r="CY123" s="35">
        <v>0.0</v>
      </c>
      <c r="CZ123" s="35">
        <v>0.0</v>
      </c>
      <c r="DA123" s="35">
        <v>0.0</v>
      </c>
      <c r="DB123" s="35">
        <v>0.0</v>
      </c>
      <c r="DC123" s="35">
        <v>3.0</v>
      </c>
      <c r="DD123" s="35">
        <v>0.0</v>
      </c>
      <c r="DE123" s="35">
        <v>3.0</v>
      </c>
      <c r="DF123" s="35" t="s">
        <v>458</v>
      </c>
      <c r="DG123" s="53">
        <f t="shared" si="55"/>
        <v>12</v>
      </c>
      <c r="DH123" s="35">
        <v>3.0</v>
      </c>
      <c r="DI123" s="35">
        <v>2.0</v>
      </c>
      <c r="DJ123" s="35">
        <v>3.0</v>
      </c>
      <c r="DK123" s="35">
        <v>0.0</v>
      </c>
      <c r="DL123" s="46">
        <f t="shared" si="34"/>
        <v>83.33333333</v>
      </c>
      <c r="DM123" s="44">
        <f t="shared" si="35"/>
        <v>2</v>
      </c>
      <c r="DN123" s="44">
        <f t="shared" si="36"/>
        <v>2</v>
      </c>
      <c r="DO123" s="44">
        <f t="shared" si="37"/>
        <v>3</v>
      </c>
      <c r="DP123" s="44">
        <f t="shared" si="38"/>
        <v>2</v>
      </c>
      <c r="DQ123" s="44">
        <f t="shared" si="39"/>
        <v>1</v>
      </c>
      <c r="DR123" s="44">
        <f t="shared" ref="DR123:DS123" si="180">(DH123)</f>
        <v>3</v>
      </c>
      <c r="DS123" s="44">
        <f t="shared" si="180"/>
        <v>2</v>
      </c>
      <c r="DT123" s="44">
        <f t="shared" si="41"/>
        <v>15</v>
      </c>
      <c r="DU123" s="44" t="str">
        <f t="shared" si="42"/>
        <v>poor sleep quality</v>
      </c>
      <c r="DV123" s="35">
        <v>2.0</v>
      </c>
      <c r="DW123" s="35" t="s">
        <v>149</v>
      </c>
      <c r="DX123" s="35" t="s">
        <v>213</v>
      </c>
      <c r="DY123" s="35">
        <v>1.0</v>
      </c>
      <c r="DZ123" s="35" t="s">
        <v>131</v>
      </c>
      <c r="EA123" s="35" t="s">
        <v>162</v>
      </c>
      <c r="EB123" s="35" t="s">
        <v>139</v>
      </c>
      <c r="EC123" s="36" t="s">
        <v>133</v>
      </c>
      <c r="ED123" s="35" t="s">
        <v>132</v>
      </c>
      <c r="EE123" s="35" t="s">
        <v>151</v>
      </c>
      <c r="EF123" s="35">
        <f t="shared" si="154"/>
        <v>1282</v>
      </c>
      <c r="EG123" s="35">
        <f t="shared" si="176"/>
        <v>1282</v>
      </c>
      <c r="EH123" s="47">
        <f t="shared" si="24"/>
        <v>27.76709812</v>
      </c>
    </row>
    <row r="124" ht="15.75" customHeight="1">
      <c r="A124" s="43" t="s">
        <v>459</v>
      </c>
      <c r="B124" s="36" t="s">
        <v>175</v>
      </c>
      <c r="C124" s="37">
        <v>45227.0</v>
      </c>
      <c r="D124" s="48">
        <v>46.0</v>
      </c>
      <c r="E124" s="35" t="s">
        <v>130</v>
      </c>
      <c r="F124" s="35">
        <v>154.0</v>
      </c>
      <c r="G124" s="39">
        <v>65.0</v>
      </c>
      <c r="H124" s="40" t="s">
        <v>131</v>
      </c>
      <c r="I124" s="35">
        <v>3.0</v>
      </c>
      <c r="J124" s="42" t="s">
        <v>133</v>
      </c>
      <c r="K124" s="35" t="s">
        <v>131</v>
      </c>
      <c r="L124" s="35">
        <v>2.0</v>
      </c>
      <c r="M124" s="41">
        <v>44228.0</v>
      </c>
      <c r="N124" s="35">
        <v>3.0</v>
      </c>
      <c r="O124" s="41">
        <v>45139.0</v>
      </c>
      <c r="P124" s="35" t="s">
        <v>132</v>
      </c>
      <c r="Q124" s="36" t="s">
        <v>133</v>
      </c>
      <c r="R124" s="36" t="s">
        <v>133</v>
      </c>
      <c r="S124" s="36" t="s">
        <v>133</v>
      </c>
      <c r="T124" s="36" t="s">
        <v>133</v>
      </c>
      <c r="U124" s="36" t="s">
        <v>133</v>
      </c>
      <c r="V124" s="36" t="str">
        <f t="shared" si="178"/>
        <v>Paciente ambulatorio</v>
      </c>
      <c r="W124" s="35" t="s">
        <v>183</v>
      </c>
      <c r="X124" s="36" t="s">
        <v>133</v>
      </c>
      <c r="Y124" s="35">
        <v>2.0</v>
      </c>
      <c r="Z124" s="35">
        <v>2.0</v>
      </c>
      <c r="AA124" s="35">
        <v>1.0</v>
      </c>
      <c r="AB124" s="35">
        <v>2.0</v>
      </c>
      <c r="AC124" s="35">
        <v>2.0</v>
      </c>
      <c r="AD124" s="35">
        <v>2.0</v>
      </c>
      <c r="AE124" s="35">
        <v>3.0</v>
      </c>
      <c r="AF124" s="35">
        <v>1.0</v>
      </c>
      <c r="AG124" s="35">
        <v>1.0</v>
      </c>
      <c r="AH124" s="35">
        <v>3.0</v>
      </c>
      <c r="AI124" s="35">
        <v>1.0</v>
      </c>
      <c r="AJ124" s="35">
        <v>1.0</v>
      </c>
      <c r="AK124" s="39" t="s">
        <v>460</v>
      </c>
      <c r="AL124" s="40" t="s">
        <v>132</v>
      </c>
      <c r="AM124" s="35" t="s">
        <v>132</v>
      </c>
      <c r="AN124" s="35" t="s">
        <v>131</v>
      </c>
      <c r="AO124" s="35" t="s">
        <v>132</v>
      </c>
      <c r="AP124" s="35" t="s">
        <v>132</v>
      </c>
      <c r="AQ124" s="35" t="s">
        <v>132</v>
      </c>
      <c r="AR124" s="35" t="s">
        <v>132</v>
      </c>
      <c r="AS124" s="35" t="s">
        <v>132</v>
      </c>
      <c r="AT124" s="35" t="s">
        <v>132</v>
      </c>
      <c r="AU124" s="35" t="s">
        <v>132</v>
      </c>
      <c r="AV124" s="35" t="s">
        <v>131</v>
      </c>
      <c r="AW124" s="35" t="s">
        <v>461</v>
      </c>
      <c r="AX124" s="35" t="s">
        <v>165</v>
      </c>
      <c r="AY124" s="36" t="s">
        <v>133</v>
      </c>
      <c r="AZ124" s="36" t="s">
        <v>133</v>
      </c>
      <c r="BA124" s="35">
        <v>30.0</v>
      </c>
      <c r="BB124" s="35" t="s">
        <v>135</v>
      </c>
      <c r="BC124" s="39">
        <v>2.0</v>
      </c>
      <c r="BD124" s="40">
        <v>1.0</v>
      </c>
      <c r="BE124" s="35">
        <v>1.0</v>
      </c>
      <c r="BF124" s="35">
        <v>1.0</v>
      </c>
      <c r="BG124" s="35">
        <v>3.0</v>
      </c>
      <c r="BH124" s="35">
        <v>2.0</v>
      </c>
      <c r="BI124" s="44" t="str">
        <f t="shared" si="168"/>
        <v>11132</v>
      </c>
      <c r="BJ124" s="57">
        <v>75.0</v>
      </c>
      <c r="BK124" s="57">
        <v>2.0</v>
      </c>
      <c r="BL124" s="57">
        <v>2.0</v>
      </c>
      <c r="BM124" s="57">
        <v>1.0</v>
      </c>
      <c r="BN124" s="57">
        <v>4.0</v>
      </c>
      <c r="BO124" s="57">
        <v>2.0</v>
      </c>
      <c r="BP124" s="57">
        <v>1.0</v>
      </c>
      <c r="BQ124" s="57">
        <v>3.0</v>
      </c>
      <c r="BR124" s="57">
        <v>3.0</v>
      </c>
      <c r="BS124" s="57">
        <v>1.0</v>
      </c>
      <c r="BT124" s="57">
        <v>3.0</v>
      </c>
      <c r="BU124" s="44">
        <f t="shared" si="181"/>
        <v>2</v>
      </c>
      <c r="BV124" s="44">
        <f t="shared" si="182"/>
        <v>3</v>
      </c>
      <c r="BW124" s="44">
        <f t="shared" si="183"/>
        <v>21</v>
      </c>
      <c r="BX124" s="44" t="str">
        <f t="shared" si="184"/>
        <v>NO HAY FATIGA</v>
      </c>
      <c r="BY124" s="35">
        <v>0.0</v>
      </c>
      <c r="BZ124" s="35">
        <v>0.0</v>
      </c>
      <c r="CA124" s="35">
        <v>0.0</v>
      </c>
      <c r="CB124" s="35">
        <v>0.0</v>
      </c>
      <c r="CC124" s="35">
        <v>0.0</v>
      </c>
      <c r="CD124" s="35">
        <v>0.0</v>
      </c>
      <c r="CE124" s="35">
        <v>3.0</v>
      </c>
      <c r="CF124" s="35">
        <v>0.0</v>
      </c>
      <c r="CG124" s="35">
        <v>30.0</v>
      </c>
      <c r="CH124" s="35">
        <v>9.0</v>
      </c>
      <c r="CI124" s="35">
        <v>0.0</v>
      </c>
      <c r="CJ124" s="44">
        <f t="shared" si="174"/>
        <v>297</v>
      </c>
      <c r="CK124" s="44">
        <f t="shared" si="28"/>
        <v>3</v>
      </c>
      <c r="CL124" s="44" t="b">
        <f t="shared" si="29"/>
        <v>0</v>
      </c>
      <c r="CM124" s="44" t="b">
        <f t="shared" si="30"/>
        <v>0</v>
      </c>
      <c r="CN124" s="45" t="str">
        <f t="shared" si="31"/>
        <v>Nivel de actividad física bajo</v>
      </c>
      <c r="CO124" s="35">
        <v>0.0</v>
      </c>
      <c r="CP124" s="35">
        <v>2.0</v>
      </c>
      <c r="CQ124" s="44">
        <f t="shared" si="32"/>
        <v>0</v>
      </c>
      <c r="CR124" s="35">
        <v>7.0</v>
      </c>
      <c r="CS124" s="35">
        <v>0.0</v>
      </c>
      <c r="CT124" s="35">
        <v>7.0</v>
      </c>
      <c r="CU124" s="35">
        <v>8.0</v>
      </c>
      <c r="CV124" s="35">
        <v>1.0</v>
      </c>
      <c r="CW124" s="35">
        <v>0.0</v>
      </c>
      <c r="CX124" s="35">
        <v>0.0</v>
      </c>
      <c r="CY124" s="35">
        <v>0.0</v>
      </c>
      <c r="CZ124" s="35">
        <v>1.0</v>
      </c>
      <c r="DA124" s="36" t="s">
        <v>133</v>
      </c>
      <c r="DB124" s="35">
        <v>1.0</v>
      </c>
      <c r="DC124" s="35">
        <v>1.0</v>
      </c>
      <c r="DD124" s="35">
        <v>0.0</v>
      </c>
      <c r="DE124" s="35">
        <v>1.0</v>
      </c>
      <c r="DF124" s="35" t="s">
        <v>462</v>
      </c>
      <c r="DG124" s="53">
        <f t="shared" si="55"/>
        <v>4</v>
      </c>
      <c r="DH124" s="35">
        <v>0.0</v>
      </c>
      <c r="DI124" s="35">
        <v>0.0</v>
      </c>
      <c r="DJ124" s="35">
        <v>3.0</v>
      </c>
      <c r="DK124" s="35">
        <v>2.0</v>
      </c>
      <c r="DL124" s="46">
        <f t="shared" si="34"/>
        <v>114.2857143</v>
      </c>
      <c r="DM124" s="44">
        <f t="shared" si="35"/>
        <v>0</v>
      </c>
      <c r="DN124" s="44">
        <f t="shared" si="36"/>
        <v>1</v>
      </c>
      <c r="DO124" s="44">
        <f t="shared" si="37"/>
        <v>1</v>
      </c>
      <c r="DP124" s="44">
        <f t="shared" si="38"/>
        <v>3</v>
      </c>
      <c r="DQ124" s="44">
        <f t="shared" si="39"/>
        <v>0</v>
      </c>
      <c r="DR124" s="44">
        <f t="shared" ref="DR124:DS124" si="185">(DH124)</f>
        <v>0</v>
      </c>
      <c r="DS124" s="44">
        <f t="shared" si="185"/>
        <v>0</v>
      </c>
      <c r="DT124" s="44">
        <f t="shared" si="41"/>
        <v>5</v>
      </c>
      <c r="DU124" s="44" t="str">
        <f t="shared" si="42"/>
        <v>good sleep quality</v>
      </c>
      <c r="DV124" s="35">
        <v>1.0</v>
      </c>
      <c r="DW124" s="35" t="s">
        <v>314</v>
      </c>
      <c r="DX124" s="35" t="s">
        <v>146</v>
      </c>
      <c r="DY124" s="35">
        <v>2.0</v>
      </c>
      <c r="DZ124" s="35" t="s">
        <v>131</v>
      </c>
      <c r="EA124" s="35" t="s">
        <v>138</v>
      </c>
      <c r="EB124" s="35" t="s">
        <v>139</v>
      </c>
      <c r="EC124" s="35" t="s">
        <v>131</v>
      </c>
      <c r="ED124" s="35" t="s">
        <v>132</v>
      </c>
      <c r="EE124" s="35" t="s">
        <v>141</v>
      </c>
      <c r="EF124" s="35">
        <f t="shared" si="154"/>
        <v>999</v>
      </c>
      <c r="EG124" s="35">
        <f t="shared" si="176"/>
        <v>88</v>
      </c>
      <c r="EH124" s="47">
        <f t="shared" si="24"/>
        <v>27.40765728</v>
      </c>
    </row>
    <row r="125" ht="15.75" customHeight="1">
      <c r="A125" s="43" t="s">
        <v>463</v>
      </c>
      <c r="B125" s="36" t="s">
        <v>175</v>
      </c>
      <c r="C125" s="37">
        <v>45234.0</v>
      </c>
      <c r="D125" s="48">
        <v>51.0</v>
      </c>
      <c r="E125" s="35" t="s">
        <v>130</v>
      </c>
      <c r="F125" s="35">
        <v>165.0</v>
      </c>
      <c r="G125" s="39">
        <v>86.0</v>
      </c>
      <c r="H125" s="40" t="s">
        <v>131</v>
      </c>
      <c r="I125" s="35">
        <v>4.0</v>
      </c>
      <c r="J125" s="55">
        <v>44652.0</v>
      </c>
      <c r="K125" s="35" t="s">
        <v>131</v>
      </c>
      <c r="L125" s="35">
        <v>1.0</v>
      </c>
      <c r="M125" s="41">
        <v>44329.0</v>
      </c>
      <c r="N125" s="35">
        <v>0.0</v>
      </c>
      <c r="O125" s="41">
        <v>44329.0</v>
      </c>
      <c r="P125" s="35" t="s">
        <v>132</v>
      </c>
      <c r="Q125" s="36" t="s">
        <v>133</v>
      </c>
      <c r="R125" s="36" t="s">
        <v>133</v>
      </c>
      <c r="S125" s="36" t="s">
        <v>133</v>
      </c>
      <c r="T125" s="36" t="s">
        <v>133</v>
      </c>
      <c r="U125" s="36" t="s">
        <v>133</v>
      </c>
      <c r="V125" s="36" t="str">
        <f t="shared" si="178"/>
        <v>Paciente ambulatorio</v>
      </c>
      <c r="W125" s="35" t="s">
        <v>143</v>
      </c>
      <c r="X125" s="36" t="s">
        <v>133</v>
      </c>
      <c r="Y125" s="35">
        <v>1.0</v>
      </c>
      <c r="Z125" s="35">
        <v>2.0</v>
      </c>
      <c r="AA125" s="35">
        <v>3.0</v>
      </c>
      <c r="AB125" s="35">
        <v>1.0</v>
      </c>
      <c r="AC125" s="35">
        <v>2.0</v>
      </c>
      <c r="AD125" s="35">
        <v>1.0</v>
      </c>
      <c r="AE125" s="35">
        <v>2.0</v>
      </c>
      <c r="AF125" s="35">
        <v>3.0</v>
      </c>
      <c r="AG125" s="35">
        <v>2.0</v>
      </c>
      <c r="AH125" s="35">
        <v>1.0</v>
      </c>
      <c r="AI125" s="35">
        <v>1.0</v>
      </c>
      <c r="AJ125" s="35">
        <v>3.0</v>
      </c>
      <c r="AK125" s="39" t="s">
        <v>464</v>
      </c>
      <c r="AL125" s="40" t="s">
        <v>131</v>
      </c>
      <c r="AM125" s="35" t="s">
        <v>132</v>
      </c>
      <c r="AN125" s="35" t="s">
        <v>132</v>
      </c>
      <c r="AO125" s="35" t="s">
        <v>132</v>
      </c>
      <c r="AP125" s="35" t="s">
        <v>132</v>
      </c>
      <c r="AQ125" s="35" t="s">
        <v>132</v>
      </c>
      <c r="AR125" s="35" t="s">
        <v>132</v>
      </c>
      <c r="AS125" s="35" t="s">
        <v>132</v>
      </c>
      <c r="AT125" s="35" t="s">
        <v>132</v>
      </c>
      <c r="AU125" s="35" t="s">
        <v>132</v>
      </c>
      <c r="AV125" s="35" t="s">
        <v>131</v>
      </c>
      <c r="AW125" s="35" t="s">
        <v>465</v>
      </c>
      <c r="AX125" s="35" t="s">
        <v>132</v>
      </c>
      <c r="AY125" s="36" t="s">
        <v>133</v>
      </c>
      <c r="AZ125" s="36" t="s">
        <v>133</v>
      </c>
      <c r="BA125" s="36" t="s">
        <v>133</v>
      </c>
      <c r="BB125" s="35" t="s">
        <v>145</v>
      </c>
      <c r="BC125" s="36" t="s">
        <v>133</v>
      </c>
      <c r="BD125" s="40">
        <v>1.0</v>
      </c>
      <c r="BE125" s="35">
        <v>1.0</v>
      </c>
      <c r="BF125" s="35">
        <v>1.0</v>
      </c>
      <c r="BG125" s="35">
        <v>4.0</v>
      </c>
      <c r="BH125" s="35">
        <v>3.0</v>
      </c>
      <c r="BI125" s="44" t="str">
        <f t="shared" si="168"/>
        <v>11143</v>
      </c>
      <c r="BJ125" s="35">
        <v>70.0</v>
      </c>
      <c r="BK125" s="35">
        <v>2.0</v>
      </c>
      <c r="BL125" s="35">
        <v>4.0</v>
      </c>
      <c r="BM125" s="35">
        <v>3.0</v>
      </c>
      <c r="BN125" s="35">
        <v>4.0</v>
      </c>
      <c r="BO125" s="35">
        <v>4.0</v>
      </c>
      <c r="BP125" s="35">
        <v>2.0</v>
      </c>
      <c r="BQ125" s="35">
        <v>1.0</v>
      </c>
      <c r="BR125" s="35">
        <v>1.0</v>
      </c>
      <c r="BS125" s="35">
        <v>2.0</v>
      </c>
      <c r="BT125" s="35">
        <v>5.0</v>
      </c>
      <c r="BU125" s="44">
        <f t="shared" si="181"/>
        <v>2</v>
      </c>
      <c r="BV125" s="44">
        <f t="shared" si="182"/>
        <v>1</v>
      </c>
      <c r="BW125" s="44">
        <f t="shared" si="183"/>
        <v>25</v>
      </c>
      <c r="BX125" s="44" t="str">
        <f t="shared" si="184"/>
        <v>FATIGA</v>
      </c>
      <c r="BY125" s="35">
        <v>0.0</v>
      </c>
      <c r="BZ125" s="35">
        <v>0.0</v>
      </c>
      <c r="CA125" s="35">
        <v>0.0</v>
      </c>
      <c r="CB125" s="35">
        <v>0.0</v>
      </c>
      <c r="CC125" s="35">
        <v>0.0</v>
      </c>
      <c r="CD125" s="35">
        <v>0.0</v>
      </c>
      <c r="CE125" s="35">
        <v>0.0</v>
      </c>
      <c r="CF125" s="35">
        <v>0.0</v>
      </c>
      <c r="CG125" s="35">
        <v>0.0</v>
      </c>
      <c r="CH125" s="35">
        <v>1.0</v>
      </c>
      <c r="CI125" s="35">
        <v>30.0</v>
      </c>
      <c r="CJ125" s="44">
        <f t="shared" si="174"/>
        <v>0</v>
      </c>
      <c r="CK125" s="44">
        <f t="shared" si="28"/>
        <v>0</v>
      </c>
      <c r="CL125" s="44" t="b">
        <f t="shared" si="29"/>
        <v>0</v>
      </c>
      <c r="CM125" s="44" t="b">
        <f t="shared" si="30"/>
        <v>0</v>
      </c>
      <c r="CN125" s="45" t="str">
        <f t="shared" si="31"/>
        <v>Nivel de actividad física bajo</v>
      </c>
      <c r="CO125" s="35">
        <v>21.0</v>
      </c>
      <c r="CP125" s="35">
        <v>300.0</v>
      </c>
      <c r="CQ125" s="44">
        <f t="shared" si="32"/>
        <v>3</v>
      </c>
      <c r="CR125" s="35">
        <v>6.0</v>
      </c>
      <c r="CS125" s="35">
        <v>30.0</v>
      </c>
      <c r="CT125" s="35">
        <v>9.0</v>
      </c>
      <c r="CU125" s="35">
        <v>4.5</v>
      </c>
      <c r="CV125" s="35">
        <v>3.0</v>
      </c>
      <c r="CW125" s="35">
        <v>3.0</v>
      </c>
      <c r="CX125" s="35">
        <v>3.0</v>
      </c>
      <c r="CY125" s="35">
        <v>0.0</v>
      </c>
      <c r="CZ125" s="35">
        <v>0.0</v>
      </c>
      <c r="DA125" s="35">
        <v>0.0</v>
      </c>
      <c r="DB125" s="35">
        <v>3.0</v>
      </c>
      <c r="DC125" s="35">
        <v>0.0</v>
      </c>
      <c r="DD125" s="35">
        <v>1.0</v>
      </c>
      <c r="DE125" s="35">
        <v>0.0</v>
      </c>
      <c r="DF125" s="36" t="s">
        <v>133</v>
      </c>
      <c r="DG125" s="53">
        <f t="shared" si="55"/>
        <v>10</v>
      </c>
      <c r="DH125" s="35">
        <v>2.0</v>
      </c>
      <c r="DI125" s="35">
        <v>0.0</v>
      </c>
      <c r="DJ125" s="35">
        <v>0.0</v>
      </c>
      <c r="DK125" s="35">
        <v>0.0</v>
      </c>
      <c r="DL125" s="46">
        <f t="shared" si="34"/>
        <v>50</v>
      </c>
      <c r="DM125" s="44">
        <f t="shared" si="35"/>
        <v>3</v>
      </c>
      <c r="DN125" s="44">
        <f t="shared" si="36"/>
        <v>2</v>
      </c>
      <c r="DO125" s="44">
        <f t="shared" si="37"/>
        <v>3</v>
      </c>
      <c r="DP125" s="44">
        <f t="shared" si="38"/>
        <v>0</v>
      </c>
      <c r="DQ125" s="44">
        <f t="shared" si="39"/>
        <v>3</v>
      </c>
      <c r="DR125" s="44">
        <f t="shared" ref="DR125:DS125" si="186">(DH125)</f>
        <v>2</v>
      </c>
      <c r="DS125" s="44">
        <f t="shared" si="186"/>
        <v>0</v>
      </c>
      <c r="DT125" s="44">
        <f t="shared" si="41"/>
        <v>13</v>
      </c>
      <c r="DU125" s="44" t="str">
        <f t="shared" si="42"/>
        <v>poor sleep quality</v>
      </c>
      <c r="DV125" s="35">
        <v>1.0</v>
      </c>
      <c r="DW125" s="35" t="s">
        <v>136</v>
      </c>
      <c r="DX125" s="35" t="s">
        <v>137</v>
      </c>
      <c r="DY125" s="35">
        <v>1.0</v>
      </c>
      <c r="DZ125" s="35" t="s">
        <v>131</v>
      </c>
      <c r="EA125" s="35" t="s">
        <v>202</v>
      </c>
      <c r="EB125" s="35" t="s">
        <v>139</v>
      </c>
      <c r="EC125" s="36" t="s">
        <v>133</v>
      </c>
      <c r="ED125" s="35" t="s">
        <v>132</v>
      </c>
      <c r="EE125" s="35" t="s">
        <v>466</v>
      </c>
      <c r="EF125" s="35">
        <f t="shared" si="154"/>
        <v>905</v>
      </c>
      <c r="EG125" s="35">
        <f t="shared" si="176"/>
        <v>905</v>
      </c>
      <c r="EH125" s="47">
        <f t="shared" si="24"/>
        <v>31.58861341</v>
      </c>
    </row>
    <row r="126" ht="15.75" customHeight="1">
      <c r="A126" s="43" t="s">
        <v>467</v>
      </c>
      <c r="B126" s="36" t="s">
        <v>175</v>
      </c>
      <c r="C126" s="37">
        <v>45234.0</v>
      </c>
      <c r="D126" s="48">
        <v>47.0</v>
      </c>
      <c r="E126" s="35" t="s">
        <v>153</v>
      </c>
      <c r="F126" s="35">
        <v>175.0</v>
      </c>
      <c r="G126" s="39">
        <v>90.0</v>
      </c>
      <c r="H126" s="40" t="s">
        <v>131</v>
      </c>
      <c r="I126" s="35">
        <v>2.0</v>
      </c>
      <c r="J126" s="42" t="s">
        <v>133</v>
      </c>
      <c r="K126" s="35" t="s">
        <v>131</v>
      </c>
      <c r="L126" s="35">
        <v>2.0</v>
      </c>
      <c r="M126" s="41">
        <v>43922.0</v>
      </c>
      <c r="N126" s="35">
        <v>0.0</v>
      </c>
      <c r="O126" s="41">
        <v>44105.0</v>
      </c>
      <c r="P126" s="35" t="s">
        <v>131</v>
      </c>
      <c r="Q126" s="35" t="s">
        <v>468</v>
      </c>
      <c r="R126" s="35" t="s">
        <v>469</v>
      </c>
      <c r="S126" s="35" t="s">
        <v>131</v>
      </c>
      <c r="T126" s="35" t="s">
        <v>470</v>
      </c>
      <c r="U126" s="35" t="s">
        <v>132</v>
      </c>
      <c r="V126" s="36" t="str">
        <f t="shared" si="178"/>
        <v>Internación moderada</v>
      </c>
      <c r="W126" s="35" t="s">
        <v>190</v>
      </c>
      <c r="X126" s="35" t="s">
        <v>132</v>
      </c>
      <c r="Y126" s="35">
        <v>1.0</v>
      </c>
      <c r="Z126" s="35">
        <v>1.0</v>
      </c>
      <c r="AA126" s="35">
        <v>1.0</v>
      </c>
      <c r="AB126" s="35">
        <v>1.0</v>
      </c>
      <c r="AC126" s="35">
        <v>1.0</v>
      </c>
      <c r="AD126" s="35">
        <v>1.0</v>
      </c>
      <c r="AE126" s="35">
        <v>1.0</v>
      </c>
      <c r="AF126" s="35">
        <v>1.0</v>
      </c>
      <c r="AG126" s="35">
        <v>1.0</v>
      </c>
      <c r="AH126" s="35">
        <v>1.0</v>
      </c>
      <c r="AI126" s="35">
        <v>1.0</v>
      </c>
      <c r="AJ126" s="35">
        <v>1.0</v>
      </c>
      <c r="AK126" s="36" t="s">
        <v>133</v>
      </c>
      <c r="AL126" s="40" t="s">
        <v>132</v>
      </c>
      <c r="AM126" s="35" t="s">
        <v>132</v>
      </c>
      <c r="AN126" s="35" t="s">
        <v>132</v>
      </c>
      <c r="AO126" s="35" t="s">
        <v>132</v>
      </c>
      <c r="AP126" s="35" t="s">
        <v>132</v>
      </c>
      <c r="AQ126" s="35" t="s">
        <v>132</v>
      </c>
      <c r="AR126" s="35" t="s">
        <v>132</v>
      </c>
      <c r="AS126" s="35" t="s">
        <v>132</v>
      </c>
      <c r="AT126" s="35" t="s">
        <v>132</v>
      </c>
      <c r="AU126" s="35" t="s">
        <v>132</v>
      </c>
      <c r="AV126" s="35" t="s">
        <v>132</v>
      </c>
      <c r="AW126" s="36" t="s">
        <v>133</v>
      </c>
      <c r="AX126" s="35" t="s">
        <v>132</v>
      </c>
      <c r="AY126" s="36" t="s">
        <v>133</v>
      </c>
      <c r="AZ126" s="36" t="s">
        <v>133</v>
      </c>
      <c r="BA126" s="36" t="s">
        <v>133</v>
      </c>
      <c r="BB126" s="35" t="s">
        <v>145</v>
      </c>
      <c r="BC126" s="36" t="s">
        <v>133</v>
      </c>
      <c r="BD126" s="40">
        <v>1.0</v>
      </c>
      <c r="BE126" s="35">
        <v>1.0</v>
      </c>
      <c r="BF126" s="35">
        <v>2.0</v>
      </c>
      <c r="BG126" s="35">
        <v>1.0</v>
      </c>
      <c r="BH126" s="35">
        <v>2.0</v>
      </c>
      <c r="BI126" s="44" t="str">
        <f t="shared" si="168"/>
        <v>11212</v>
      </c>
      <c r="BJ126" s="35">
        <v>60.0</v>
      </c>
      <c r="BK126" s="35">
        <v>2.0</v>
      </c>
      <c r="BL126" s="35">
        <v>1.0</v>
      </c>
      <c r="BM126" s="35">
        <v>1.0</v>
      </c>
      <c r="BN126" s="35">
        <v>1.0</v>
      </c>
      <c r="BO126" s="35">
        <v>4.0</v>
      </c>
      <c r="BP126" s="35">
        <v>2.0</v>
      </c>
      <c r="BQ126" s="35">
        <v>3.0</v>
      </c>
      <c r="BR126" s="35">
        <v>2.0</v>
      </c>
      <c r="BS126" s="35">
        <v>3.0</v>
      </c>
      <c r="BT126" s="35">
        <v>2.0</v>
      </c>
      <c r="BU126" s="44">
        <f t="shared" si="181"/>
        <v>5</v>
      </c>
      <c r="BV126" s="44">
        <f t="shared" si="182"/>
        <v>4</v>
      </c>
      <c r="BW126" s="44">
        <f t="shared" si="183"/>
        <v>24</v>
      </c>
      <c r="BX126" s="44" t="str">
        <f t="shared" si="184"/>
        <v>FATIGA</v>
      </c>
      <c r="BY126" s="35">
        <v>7.0</v>
      </c>
      <c r="BZ126" s="35">
        <v>1.0</v>
      </c>
      <c r="CA126" s="35">
        <v>0.0</v>
      </c>
      <c r="CB126" s="35">
        <v>7.0</v>
      </c>
      <c r="CC126" s="35">
        <v>7.0</v>
      </c>
      <c r="CD126" s="35">
        <v>0.0</v>
      </c>
      <c r="CE126" s="35">
        <v>7.0</v>
      </c>
      <c r="CF126" s="35">
        <v>0.0</v>
      </c>
      <c r="CG126" s="35">
        <v>30.0</v>
      </c>
      <c r="CH126" s="35">
        <v>0.0</v>
      </c>
      <c r="CI126" s="35">
        <v>30.0</v>
      </c>
      <c r="CJ126" s="44">
        <f t="shared" si="174"/>
        <v>15813</v>
      </c>
      <c r="CK126" s="44">
        <f t="shared" si="28"/>
        <v>21</v>
      </c>
      <c r="CL126" s="44" t="str">
        <f t="shared" si="29"/>
        <v>Nivel de actividad física alto</v>
      </c>
      <c r="CM126" s="44" t="str">
        <f t="shared" si="30"/>
        <v>Nivel de actividad física moderado</v>
      </c>
      <c r="CN126" s="45" t="str">
        <f t="shared" si="31"/>
        <v>Nivel de actividad física alto</v>
      </c>
      <c r="CO126" s="35">
        <v>23.0</v>
      </c>
      <c r="CP126" s="35">
        <v>0.0</v>
      </c>
      <c r="CQ126" s="44">
        <f t="shared" si="32"/>
        <v>0</v>
      </c>
      <c r="CR126" s="35">
        <v>6.0</v>
      </c>
      <c r="CS126" s="35">
        <v>0.0</v>
      </c>
      <c r="CT126" s="35">
        <v>7.0</v>
      </c>
      <c r="CU126" s="35">
        <v>6.0</v>
      </c>
      <c r="CV126" s="35">
        <v>0.0</v>
      </c>
      <c r="CW126" s="35">
        <v>2.0</v>
      </c>
      <c r="CX126" s="35">
        <v>3.0</v>
      </c>
      <c r="CY126" s="35">
        <v>3.0</v>
      </c>
      <c r="CZ126" s="35">
        <v>3.0</v>
      </c>
      <c r="DA126" s="35">
        <v>2.0</v>
      </c>
      <c r="DB126" s="35">
        <v>1.0</v>
      </c>
      <c r="DC126" s="35">
        <v>1.0</v>
      </c>
      <c r="DD126" s="35">
        <v>0.0</v>
      </c>
      <c r="DE126" s="35">
        <v>0.0</v>
      </c>
      <c r="DF126" s="36" t="s">
        <v>133</v>
      </c>
      <c r="DG126" s="53">
        <f t="shared" si="55"/>
        <v>15</v>
      </c>
      <c r="DH126" s="35">
        <v>1.0</v>
      </c>
      <c r="DI126" s="35">
        <v>0.0</v>
      </c>
      <c r="DJ126" s="35">
        <v>3.0</v>
      </c>
      <c r="DK126" s="35">
        <v>3.0</v>
      </c>
      <c r="DL126" s="46">
        <f t="shared" si="34"/>
        <v>85.71428571</v>
      </c>
      <c r="DM126" s="44">
        <f t="shared" si="35"/>
        <v>1</v>
      </c>
      <c r="DN126" s="44">
        <f t="shared" si="36"/>
        <v>2</v>
      </c>
      <c r="DO126" s="44">
        <f t="shared" si="37"/>
        <v>0</v>
      </c>
      <c r="DP126" s="44">
        <f t="shared" si="38"/>
        <v>3</v>
      </c>
      <c r="DQ126" s="44">
        <f t="shared" si="39"/>
        <v>0</v>
      </c>
      <c r="DR126" s="44">
        <f t="shared" ref="DR126:DS126" si="187">(DH126)</f>
        <v>1</v>
      </c>
      <c r="DS126" s="44">
        <f t="shared" si="187"/>
        <v>0</v>
      </c>
      <c r="DT126" s="44">
        <f t="shared" si="41"/>
        <v>7</v>
      </c>
      <c r="DU126" s="44" t="str">
        <f t="shared" si="42"/>
        <v>poor sleep quality</v>
      </c>
      <c r="DV126" s="35">
        <v>4.0</v>
      </c>
      <c r="DW126" s="35" t="s">
        <v>149</v>
      </c>
      <c r="DX126" s="35" t="s">
        <v>207</v>
      </c>
      <c r="DY126" s="35">
        <v>2.0</v>
      </c>
      <c r="DZ126" s="35" t="s">
        <v>131</v>
      </c>
      <c r="EA126" s="35" t="s">
        <v>162</v>
      </c>
      <c r="EB126" s="35" t="s">
        <v>139</v>
      </c>
      <c r="EC126" s="36" t="s">
        <v>133</v>
      </c>
      <c r="ED126" s="35" t="s">
        <v>132</v>
      </c>
      <c r="EE126" s="35" t="s">
        <v>141</v>
      </c>
      <c r="EF126" s="35">
        <f t="shared" si="154"/>
        <v>1312</v>
      </c>
      <c r="EG126" s="35">
        <f t="shared" si="176"/>
        <v>1129</v>
      </c>
      <c r="EH126" s="47">
        <f t="shared" si="24"/>
        <v>29.3877551</v>
      </c>
    </row>
    <row r="127" ht="15.75" customHeight="1">
      <c r="A127" s="43" t="s">
        <v>471</v>
      </c>
      <c r="B127" s="36" t="s">
        <v>175</v>
      </c>
      <c r="C127" s="37">
        <v>45227.0</v>
      </c>
      <c r="D127" s="48">
        <v>53.0</v>
      </c>
      <c r="E127" s="35" t="s">
        <v>153</v>
      </c>
      <c r="F127" s="35">
        <v>170.0</v>
      </c>
      <c r="G127" s="39">
        <v>75.0</v>
      </c>
      <c r="H127" s="40" t="s">
        <v>131</v>
      </c>
      <c r="I127" s="36" t="s">
        <v>133</v>
      </c>
      <c r="J127" s="42" t="s">
        <v>133</v>
      </c>
      <c r="K127" s="35" t="s">
        <v>131</v>
      </c>
      <c r="L127" s="35">
        <v>1.0</v>
      </c>
      <c r="M127" s="41">
        <v>44075.0</v>
      </c>
      <c r="N127" s="35">
        <v>0.0</v>
      </c>
      <c r="O127" s="41">
        <v>44075.0</v>
      </c>
      <c r="P127" s="35" t="s">
        <v>132</v>
      </c>
      <c r="Q127" s="36" t="s">
        <v>133</v>
      </c>
      <c r="R127" s="36" t="s">
        <v>133</v>
      </c>
      <c r="S127" s="36" t="s">
        <v>133</v>
      </c>
      <c r="T127" s="36" t="s">
        <v>133</v>
      </c>
      <c r="U127" s="36" t="s">
        <v>133</v>
      </c>
      <c r="V127" s="36" t="str">
        <f t="shared" si="178"/>
        <v>Paciente ambulatorio</v>
      </c>
      <c r="W127" s="35" t="s">
        <v>176</v>
      </c>
      <c r="X127" s="35" t="s">
        <v>132</v>
      </c>
      <c r="Y127" s="35">
        <v>3.0</v>
      </c>
      <c r="Z127" s="35">
        <v>1.0</v>
      </c>
      <c r="AA127" s="35">
        <v>1.0</v>
      </c>
      <c r="AB127" s="35">
        <v>2.0</v>
      </c>
      <c r="AC127" s="35">
        <v>2.0</v>
      </c>
      <c r="AD127" s="35">
        <v>1.0</v>
      </c>
      <c r="AE127" s="35">
        <v>3.0</v>
      </c>
      <c r="AF127" s="35">
        <v>1.0</v>
      </c>
      <c r="AG127" s="35">
        <v>1.0</v>
      </c>
      <c r="AH127" s="35">
        <v>3.0</v>
      </c>
      <c r="AI127" s="35">
        <v>1.0</v>
      </c>
      <c r="AJ127" s="35">
        <v>1.0</v>
      </c>
      <c r="AK127" s="39" t="s">
        <v>472</v>
      </c>
      <c r="AL127" s="40" t="s">
        <v>132</v>
      </c>
      <c r="AM127" s="35" t="s">
        <v>132</v>
      </c>
      <c r="AN127" s="35" t="s">
        <v>132</v>
      </c>
      <c r="AO127" s="35" t="s">
        <v>131</v>
      </c>
      <c r="AP127" s="35" t="s">
        <v>132</v>
      </c>
      <c r="AQ127" s="35" t="s">
        <v>132</v>
      </c>
      <c r="AR127" s="35" t="s">
        <v>132</v>
      </c>
      <c r="AS127" s="35" t="s">
        <v>132</v>
      </c>
      <c r="AT127" s="35" t="s">
        <v>132</v>
      </c>
      <c r="AU127" s="35" t="s">
        <v>132</v>
      </c>
      <c r="AV127" s="35" t="s">
        <v>132</v>
      </c>
      <c r="AW127" s="36" t="s">
        <v>133</v>
      </c>
      <c r="AX127" s="35" t="s">
        <v>132</v>
      </c>
      <c r="AY127" s="36" t="s">
        <v>133</v>
      </c>
      <c r="AZ127" s="36" t="s">
        <v>133</v>
      </c>
      <c r="BA127" s="36" t="s">
        <v>133</v>
      </c>
      <c r="BB127" s="35" t="s">
        <v>192</v>
      </c>
      <c r="BC127" s="39">
        <v>4.0</v>
      </c>
      <c r="BD127" s="40">
        <v>1.0</v>
      </c>
      <c r="BE127" s="35">
        <v>1.0</v>
      </c>
      <c r="BF127" s="35">
        <v>1.0</v>
      </c>
      <c r="BG127" s="35">
        <v>2.0</v>
      </c>
      <c r="BH127" s="35">
        <v>2.0</v>
      </c>
      <c r="BI127" s="44" t="str">
        <f t="shared" si="168"/>
        <v>11122</v>
      </c>
      <c r="BJ127" s="35">
        <v>60.0</v>
      </c>
      <c r="BK127" s="35">
        <v>3.0</v>
      </c>
      <c r="BL127" s="35">
        <v>4.0</v>
      </c>
      <c r="BM127" s="35">
        <v>3.0</v>
      </c>
      <c r="BN127" s="35">
        <v>3.0</v>
      </c>
      <c r="BO127" s="35">
        <v>4.0</v>
      </c>
      <c r="BP127" s="35">
        <v>4.0</v>
      </c>
      <c r="BQ127" s="35">
        <v>4.0</v>
      </c>
      <c r="BR127" s="35">
        <v>5.0</v>
      </c>
      <c r="BS127" s="35">
        <v>5.0</v>
      </c>
      <c r="BT127" s="35">
        <v>3.0</v>
      </c>
      <c r="BU127" s="44">
        <f t="shared" si="181"/>
        <v>3</v>
      </c>
      <c r="BV127" s="44">
        <f t="shared" si="182"/>
        <v>3</v>
      </c>
      <c r="BW127" s="44">
        <f t="shared" si="183"/>
        <v>38</v>
      </c>
      <c r="BX127" s="44" t="str">
        <f t="shared" si="184"/>
        <v>FATIGA EXTREMA</v>
      </c>
      <c r="BY127" s="35">
        <v>2.0</v>
      </c>
      <c r="BZ127" s="35">
        <v>8.0</v>
      </c>
      <c r="CA127" s="35">
        <v>0.0</v>
      </c>
      <c r="CB127" s="35">
        <v>2.0</v>
      </c>
      <c r="CC127" s="35">
        <v>4.0</v>
      </c>
      <c r="CD127" s="35">
        <v>0.0</v>
      </c>
      <c r="CE127" s="35">
        <v>1.0</v>
      </c>
      <c r="CF127" s="35">
        <v>0.0</v>
      </c>
      <c r="CG127" s="35">
        <v>20.0</v>
      </c>
      <c r="CH127" s="35">
        <v>3.0</v>
      </c>
      <c r="CI127" s="35">
        <v>0.0</v>
      </c>
      <c r="CJ127" s="44">
        <f t="shared" si="174"/>
        <v>9666</v>
      </c>
      <c r="CK127" s="44">
        <f t="shared" si="28"/>
        <v>5</v>
      </c>
      <c r="CL127" s="44" t="b">
        <f t="shared" si="29"/>
        <v>0</v>
      </c>
      <c r="CM127" s="44" t="b">
        <f t="shared" si="30"/>
        <v>0</v>
      </c>
      <c r="CN127" s="45" t="str">
        <f t="shared" si="31"/>
        <v>Nivel de actividad física bajo</v>
      </c>
      <c r="CO127" s="35">
        <v>22.0</v>
      </c>
      <c r="CP127" s="35">
        <v>180.0</v>
      </c>
      <c r="CQ127" s="44">
        <f t="shared" si="32"/>
        <v>3</v>
      </c>
      <c r="CR127" s="35">
        <v>10.0</v>
      </c>
      <c r="CS127" s="35">
        <v>0.0</v>
      </c>
      <c r="CT127" s="35">
        <v>12.0</v>
      </c>
      <c r="CU127" s="35">
        <v>8.0</v>
      </c>
      <c r="CV127" s="35">
        <v>3.0</v>
      </c>
      <c r="CW127" s="35">
        <v>3.0</v>
      </c>
      <c r="CX127" s="35">
        <v>3.0</v>
      </c>
      <c r="CY127" s="35">
        <v>0.0</v>
      </c>
      <c r="CZ127" s="35">
        <v>0.0</v>
      </c>
      <c r="DA127" s="35">
        <v>3.0</v>
      </c>
      <c r="DB127" s="35">
        <v>0.0</v>
      </c>
      <c r="DC127" s="35">
        <v>3.0</v>
      </c>
      <c r="DD127" s="35">
        <v>3.0</v>
      </c>
      <c r="DE127" s="36" t="s">
        <v>133</v>
      </c>
      <c r="DF127" s="36" t="s">
        <v>133</v>
      </c>
      <c r="DG127" s="53">
        <f t="shared" si="55"/>
        <v>15</v>
      </c>
      <c r="DH127" s="35">
        <v>1.0</v>
      </c>
      <c r="DI127" s="35">
        <v>0.0</v>
      </c>
      <c r="DJ127" s="35">
        <v>3.0</v>
      </c>
      <c r="DK127" s="35">
        <v>3.0</v>
      </c>
      <c r="DL127" s="46">
        <f t="shared" si="34"/>
        <v>66.66666667</v>
      </c>
      <c r="DM127" s="44">
        <f t="shared" si="35"/>
        <v>0</v>
      </c>
      <c r="DN127" s="44">
        <f t="shared" si="36"/>
        <v>2</v>
      </c>
      <c r="DO127" s="44">
        <f t="shared" si="37"/>
        <v>3</v>
      </c>
      <c r="DP127" s="44">
        <f t="shared" si="38"/>
        <v>3</v>
      </c>
      <c r="DQ127" s="44">
        <f t="shared" si="39"/>
        <v>2</v>
      </c>
      <c r="DR127" s="44">
        <f t="shared" ref="DR127:DS127" si="188">(DH127)</f>
        <v>1</v>
      </c>
      <c r="DS127" s="44">
        <f t="shared" si="188"/>
        <v>0</v>
      </c>
      <c r="DT127" s="44">
        <f t="shared" si="41"/>
        <v>11</v>
      </c>
      <c r="DU127" s="44" t="str">
        <f t="shared" si="42"/>
        <v>poor sleep quality</v>
      </c>
      <c r="DV127" s="35">
        <v>1.0</v>
      </c>
      <c r="DW127" s="35" t="s">
        <v>314</v>
      </c>
      <c r="DX127" s="35" t="s">
        <v>146</v>
      </c>
      <c r="DY127" s="35">
        <v>1.0</v>
      </c>
      <c r="DZ127" s="35" t="s">
        <v>131</v>
      </c>
      <c r="EA127" s="35" t="s">
        <v>147</v>
      </c>
      <c r="EB127" s="35" t="s">
        <v>230</v>
      </c>
      <c r="EC127" s="35" t="s">
        <v>131</v>
      </c>
      <c r="ED127" s="35" t="s">
        <v>131</v>
      </c>
      <c r="EE127" s="35" t="s">
        <v>140</v>
      </c>
      <c r="EF127" s="35">
        <f t="shared" si="154"/>
        <v>1152</v>
      </c>
      <c r="EG127" s="35">
        <f t="shared" si="176"/>
        <v>1152</v>
      </c>
      <c r="EH127" s="47">
        <f t="shared" si="24"/>
        <v>25.95155709</v>
      </c>
    </row>
    <row r="128" ht="15.75" customHeight="1">
      <c r="A128" s="43" t="s">
        <v>473</v>
      </c>
      <c r="B128" s="36" t="s">
        <v>175</v>
      </c>
      <c r="C128" s="37">
        <v>45243.0</v>
      </c>
      <c r="D128" s="48">
        <v>43.0</v>
      </c>
      <c r="E128" s="35" t="s">
        <v>130</v>
      </c>
      <c r="F128" s="35">
        <v>162.0</v>
      </c>
      <c r="G128" s="39">
        <v>70.0</v>
      </c>
      <c r="H128" s="40" t="s">
        <v>131</v>
      </c>
      <c r="I128" s="35">
        <v>3.0</v>
      </c>
      <c r="J128" s="41">
        <v>44558.0</v>
      </c>
      <c r="K128" s="35" t="s">
        <v>131</v>
      </c>
      <c r="L128" s="35">
        <v>2.0</v>
      </c>
      <c r="M128" s="41">
        <v>44044.0</v>
      </c>
      <c r="N128" s="35">
        <v>0.0</v>
      </c>
      <c r="O128" s="41">
        <v>44558.0</v>
      </c>
      <c r="P128" s="35" t="s">
        <v>131</v>
      </c>
      <c r="Q128" s="70">
        <v>44052.0</v>
      </c>
      <c r="R128" s="70">
        <v>44066.0</v>
      </c>
      <c r="S128" s="35" t="s">
        <v>131</v>
      </c>
      <c r="T128" s="35">
        <v>1.0</v>
      </c>
      <c r="U128" s="35" t="s">
        <v>132</v>
      </c>
      <c r="V128" s="36" t="str">
        <f t="shared" si="178"/>
        <v>Internación moderada</v>
      </c>
      <c r="W128" s="35" t="s">
        <v>183</v>
      </c>
      <c r="X128" s="36" t="s">
        <v>133</v>
      </c>
      <c r="Y128" s="35">
        <v>2.0</v>
      </c>
      <c r="Z128" s="35">
        <v>1.0</v>
      </c>
      <c r="AA128" s="35">
        <v>3.0</v>
      </c>
      <c r="AB128" s="35">
        <v>3.0</v>
      </c>
      <c r="AC128" s="35">
        <v>1.0</v>
      </c>
      <c r="AD128" s="35">
        <v>1.0</v>
      </c>
      <c r="AE128" s="35">
        <v>1.0</v>
      </c>
      <c r="AF128" s="35">
        <v>1.0</v>
      </c>
      <c r="AG128" s="35">
        <v>1.0</v>
      </c>
      <c r="AH128" s="35">
        <v>3.0</v>
      </c>
      <c r="AI128" s="35">
        <v>1.0</v>
      </c>
      <c r="AJ128" s="35">
        <v>1.0</v>
      </c>
      <c r="AK128" s="36" t="s">
        <v>133</v>
      </c>
      <c r="AL128" s="40" t="s">
        <v>132</v>
      </c>
      <c r="AM128" s="35" t="s">
        <v>132</v>
      </c>
      <c r="AN128" s="35" t="s">
        <v>132</v>
      </c>
      <c r="AO128" s="35" t="s">
        <v>132</v>
      </c>
      <c r="AP128" s="35" t="s">
        <v>132</v>
      </c>
      <c r="AQ128" s="35" t="s">
        <v>132</v>
      </c>
      <c r="AR128" s="35" t="s">
        <v>132</v>
      </c>
      <c r="AS128" s="35" t="s">
        <v>132</v>
      </c>
      <c r="AT128" s="35" t="s">
        <v>132</v>
      </c>
      <c r="AU128" s="35" t="s">
        <v>132</v>
      </c>
      <c r="AV128" s="35" t="s">
        <v>132</v>
      </c>
      <c r="AW128" s="36" t="s">
        <v>133</v>
      </c>
      <c r="AX128" s="35" t="s">
        <v>131</v>
      </c>
      <c r="AY128" s="36" t="s">
        <v>133</v>
      </c>
      <c r="AZ128" s="35">
        <v>11.0</v>
      </c>
      <c r="BA128" s="36" t="s">
        <v>133</v>
      </c>
      <c r="BB128" s="35" t="s">
        <v>145</v>
      </c>
      <c r="BC128" s="36" t="s">
        <v>133</v>
      </c>
      <c r="BD128" s="40">
        <v>1.0</v>
      </c>
      <c r="BE128" s="35">
        <v>1.0</v>
      </c>
      <c r="BF128" s="35">
        <v>2.0</v>
      </c>
      <c r="BG128" s="35">
        <v>2.0</v>
      </c>
      <c r="BH128" s="35">
        <v>2.0</v>
      </c>
      <c r="BI128" s="44" t="str">
        <f t="shared" si="168"/>
        <v>11222</v>
      </c>
      <c r="BJ128" s="35">
        <v>80.0</v>
      </c>
      <c r="BK128" s="35">
        <v>4.0</v>
      </c>
      <c r="BL128" s="35">
        <v>2.0</v>
      </c>
      <c r="BM128" s="35">
        <v>1.0</v>
      </c>
      <c r="BN128" s="35">
        <v>5.0</v>
      </c>
      <c r="BO128" s="35">
        <v>2.0</v>
      </c>
      <c r="BP128" s="35">
        <v>1.0</v>
      </c>
      <c r="BQ128" s="35">
        <v>2.0</v>
      </c>
      <c r="BR128" s="35">
        <v>2.0</v>
      </c>
      <c r="BS128" s="35">
        <v>3.0</v>
      </c>
      <c r="BT128" s="35">
        <v>2.0</v>
      </c>
      <c r="BU128" s="44">
        <f t="shared" si="181"/>
        <v>1</v>
      </c>
      <c r="BV128" s="44">
        <f t="shared" si="182"/>
        <v>4</v>
      </c>
      <c r="BW128" s="44">
        <f t="shared" si="183"/>
        <v>23</v>
      </c>
      <c r="BX128" s="44" t="str">
        <f t="shared" si="184"/>
        <v>FATIGA</v>
      </c>
      <c r="BY128" s="35">
        <v>0.0</v>
      </c>
      <c r="BZ128" s="35">
        <v>0.0</v>
      </c>
      <c r="CA128" s="35">
        <v>0.0</v>
      </c>
      <c r="CB128" s="35">
        <v>1.0</v>
      </c>
      <c r="CC128" s="35">
        <v>1.0</v>
      </c>
      <c r="CD128" s="35">
        <v>0.0</v>
      </c>
      <c r="CE128" s="35">
        <v>7.0</v>
      </c>
      <c r="CF128" s="35">
        <v>3.0</v>
      </c>
      <c r="CG128" s="35">
        <v>0.0</v>
      </c>
      <c r="CH128" s="35">
        <v>3.0</v>
      </c>
      <c r="CI128" s="35">
        <v>0.0</v>
      </c>
      <c r="CJ128" s="44">
        <f t="shared" si="174"/>
        <v>4398</v>
      </c>
      <c r="CK128" s="44">
        <f t="shared" si="28"/>
        <v>8</v>
      </c>
      <c r="CL128" s="44" t="str">
        <f t="shared" si="29"/>
        <v>Nivel de actividad física alto</v>
      </c>
      <c r="CM128" s="44" t="str">
        <f t="shared" si="30"/>
        <v>Nivel de actividad física moderado</v>
      </c>
      <c r="CN128" s="45" t="str">
        <f t="shared" si="31"/>
        <v>Nivel de actividad física alto</v>
      </c>
      <c r="CO128" s="35">
        <v>23.0</v>
      </c>
      <c r="CP128" s="35">
        <v>15.0</v>
      </c>
      <c r="CQ128" s="44">
        <f t="shared" si="32"/>
        <v>0</v>
      </c>
      <c r="CR128" s="35">
        <v>4.0</v>
      </c>
      <c r="CS128" s="35">
        <v>40.0</v>
      </c>
      <c r="CT128" s="35">
        <v>4.67</v>
      </c>
      <c r="CU128" s="35">
        <v>4.0</v>
      </c>
      <c r="CV128" s="35">
        <v>1.0</v>
      </c>
      <c r="CW128" s="35">
        <v>2.0</v>
      </c>
      <c r="CX128" s="35">
        <v>0.0</v>
      </c>
      <c r="CY128" s="35">
        <v>0.0</v>
      </c>
      <c r="CZ128" s="35">
        <v>1.0</v>
      </c>
      <c r="DA128" s="35">
        <v>0.0</v>
      </c>
      <c r="DB128" s="35">
        <v>0.0</v>
      </c>
      <c r="DC128" s="35">
        <v>1.0</v>
      </c>
      <c r="DD128" s="35">
        <v>0.0</v>
      </c>
      <c r="DE128" s="36" t="s">
        <v>133</v>
      </c>
      <c r="DF128" s="36" t="s">
        <v>133</v>
      </c>
      <c r="DG128" s="53">
        <f t="shared" si="55"/>
        <v>4</v>
      </c>
      <c r="DH128" s="35">
        <v>1.0</v>
      </c>
      <c r="DI128" s="35">
        <v>0.0</v>
      </c>
      <c r="DJ128" s="35">
        <v>0.0</v>
      </c>
      <c r="DK128" s="35">
        <v>0.0</v>
      </c>
      <c r="DL128" s="46">
        <f t="shared" si="34"/>
        <v>85.65310493</v>
      </c>
      <c r="DM128" s="44">
        <f t="shared" si="35"/>
        <v>3</v>
      </c>
      <c r="DN128" s="44">
        <f t="shared" si="36"/>
        <v>1</v>
      </c>
      <c r="DO128" s="44">
        <f t="shared" si="37"/>
        <v>1</v>
      </c>
      <c r="DP128" s="44">
        <f t="shared" si="38"/>
        <v>0</v>
      </c>
      <c r="DQ128" s="44">
        <f t="shared" si="39"/>
        <v>0</v>
      </c>
      <c r="DR128" s="44">
        <f t="shared" ref="DR128:DS128" si="189">(DH128)</f>
        <v>1</v>
      </c>
      <c r="DS128" s="44">
        <f t="shared" si="189"/>
        <v>0</v>
      </c>
      <c r="DT128" s="44">
        <f t="shared" si="41"/>
        <v>6</v>
      </c>
      <c r="DU128" s="44" t="str">
        <f t="shared" si="42"/>
        <v>poor sleep quality</v>
      </c>
      <c r="DV128" s="35">
        <v>3.0</v>
      </c>
      <c r="DW128" s="35" t="s">
        <v>149</v>
      </c>
      <c r="DX128" s="35" t="s">
        <v>146</v>
      </c>
      <c r="DY128" s="35">
        <v>2.0</v>
      </c>
      <c r="DZ128" s="35" t="s">
        <v>131</v>
      </c>
      <c r="EA128" s="35" t="s">
        <v>157</v>
      </c>
      <c r="EB128" s="35" t="s">
        <v>139</v>
      </c>
      <c r="EC128" s="36" t="s">
        <v>133</v>
      </c>
      <c r="ED128" s="36" t="s">
        <v>133</v>
      </c>
      <c r="EE128" s="35" t="s">
        <v>141</v>
      </c>
      <c r="EF128" s="35">
        <f t="shared" si="154"/>
        <v>1199</v>
      </c>
      <c r="EG128" s="35">
        <f t="shared" si="176"/>
        <v>685</v>
      </c>
      <c r="EH128" s="47">
        <f t="shared" si="24"/>
        <v>26.6727633</v>
      </c>
    </row>
    <row r="129" ht="15.75" customHeight="1">
      <c r="A129" s="43" t="s">
        <v>474</v>
      </c>
      <c r="B129" s="36" t="s">
        <v>175</v>
      </c>
      <c r="C129" s="37">
        <v>45271.0</v>
      </c>
      <c r="D129" s="48">
        <v>42.0</v>
      </c>
      <c r="E129" s="35" t="s">
        <v>153</v>
      </c>
      <c r="F129" s="35">
        <v>191.0</v>
      </c>
      <c r="G129" s="39">
        <v>83.0</v>
      </c>
      <c r="H129" s="40" t="s">
        <v>131</v>
      </c>
      <c r="I129" s="35">
        <v>4.0</v>
      </c>
      <c r="J129" s="41">
        <v>44713.0</v>
      </c>
      <c r="K129" s="35" t="s">
        <v>131</v>
      </c>
      <c r="L129" s="35">
        <v>1.0</v>
      </c>
      <c r="M129" s="41">
        <v>43983.0</v>
      </c>
      <c r="N129" s="35">
        <v>0.0</v>
      </c>
      <c r="O129" s="41">
        <v>43983.0</v>
      </c>
      <c r="P129" s="35" t="s">
        <v>131</v>
      </c>
      <c r="Q129" s="70">
        <v>44012.0</v>
      </c>
      <c r="R129" s="70">
        <v>44017.0</v>
      </c>
      <c r="S129" s="35" t="s">
        <v>132</v>
      </c>
      <c r="T129" s="36" t="s">
        <v>133</v>
      </c>
      <c r="U129" s="35" t="s">
        <v>132</v>
      </c>
      <c r="V129" s="36" t="str">
        <f t="shared" si="178"/>
        <v>Internación moderada</v>
      </c>
      <c r="W129" s="35" t="s">
        <v>176</v>
      </c>
      <c r="X129" s="35" t="s">
        <v>132</v>
      </c>
      <c r="Y129" s="35">
        <v>1.0</v>
      </c>
      <c r="Z129" s="35">
        <v>1.0</v>
      </c>
      <c r="AA129" s="35">
        <v>2.0</v>
      </c>
      <c r="AB129" s="35">
        <v>2.0</v>
      </c>
      <c r="AC129" s="35">
        <v>2.0</v>
      </c>
      <c r="AD129" s="35">
        <v>1.0</v>
      </c>
      <c r="AE129" s="35">
        <v>1.0</v>
      </c>
      <c r="AF129" s="35">
        <v>3.0</v>
      </c>
      <c r="AG129" s="35">
        <v>3.0</v>
      </c>
      <c r="AH129" s="35">
        <v>1.0</v>
      </c>
      <c r="AI129" s="35">
        <v>1.0</v>
      </c>
      <c r="AJ129" s="35">
        <v>1.0</v>
      </c>
      <c r="AK129" s="39" t="s">
        <v>475</v>
      </c>
      <c r="AL129" s="40" t="s">
        <v>132</v>
      </c>
      <c r="AM129" s="35" t="s">
        <v>132</v>
      </c>
      <c r="AN129" s="35" t="s">
        <v>131</v>
      </c>
      <c r="AO129" s="35" t="s">
        <v>132</v>
      </c>
      <c r="AP129" s="35" t="s">
        <v>132</v>
      </c>
      <c r="AQ129" s="35" t="s">
        <v>132</v>
      </c>
      <c r="AR129" s="35" t="s">
        <v>132</v>
      </c>
      <c r="AS129" s="35" t="s">
        <v>132</v>
      </c>
      <c r="AT129" s="35" t="s">
        <v>132</v>
      </c>
      <c r="AU129" s="35" t="s">
        <v>132</v>
      </c>
      <c r="AV129" s="35" t="s">
        <v>132</v>
      </c>
      <c r="AW129" s="36" t="s">
        <v>133</v>
      </c>
      <c r="AX129" s="35" t="s">
        <v>132</v>
      </c>
      <c r="AY129" s="36" t="s">
        <v>133</v>
      </c>
      <c r="AZ129" s="36" t="s">
        <v>133</v>
      </c>
      <c r="BA129" s="36" t="s">
        <v>133</v>
      </c>
      <c r="BB129" s="35" t="s">
        <v>135</v>
      </c>
      <c r="BC129" s="39">
        <v>1.0</v>
      </c>
      <c r="BD129" s="40">
        <v>1.0</v>
      </c>
      <c r="BE129" s="35">
        <v>1.0</v>
      </c>
      <c r="BF129" s="35">
        <v>2.0</v>
      </c>
      <c r="BG129" s="35">
        <v>4.0</v>
      </c>
      <c r="BH129" s="35">
        <v>2.0</v>
      </c>
      <c r="BI129" s="44" t="str">
        <f t="shared" si="168"/>
        <v>11242</v>
      </c>
      <c r="BJ129" s="35">
        <v>40.0</v>
      </c>
      <c r="BK129" s="35">
        <v>4.0</v>
      </c>
      <c r="BL129" s="35">
        <v>4.0</v>
      </c>
      <c r="BM129" s="35">
        <v>3.0</v>
      </c>
      <c r="BN129" s="35">
        <v>2.0</v>
      </c>
      <c r="BO129" s="35">
        <v>4.0</v>
      </c>
      <c r="BP129" s="35">
        <v>2.0</v>
      </c>
      <c r="BQ129" s="35">
        <v>2.0</v>
      </c>
      <c r="BR129" s="35">
        <v>2.0</v>
      </c>
      <c r="BS129" s="35">
        <v>3.0</v>
      </c>
      <c r="BT129" s="35">
        <v>2.0</v>
      </c>
      <c r="BU129" s="44">
        <f t="shared" si="181"/>
        <v>4</v>
      </c>
      <c r="BV129" s="44">
        <f t="shared" si="182"/>
        <v>4</v>
      </c>
      <c r="BW129" s="44">
        <f t="shared" si="183"/>
        <v>30</v>
      </c>
      <c r="BX129" s="44" t="str">
        <f t="shared" si="184"/>
        <v>FATIGA</v>
      </c>
      <c r="BY129" s="35">
        <v>0.0</v>
      </c>
      <c r="BZ129" s="35">
        <v>0.0</v>
      </c>
      <c r="CA129" s="35">
        <v>0.0</v>
      </c>
      <c r="CB129" s="35">
        <v>0.0</v>
      </c>
      <c r="CC129" s="35">
        <v>0.0</v>
      </c>
      <c r="CD129" s="35">
        <v>0.0</v>
      </c>
      <c r="CE129" s="35">
        <v>7.0</v>
      </c>
      <c r="CF129" s="35">
        <v>0.0</v>
      </c>
      <c r="CG129" s="35">
        <v>20.0</v>
      </c>
      <c r="CH129" s="35">
        <v>2.0</v>
      </c>
      <c r="CI129" s="35">
        <v>0.0</v>
      </c>
      <c r="CJ129" s="44">
        <f t="shared" si="174"/>
        <v>462</v>
      </c>
      <c r="CK129" s="44">
        <f t="shared" si="28"/>
        <v>7</v>
      </c>
      <c r="CL129" s="44" t="b">
        <f t="shared" si="29"/>
        <v>0</v>
      </c>
      <c r="CM129" s="44" t="b">
        <f t="shared" si="30"/>
        <v>0</v>
      </c>
      <c r="CN129" s="45" t="str">
        <f t="shared" si="31"/>
        <v>Nivel de actividad física bajo</v>
      </c>
      <c r="CO129" s="35">
        <v>12.0</v>
      </c>
      <c r="CP129" s="35">
        <v>60.0</v>
      </c>
      <c r="CQ129" s="44">
        <f t="shared" si="32"/>
        <v>2</v>
      </c>
      <c r="CR129" s="35">
        <v>8.0</v>
      </c>
      <c r="CS129" s="35">
        <v>0.0</v>
      </c>
      <c r="CT129" s="35">
        <v>8.0</v>
      </c>
      <c r="CU129" s="35">
        <v>6.0</v>
      </c>
      <c r="CV129" s="35">
        <v>3.0</v>
      </c>
      <c r="CW129" s="35">
        <v>3.0</v>
      </c>
      <c r="CX129" s="35">
        <v>3.0</v>
      </c>
      <c r="CY129" s="35">
        <v>0.0</v>
      </c>
      <c r="CZ129" s="35">
        <v>0.0</v>
      </c>
      <c r="DA129" s="35">
        <v>3.0</v>
      </c>
      <c r="DB129" s="35">
        <v>1.0</v>
      </c>
      <c r="DC129" s="35">
        <v>0.0</v>
      </c>
      <c r="DD129" s="35">
        <v>3.0</v>
      </c>
      <c r="DE129" s="35">
        <v>2.0</v>
      </c>
      <c r="DF129" s="35" t="s">
        <v>476</v>
      </c>
      <c r="DG129" s="53">
        <f t="shared" si="55"/>
        <v>15</v>
      </c>
      <c r="DH129" s="35">
        <v>2.0</v>
      </c>
      <c r="DI129" s="35">
        <v>0.0</v>
      </c>
      <c r="DJ129" s="35">
        <v>0.0</v>
      </c>
      <c r="DK129" s="35">
        <v>2.0</v>
      </c>
      <c r="DL129" s="46">
        <f t="shared" si="34"/>
        <v>75</v>
      </c>
      <c r="DM129" s="44">
        <f t="shared" si="35"/>
        <v>1</v>
      </c>
      <c r="DN129" s="44">
        <f t="shared" si="36"/>
        <v>2</v>
      </c>
      <c r="DO129" s="44">
        <f t="shared" si="37"/>
        <v>3</v>
      </c>
      <c r="DP129" s="44">
        <f t="shared" si="38"/>
        <v>1</v>
      </c>
      <c r="DQ129" s="44">
        <f t="shared" si="39"/>
        <v>2</v>
      </c>
      <c r="DR129" s="44">
        <f t="shared" ref="DR129:DS129" si="190">(DH129)</f>
        <v>2</v>
      </c>
      <c r="DS129" s="44">
        <f t="shared" si="190"/>
        <v>0</v>
      </c>
      <c r="DT129" s="44">
        <f t="shared" si="41"/>
        <v>11</v>
      </c>
      <c r="DU129" s="44" t="str">
        <f t="shared" si="42"/>
        <v>poor sleep quality</v>
      </c>
      <c r="DV129" s="35">
        <v>1.0</v>
      </c>
      <c r="DW129" s="35" t="s">
        <v>136</v>
      </c>
      <c r="DX129" s="35" t="s">
        <v>146</v>
      </c>
      <c r="DY129" s="35">
        <v>1.0</v>
      </c>
      <c r="DZ129" s="35" t="s">
        <v>131</v>
      </c>
      <c r="EA129" s="35" t="s">
        <v>147</v>
      </c>
      <c r="EB129" s="35" t="s">
        <v>139</v>
      </c>
      <c r="EC129" s="36" t="s">
        <v>133</v>
      </c>
      <c r="ED129" s="35" t="s">
        <v>131</v>
      </c>
      <c r="EE129" s="35" t="s">
        <v>141</v>
      </c>
      <c r="EF129" s="35">
        <f t="shared" si="154"/>
        <v>1288</v>
      </c>
      <c r="EG129" s="35">
        <f t="shared" si="176"/>
        <v>1288</v>
      </c>
      <c r="EH129" s="47">
        <f t="shared" si="24"/>
        <v>22.75156931</v>
      </c>
    </row>
    <row r="130" ht="15.75" customHeight="1">
      <c r="A130" s="43" t="s">
        <v>477</v>
      </c>
      <c r="B130" s="36" t="s">
        <v>175</v>
      </c>
      <c r="C130" s="37">
        <v>45257.0</v>
      </c>
      <c r="D130" s="48">
        <v>38.0</v>
      </c>
      <c r="E130" s="35" t="s">
        <v>130</v>
      </c>
      <c r="F130" s="35">
        <v>165.0</v>
      </c>
      <c r="G130" s="39">
        <v>63.0</v>
      </c>
      <c r="H130" s="40" t="s">
        <v>131</v>
      </c>
      <c r="I130" s="35">
        <v>3.0</v>
      </c>
      <c r="J130" s="55">
        <v>44713.0</v>
      </c>
      <c r="K130" s="35" t="s">
        <v>131</v>
      </c>
      <c r="L130" s="35">
        <v>1.0</v>
      </c>
      <c r="M130" s="41">
        <v>44197.0</v>
      </c>
      <c r="N130" s="36" t="s">
        <v>133</v>
      </c>
      <c r="O130" s="41">
        <v>44197.0</v>
      </c>
      <c r="P130" s="35" t="s">
        <v>132</v>
      </c>
      <c r="Q130" s="36" t="s">
        <v>133</v>
      </c>
      <c r="R130" s="36" t="s">
        <v>133</v>
      </c>
      <c r="S130" s="36" t="s">
        <v>133</v>
      </c>
      <c r="T130" s="36" t="s">
        <v>133</v>
      </c>
      <c r="U130" s="36" t="s">
        <v>133</v>
      </c>
      <c r="V130" s="36" t="str">
        <f t="shared" si="178"/>
        <v>Paciente ambulatorio</v>
      </c>
      <c r="W130" s="35" t="s">
        <v>190</v>
      </c>
      <c r="X130" s="35" t="s">
        <v>132</v>
      </c>
      <c r="Y130" s="35">
        <v>1.0</v>
      </c>
      <c r="Z130" s="35">
        <v>1.0</v>
      </c>
      <c r="AA130" s="35">
        <v>2.0</v>
      </c>
      <c r="AB130" s="35">
        <v>2.0</v>
      </c>
      <c r="AC130" s="35">
        <v>1.0</v>
      </c>
      <c r="AD130" s="35">
        <v>1.0</v>
      </c>
      <c r="AE130" s="35">
        <v>1.0</v>
      </c>
      <c r="AF130" s="35">
        <v>1.0</v>
      </c>
      <c r="AG130" s="35">
        <v>1.0</v>
      </c>
      <c r="AH130" s="35">
        <v>2.0</v>
      </c>
      <c r="AI130" s="35">
        <v>1.0</v>
      </c>
      <c r="AJ130" s="35">
        <v>1.0</v>
      </c>
      <c r="AK130" s="36" t="s">
        <v>133</v>
      </c>
      <c r="AL130" s="40" t="s">
        <v>132</v>
      </c>
      <c r="AM130" s="35" t="s">
        <v>132</v>
      </c>
      <c r="AN130" s="35" t="s">
        <v>132</v>
      </c>
      <c r="AO130" s="35" t="s">
        <v>131</v>
      </c>
      <c r="AP130" s="35" t="s">
        <v>132</v>
      </c>
      <c r="AQ130" s="35" t="s">
        <v>132</v>
      </c>
      <c r="AR130" s="35" t="s">
        <v>132</v>
      </c>
      <c r="AS130" s="35" t="s">
        <v>132</v>
      </c>
      <c r="AT130" s="35" t="s">
        <v>132</v>
      </c>
      <c r="AU130" s="35" t="s">
        <v>132</v>
      </c>
      <c r="AV130" s="35" t="s">
        <v>132</v>
      </c>
      <c r="AW130" s="36" t="s">
        <v>133</v>
      </c>
      <c r="AX130" s="35" t="s">
        <v>165</v>
      </c>
      <c r="AY130" s="36" t="s">
        <v>133</v>
      </c>
      <c r="AZ130" s="36" t="s">
        <v>133</v>
      </c>
      <c r="BA130" s="35">
        <v>0.25</v>
      </c>
      <c r="BB130" s="35" t="s">
        <v>135</v>
      </c>
      <c r="BC130" s="39">
        <v>1.0</v>
      </c>
      <c r="BD130" s="40">
        <v>4.0</v>
      </c>
      <c r="BE130" s="35">
        <v>3.0</v>
      </c>
      <c r="BF130" s="35">
        <v>4.0</v>
      </c>
      <c r="BG130" s="35">
        <v>4.0</v>
      </c>
      <c r="BH130" s="35">
        <v>5.0</v>
      </c>
      <c r="BI130" s="44" t="str">
        <f t="shared" si="168"/>
        <v>43445</v>
      </c>
      <c r="BJ130" s="35">
        <v>20.0</v>
      </c>
      <c r="BK130" s="35">
        <v>5.0</v>
      </c>
      <c r="BL130" s="35">
        <v>5.0</v>
      </c>
      <c r="BM130" s="35">
        <v>5.0</v>
      </c>
      <c r="BN130" s="35">
        <v>2.0</v>
      </c>
      <c r="BO130" s="35">
        <v>5.0</v>
      </c>
      <c r="BP130" s="35">
        <v>5.0</v>
      </c>
      <c r="BQ130" s="35">
        <v>5.0</v>
      </c>
      <c r="BR130" s="35">
        <v>4.0</v>
      </c>
      <c r="BS130" s="35">
        <v>5.0</v>
      </c>
      <c r="BT130" s="35">
        <v>2.0</v>
      </c>
      <c r="BU130" s="44">
        <f t="shared" si="181"/>
        <v>4</v>
      </c>
      <c r="BV130" s="44">
        <f t="shared" si="182"/>
        <v>4</v>
      </c>
      <c r="BW130" s="44">
        <f t="shared" si="183"/>
        <v>45</v>
      </c>
      <c r="BX130" s="44" t="str">
        <f t="shared" si="184"/>
        <v>FATIGA EXTREMA</v>
      </c>
      <c r="BY130" s="35">
        <v>0.0</v>
      </c>
      <c r="BZ130" s="35">
        <v>0.0</v>
      </c>
      <c r="CA130" s="35">
        <v>0.0</v>
      </c>
      <c r="CB130" s="35">
        <v>0.0</v>
      </c>
      <c r="CC130" s="35">
        <v>0.0</v>
      </c>
      <c r="CD130" s="35">
        <v>0.0</v>
      </c>
      <c r="CE130" s="35">
        <v>0.0</v>
      </c>
      <c r="CF130" s="35">
        <v>0.0</v>
      </c>
      <c r="CG130" s="35">
        <v>0.0</v>
      </c>
      <c r="CH130" s="35">
        <v>0.0</v>
      </c>
      <c r="CI130" s="35">
        <v>0.0</v>
      </c>
      <c r="CJ130" s="44">
        <f t="shared" si="174"/>
        <v>0</v>
      </c>
      <c r="CK130" s="44">
        <f t="shared" si="28"/>
        <v>0</v>
      </c>
      <c r="CL130" s="44" t="b">
        <f t="shared" si="29"/>
        <v>0</v>
      </c>
      <c r="CM130" s="44" t="b">
        <f t="shared" si="30"/>
        <v>0</v>
      </c>
      <c r="CN130" s="45" t="str">
        <f t="shared" si="31"/>
        <v>Nivel de actividad física bajo</v>
      </c>
      <c r="CO130" s="35">
        <v>22.0</v>
      </c>
      <c r="CP130" s="71">
        <v>45414.0</v>
      </c>
      <c r="CQ130" s="44">
        <f t="shared" si="32"/>
        <v>3</v>
      </c>
      <c r="CR130" s="35">
        <v>8.0</v>
      </c>
      <c r="CS130" s="35">
        <v>0.0</v>
      </c>
      <c r="CT130" s="35">
        <v>10.0</v>
      </c>
      <c r="CU130" s="57">
        <v>8.5</v>
      </c>
      <c r="CV130" s="35">
        <v>0.0</v>
      </c>
      <c r="CW130" s="35">
        <v>3.0</v>
      </c>
      <c r="CX130" s="35">
        <v>0.0</v>
      </c>
      <c r="CY130" s="35">
        <v>0.0</v>
      </c>
      <c r="CZ130" s="35">
        <v>0.0</v>
      </c>
      <c r="DA130" s="35">
        <v>0.0</v>
      </c>
      <c r="DB130" s="35">
        <v>0.0</v>
      </c>
      <c r="DC130" s="35">
        <v>0.0</v>
      </c>
      <c r="DD130" s="35">
        <v>0.0</v>
      </c>
      <c r="DE130" s="35">
        <v>0.0</v>
      </c>
      <c r="DF130" s="36" t="s">
        <v>133</v>
      </c>
      <c r="DG130" s="53">
        <f t="shared" si="55"/>
        <v>3</v>
      </c>
      <c r="DH130" s="35">
        <v>0.0</v>
      </c>
      <c r="DI130" s="35">
        <v>3.0</v>
      </c>
      <c r="DJ130" s="35">
        <v>0.0</v>
      </c>
      <c r="DK130" s="35">
        <v>3.0</v>
      </c>
      <c r="DL130" s="46">
        <f t="shared" si="34"/>
        <v>85</v>
      </c>
      <c r="DM130" s="44">
        <f t="shared" si="35"/>
        <v>0</v>
      </c>
      <c r="DN130" s="44">
        <f t="shared" si="36"/>
        <v>1</v>
      </c>
      <c r="DO130" s="44">
        <f t="shared" si="37"/>
        <v>2</v>
      </c>
      <c r="DP130" s="44">
        <f t="shared" si="38"/>
        <v>2</v>
      </c>
      <c r="DQ130" s="44">
        <f t="shared" si="39"/>
        <v>1</v>
      </c>
      <c r="DR130" s="44">
        <f t="shared" ref="DR130:DS130" si="191">(DH130)</f>
        <v>0</v>
      </c>
      <c r="DS130" s="44">
        <f t="shared" si="191"/>
        <v>3</v>
      </c>
      <c r="DT130" s="44">
        <f t="shared" si="41"/>
        <v>9</v>
      </c>
      <c r="DU130" s="44" t="str">
        <f t="shared" si="42"/>
        <v>poor sleep quality</v>
      </c>
      <c r="DV130" s="35">
        <v>3.0</v>
      </c>
      <c r="DW130" s="35" t="s">
        <v>155</v>
      </c>
      <c r="DX130" s="35" t="s">
        <v>146</v>
      </c>
      <c r="DY130" s="35">
        <v>2.0</v>
      </c>
      <c r="DZ130" s="35" t="s">
        <v>131</v>
      </c>
      <c r="EA130" s="35" t="s">
        <v>147</v>
      </c>
      <c r="EB130" s="35" t="s">
        <v>172</v>
      </c>
      <c r="EC130" s="36" t="s">
        <v>133</v>
      </c>
      <c r="ED130" s="36" t="s">
        <v>133</v>
      </c>
      <c r="EE130" s="35" t="s">
        <v>158</v>
      </c>
      <c r="EF130" s="35">
        <f t="shared" si="154"/>
        <v>1060</v>
      </c>
      <c r="EG130" s="35">
        <f t="shared" si="176"/>
        <v>1060</v>
      </c>
      <c r="EH130" s="47">
        <f t="shared" si="24"/>
        <v>23.14049587</v>
      </c>
    </row>
    <row r="131" ht="15.75" customHeight="1">
      <c r="A131" s="43" t="s">
        <v>478</v>
      </c>
      <c r="B131" s="36" t="s">
        <v>175</v>
      </c>
      <c r="C131" s="37">
        <v>45248.0</v>
      </c>
      <c r="D131" s="48">
        <v>49.0</v>
      </c>
      <c r="E131" s="35" t="s">
        <v>130</v>
      </c>
      <c r="F131" s="35">
        <v>175.0</v>
      </c>
      <c r="G131" s="39">
        <v>70.0</v>
      </c>
      <c r="H131" s="40" t="s">
        <v>131</v>
      </c>
      <c r="I131" s="35">
        <v>4.0</v>
      </c>
      <c r="J131" s="41">
        <v>44866.0</v>
      </c>
      <c r="K131" s="35" t="s">
        <v>131</v>
      </c>
      <c r="L131" s="35">
        <v>2.0</v>
      </c>
      <c r="M131" s="41">
        <v>44075.0</v>
      </c>
      <c r="N131" s="35">
        <v>0.0</v>
      </c>
      <c r="O131" s="41">
        <v>44470.0</v>
      </c>
      <c r="P131" s="35" t="s">
        <v>132</v>
      </c>
      <c r="Q131" s="36" t="s">
        <v>133</v>
      </c>
      <c r="R131" s="36" t="s">
        <v>133</v>
      </c>
      <c r="S131" s="36" t="s">
        <v>133</v>
      </c>
      <c r="T131" s="36" t="s">
        <v>133</v>
      </c>
      <c r="U131" s="36" t="s">
        <v>133</v>
      </c>
      <c r="V131" s="36" t="str">
        <f t="shared" si="178"/>
        <v>Paciente ambulatorio</v>
      </c>
      <c r="W131" s="35" t="s">
        <v>183</v>
      </c>
      <c r="X131" s="35" t="s">
        <v>132</v>
      </c>
      <c r="Y131" s="35">
        <v>2.0</v>
      </c>
      <c r="Z131" s="35">
        <v>2.0</v>
      </c>
      <c r="AA131" s="35">
        <v>2.0</v>
      </c>
      <c r="AB131" s="35">
        <v>2.0</v>
      </c>
      <c r="AC131" s="35">
        <v>1.0</v>
      </c>
      <c r="AD131" s="35">
        <v>1.0</v>
      </c>
      <c r="AE131" s="35">
        <v>1.0</v>
      </c>
      <c r="AF131" s="35">
        <v>1.0</v>
      </c>
      <c r="AG131" s="35">
        <v>1.0</v>
      </c>
      <c r="AH131" s="35">
        <v>3.0</v>
      </c>
      <c r="AI131" s="35">
        <v>1.0</v>
      </c>
      <c r="AJ131" s="35">
        <v>1.0</v>
      </c>
      <c r="AK131" s="36" t="s">
        <v>133</v>
      </c>
      <c r="AL131" s="40" t="s">
        <v>132</v>
      </c>
      <c r="AM131" s="35" t="s">
        <v>132</v>
      </c>
      <c r="AN131" s="35" t="s">
        <v>132</v>
      </c>
      <c r="AO131" s="35" t="s">
        <v>132</v>
      </c>
      <c r="AP131" s="35" t="s">
        <v>132</v>
      </c>
      <c r="AQ131" s="35" t="s">
        <v>132</v>
      </c>
      <c r="AR131" s="35" t="s">
        <v>132</v>
      </c>
      <c r="AS131" s="35" t="s">
        <v>132</v>
      </c>
      <c r="AT131" s="35" t="s">
        <v>132</v>
      </c>
      <c r="AU131" s="35" t="s">
        <v>132</v>
      </c>
      <c r="AV131" s="35" t="s">
        <v>132</v>
      </c>
      <c r="AW131" s="36" t="s">
        <v>133</v>
      </c>
      <c r="AX131" s="35" t="s">
        <v>131</v>
      </c>
      <c r="AY131" s="35">
        <v>5.0</v>
      </c>
      <c r="AZ131" s="35">
        <v>20.0</v>
      </c>
      <c r="BA131" s="36" t="s">
        <v>133</v>
      </c>
      <c r="BB131" s="35" t="s">
        <v>145</v>
      </c>
      <c r="BC131" s="36" t="s">
        <v>133</v>
      </c>
      <c r="BD131" s="40">
        <v>1.0</v>
      </c>
      <c r="BE131" s="35">
        <v>1.0</v>
      </c>
      <c r="BF131" s="35">
        <v>1.0</v>
      </c>
      <c r="BG131" s="35">
        <v>3.0</v>
      </c>
      <c r="BH131" s="35">
        <v>4.0</v>
      </c>
      <c r="BI131" s="44" t="str">
        <f t="shared" si="168"/>
        <v>11134</v>
      </c>
      <c r="BJ131" s="35">
        <v>55.0</v>
      </c>
      <c r="BK131" s="35">
        <v>2.0</v>
      </c>
      <c r="BL131" s="35">
        <v>5.0</v>
      </c>
      <c r="BM131" s="35">
        <v>5.0</v>
      </c>
      <c r="BN131" s="35">
        <v>2.0</v>
      </c>
      <c r="BO131" s="35">
        <v>5.0</v>
      </c>
      <c r="BP131" s="35">
        <v>5.0</v>
      </c>
      <c r="BQ131" s="35">
        <v>5.0</v>
      </c>
      <c r="BR131" s="35">
        <v>5.0</v>
      </c>
      <c r="BS131" s="35">
        <v>5.0</v>
      </c>
      <c r="BT131" s="35">
        <v>1.0</v>
      </c>
      <c r="BU131" s="44">
        <f t="shared" si="181"/>
        <v>4</v>
      </c>
      <c r="BV131" s="44">
        <f t="shared" si="182"/>
        <v>5</v>
      </c>
      <c r="BW131" s="44">
        <f t="shared" si="183"/>
        <v>43</v>
      </c>
      <c r="BX131" s="44" t="str">
        <f t="shared" si="184"/>
        <v>FATIGA EXTREMA</v>
      </c>
      <c r="BY131" s="35">
        <v>0.0</v>
      </c>
      <c r="BZ131" s="35">
        <v>0.0</v>
      </c>
      <c r="CA131" s="35">
        <v>0.0</v>
      </c>
      <c r="CB131" s="35">
        <v>0.0</v>
      </c>
      <c r="CC131" s="35">
        <v>0.0</v>
      </c>
      <c r="CD131" s="35">
        <v>0.0</v>
      </c>
      <c r="CE131" s="35">
        <v>2.0</v>
      </c>
      <c r="CF131" s="35">
        <v>1.0</v>
      </c>
      <c r="CG131" s="35">
        <v>0.0</v>
      </c>
      <c r="CH131" s="35">
        <v>10.0</v>
      </c>
      <c r="CI131" s="35">
        <v>0.0</v>
      </c>
      <c r="CJ131" s="44">
        <f t="shared" si="174"/>
        <v>396</v>
      </c>
      <c r="CK131" s="44">
        <f t="shared" si="28"/>
        <v>2</v>
      </c>
      <c r="CL131" s="44" t="b">
        <f t="shared" si="29"/>
        <v>0</v>
      </c>
      <c r="CM131" s="44" t="b">
        <f t="shared" si="30"/>
        <v>0</v>
      </c>
      <c r="CN131" s="45" t="str">
        <f t="shared" si="31"/>
        <v>Nivel de actividad física bajo</v>
      </c>
      <c r="CO131" s="51">
        <v>0.8958333333333334</v>
      </c>
      <c r="CP131" s="35" t="s">
        <v>479</v>
      </c>
      <c r="CQ131" s="44">
        <f t="shared" si="32"/>
        <v>3</v>
      </c>
      <c r="CR131" s="35">
        <v>6.0</v>
      </c>
      <c r="CS131" s="35">
        <v>30.0</v>
      </c>
      <c r="CT131" s="35">
        <v>9.0</v>
      </c>
      <c r="CU131" s="35">
        <v>7.0</v>
      </c>
      <c r="CV131" s="35">
        <v>3.0</v>
      </c>
      <c r="CW131" s="35">
        <v>3.0</v>
      </c>
      <c r="CX131" s="35">
        <v>3.0</v>
      </c>
      <c r="CY131" s="35">
        <v>0.0</v>
      </c>
      <c r="CZ131" s="35">
        <v>0.0</v>
      </c>
      <c r="DA131" s="35">
        <v>1.0</v>
      </c>
      <c r="DB131" s="35">
        <v>1.0</v>
      </c>
      <c r="DC131" s="35">
        <v>1.0</v>
      </c>
      <c r="DD131" s="35">
        <v>0.0</v>
      </c>
      <c r="DE131" s="36" t="s">
        <v>133</v>
      </c>
      <c r="DF131" s="36" t="s">
        <v>133</v>
      </c>
      <c r="DG131" s="53">
        <f t="shared" si="55"/>
        <v>9</v>
      </c>
      <c r="DH131" s="35">
        <v>2.0</v>
      </c>
      <c r="DI131" s="35">
        <v>0.0</v>
      </c>
      <c r="DJ131" s="35">
        <v>3.0</v>
      </c>
      <c r="DK131" s="35">
        <v>3.0</v>
      </c>
      <c r="DL131" s="46">
        <f t="shared" si="34"/>
        <v>77.77777778</v>
      </c>
      <c r="DM131" s="44">
        <f t="shared" si="35"/>
        <v>0</v>
      </c>
      <c r="DN131" s="44">
        <f t="shared" si="36"/>
        <v>1</v>
      </c>
      <c r="DO131" s="44">
        <f t="shared" si="37"/>
        <v>3</v>
      </c>
      <c r="DP131" s="44">
        <f t="shared" si="38"/>
        <v>3</v>
      </c>
      <c r="DQ131" s="44">
        <f t="shared" si="39"/>
        <v>1</v>
      </c>
      <c r="DR131" s="44">
        <f t="shared" ref="DR131:DS131" si="192">(DH131)</f>
        <v>2</v>
      </c>
      <c r="DS131" s="44">
        <f t="shared" si="192"/>
        <v>0</v>
      </c>
      <c r="DT131" s="44">
        <f t="shared" si="41"/>
        <v>10</v>
      </c>
      <c r="DU131" s="44" t="str">
        <f t="shared" si="42"/>
        <v>poor sleep quality</v>
      </c>
      <c r="DV131" s="35">
        <v>1.0</v>
      </c>
      <c r="DW131" s="35" t="s">
        <v>155</v>
      </c>
      <c r="DX131" s="35" t="s">
        <v>146</v>
      </c>
      <c r="DY131" s="35">
        <v>1.0</v>
      </c>
      <c r="DZ131" s="35" t="s">
        <v>131</v>
      </c>
      <c r="EA131" s="35" t="s">
        <v>147</v>
      </c>
      <c r="EB131" s="35" t="s">
        <v>139</v>
      </c>
      <c r="EC131" s="36" t="s">
        <v>133</v>
      </c>
      <c r="ED131" s="36" t="s">
        <v>133</v>
      </c>
      <c r="EE131" s="35" t="s">
        <v>141</v>
      </c>
      <c r="EF131" s="35">
        <f t="shared" si="154"/>
        <v>1173</v>
      </c>
      <c r="EG131" s="35">
        <f t="shared" si="176"/>
        <v>778</v>
      </c>
      <c r="EH131" s="47">
        <f t="shared" si="24"/>
        <v>22.85714286</v>
      </c>
    </row>
    <row r="132" ht="15.75" customHeight="1">
      <c r="A132" s="43" t="s">
        <v>480</v>
      </c>
      <c r="B132" s="36" t="s">
        <v>175</v>
      </c>
      <c r="C132" s="37">
        <v>45248.0</v>
      </c>
      <c r="D132" s="48">
        <v>49.0</v>
      </c>
      <c r="E132" s="35" t="s">
        <v>130</v>
      </c>
      <c r="F132" s="35">
        <v>178.0</v>
      </c>
      <c r="G132" s="35">
        <v>84.0</v>
      </c>
      <c r="H132" s="40" t="s">
        <v>131</v>
      </c>
      <c r="I132" s="35">
        <v>3.0</v>
      </c>
      <c r="J132" s="42" t="s">
        <v>133</v>
      </c>
      <c r="K132" s="35" t="s">
        <v>131</v>
      </c>
      <c r="L132" s="35">
        <v>1.0</v>
      </c>
      <c r="M132" s="42" t="s">
        <v>133</v>
      </c>
      <c r="N132" s="35">
        <v>0.0</v>
      </c>
      <c r="O132" s="55" t="s">
        <v>133</v>
      </c>
      <c r="P132" s="35" t="s">
        <v>132</v>
      </c>
      <c r="Q132" s="36" t="s">
        <v>133</v>
      </c>
      <c r="R132" s="36" t="s">
        <v>133</v>
      </c>
      <c r="S132" s="36" t="s">
        <v>133</v>
      </c>
      <c r="T132" s="36" t="s">
        <v>133</v>
      </c>
      <c r="U132" s="36" t="s">
        <v>133</v>
      </c>
      <c r="V132" s="36" t="str">
        <f t="shared" si="178"/>
        <v>Paciente ambulatorio</v>
      </c>
      <c r="W132" s="35" t="s">
        <v>183</v>
      </c>
      <c r="X132" s="35" t="s">
        <v>132</v>
      </c>
      <c r="Y132" s="35">
        <v>3.0</v>
      </c>
      <c r="Z132" s="35">
        <v>1.0</v>
      </c>
      <c r="AA132" s="35">
        <v>2.0</v>
      </c>
      <c r="AB132" s="35">
        <v>2.0</v>
      </c>
      <c r="AC132" s="35">
        <v>3.0</v>
      </c>
      <c r="AD132" s="35">
        <v>3.0</v>
      </c>
      <c r="AE132" s="35">
        <v>3.0</v>
      </c>
      <c r="AF132" s="35">
        <v>1.0</v>
      </c>
      <c r="AG132" s="35">
        <v>3.0</v>
      </c>
      <c r="AH132" s="35">
        <v>1.0</v>
      </c>
      <c r="AI132" s="35">
        <v>1.0</v>
      </c>
      <c r="AJ132" s="35">
        <v>1.0</v>
      </c>
      <c r="AK132" s="35" t="s">
        <v>481</v>
      </c>
      <c r="AL132" s="40" t="s">
        <v>132</v>
      </c>
      <c r="AM132" s="35" t="s">
        <v>132</v>
      </c>
      <c r="AN132" s="35" t="s">
        <v>132</v>
      </c>
      <c r="AO132" s="35" t="s">
        <v>132</v>
      </c>
      <c r="AP132" s="35" t="s">
        <v>132</v>
      </c>
      <c r="AQ132" s="35" t="s">
        <v>132</v>
      </c>
      <c r="AR132" s="35" t="s">
        <v>132</v>
      </c>
      <c r="AS132" s="35" t="s">
        <v>132</v>
      </c>
      <c r="AT132" s="35" t="s">
        <v>132</v>
      </c>
      <c r="AU132" s="35" t="s">
        <v>132</v>
      </c>
      <c r="AV132" s="35" t="s">
        <v>131</v>
      </c>
      <c r="AW132" s="35" t="s">
        <v>482</v>
      </c>
      <c r="AX132" s="35" t="s">
        <v>132</v>
      </c>
      <c r="AY132" s="36" t="s">
        <v>133</v>
      </c>
      <c r="AZ132" s="36" t="s">
        <v>133</v>
      </c>
      <c r="BA132" s="36" t="s">
        <v>133</v>
      </c>
      <c r="BB132" s="35" t="s">
        <v>135</v>
      </c>
      <c r="BC132" s="35">
        <v>2.0</v>
      </c>
      <c r="BD132" s="40">
        <v>1.0</v>
      </c>
      <c r="BE132" s="35">
        <v>1.0</v>
      </c>
      <c r="BF132" s="35">
        <v>1.0</v>
      </c>
      <c r="BG132" s="35">
        <v>1.0</v>
      </c>
      <c r="BH132" s="35">
        <v>3.0</v>
      </c>
      <c r="BI132" s="44" t="str">
        <f t="shared" si="168"/>
        <v>11113</v>
      </c>
      <c r="BJ132" s="35">
        <v>70.0</v>
      </c>
      <c r="BK132" s="35">
        <v>4.0</v>
      </c>
      <c r="BL132" s="35">
        <v>4.0</v>
      </c>
      <c r="BM132" s="35">
        <v>4.0</v>
      </c>
      <c r="BN132" s="35">
        <v>4.0</v>
      </c>
      <c r="BO132" s="35">
        <v>4.0</v>
      </c>
      <c r="BP132" s="35">
        <v>4.0</v>
      </c>
      <c r="BQ132" s="35">
        <v>4.0</v>
      </c>
      <c r="BR132" s="35">
        <v>4.0</v>
      </c>
      <c r="BS132" s="35">
        <v>4.0</v>
      </c>
      <c r="BT132" s="35">
        <v>2.0</v>
      </c>
      <c r="BU132" s="44">
        <f t="shared" si="181"/>
        <v>2</v>
      </c>
      <c r="BV132" s="44">
        <f t="shared" si="182"/>
        <v>4</v>
      </c>
      <c r="BW132" s="44">
        <f t="shared" si="183"/>
        <v>38</v>
      </c>
      <c r="BX132" s="44" t="str">
        <f t="shared" si="184"/>
        <v>FATIGA EXTREMA</v>
      </c>
      <c r="BY132" s="35">
        <v>1.0</v>
      </c>
      <c r="BZ132" s="35">
        <v>1.0</v>
      </c>
      <c r="CA132" s="35">
        <v>30.0</v>
      </c>
      <c r="CB132" s="35">
        <v>0.0</v>
      </c>
      <c r="CC132" s="35">
        <v>0.0</v>
      </c>
      <c r="CD132" s="35">
        <v>0.0</v>
      </c>
      <c r="CE132" s="35">
        <v>1.0</v>
      </c>
      <c r="CF132" s="35">
        <v>0.0</v>
      </c>
      <c r="CG132" s="35">
        <v>10.0</v>
      </c>
      <c r="CH132" s="35">
        <v>5.0</v>
      </c>
      <c r="CI132" s="35">
        <v>0.0</v>
      </c>
      <c r="CJ132" s="44">
        <f t="shared" si="174"/>
        <v>753</v>
      </c>
      <c r="CK132" s="44">
        <f t="shared" si="28"/>
        <v>2</v>
      </c>
      <c r="CL132" s="44" t="b">
        <f t="shared" si="29"/>
        <v>0</v>
      </c>
      <c r="CM132" s="44" t="b">
        <f t="shared" si="30"/>
        <v>0</v>
      </c>
      <c r="CN132" s="45" t="str">
        <f t="shared" si="31"/>
        <v>Nivel de actividad física bajo</v>
      </c>
      <c r="CO132" s="51">
        <v>0.1875</v>
      </c>
      <c r="CP132" s="35">
        <v>30.0</v>
      </c>
      <c r="CQ132" s="44">
        <f t="shared" si="32"/>
        <v>1</v>
      </c>
      <c r="CR132" s="35">
        <v>12.0</v>
      </c>
      <c r="CS132" s="35">
        <v>0.0</v>
      </c>
      <c r="CT132" s="35">
        <v>7.5</v>
      </c>
      <c r="CU132" s="35">
        <v>4.0</v>
      </c>
      <c r="CV132" s="35">
        <v>3.0</v>
      </c>
      <c r="CW132" s="35">
        <v>3.0</v>
      </c>
      <c r="CX132" s="35">
        <v>0.0</v>
      </c>
      <c r="CY132" s="35">
        <v>0.0</v>
      </c>
      <c r="CZ132" s="35">
        <v>0.0</v>
      </c>
      <c r="DA132" s="35">
        <v>0.0</v>
      </c>
      <c r="DB132" s="35">
        <v>3.0</v>
      </c>
      <c r="DC132" s="35">
        <v>0.0</v>
      </c>
      <c r="DD132" s="35">
        <v>0.0</v>
      </c>
      <c r="DE132" s="35">
        <v>3.0</v>
      </c>
      <c r="DF132" s="35" t="s">
        <v>483</v>
      </c>
      <c r="DG132" s="53">
        <f t="shared" si="55"/>
        <v>9</v>
      </c>
      <c r="DH132" s="35">
        <v>2.0</v>
      </c>
      <c r="DI132" s="35">
        <v>1.0</v>
      </c>
      <c r="DJ132" s="35">
        <v>3.0</v>
      </c>
      <c r="DK132" s="35">
        <v>2.0</v>
      </c>
      <c r="DL132" s="46">
        <f t="shared" si="34"/>
        <v>53.33333333</v>
      </c>
      <c r="DM132" s="44">
        <f t="shared" si="35"/>
        <v>3</v>
      </c>
      <c r="DN132" s="44">
        <f t="shared" si="36"/>
        <v>1</v>
      </c>
      <c r="DO132" s="44">
        <f t="shared" si="37"/>
        <v>2</v>
      </c>
      <c r="DP132" s="44">
        <f t="shared" si="38"/>
        <v>3</v>
      </c>
      <c r="DQ132" s="44">
        <f t="shared" si="39"/>
        <v>3</v>
      </c>
      <c r="DR132" s="44">
        <f t="shared" ref="DR132:DS132" si="193">(DH132)</f>
        <v>2</v>
      </c>
      <c r="DS132" s="44">
        <f t="shared" si="193"/>
        <v>1</v>
      </c>
      <c r="DT132" s="44">
        <f t="shared" si="41"/>
        <v>15</v>
      </c>
      <c r="DU132" s="44" t="str">
        <f t="shared" si="42"/>
        <v>poor sleep quality</v>
      </c>
      <c r="DV132" s="35">
        <v>2.0</v>
      </c>
      <c r="DW132" s="35" t="s">
        <v>161</v>
      </c>
      <c r="DX132" s="35" t="s">
        <v>207</v>
      </c>
      <c r="DY132" s="35">
        <v>1.0</v>
      </c>
      <c r="DZ132" s="35" t="s">
        <v>131</v>
      </c>
      <c r="EA132" s="35" t="s">
        <v>167</v>
      </c>
      <c r="EB132" s="35" t="s">
        <v>222</v>
      </c>
      <c r="EC132" s="36" t="s">
        <v>133</v>
      </c>
      <c r="ED132" s="35" t="s">
        <v>132</v>
      </c>
      <c r="EE132" s="35" t="s">
        <v>141</v>
      </c>
      <c r="EF132" s="36" t="s">
        <v>133</v>
      </c>
      <c r="EG132" s="36" t="s">
        <v>133</v>
      </c>
      <c r="EH132" s="47">
        <f t="shared" si="24"/>
        <v>26.51180407</v>
      </c>
    </row>
    <row r="133" ht="15.75" customHeight="1">
      <c r="A133" s="43" t="s">
        <v>484</v>
      </c>
      <c r="B133" s="36" t="s">
        <v>175</v>
      </c>
      <c r="C133" s="37">
        <v>45248.0</v>
      </c>
      <c r="D133" s="48">
        <v>60.0</v>
      </c>
      <c r="E133" s="35" t="s">
        <v>130</v>
      </c>
      <c r="F133" s="35">
        <v>158.0</v>
      </c>
      <c r="G133" s="35">
        <v>74.0</v>
      </c>
      <c r="H133" s="40" t="s">
        <v>131</v>
      </c>
      <c r="I133" s="35">
        <v>4.0</v>
      </c>
      <c r="J133" s="41">
        <v>44593.0</v>
      </c>
      <c r="K133" s="35" t="s">
        <v>131</v>
      </c>
      <c r="L133" s="35">
        <v>4.0</v>
      </c>
      <c r="M133" s="41">
        <v>44044.0</v>
      </c>
      <c r="N133" s="35">
        <v>0.0</v>
      </c>
      <c r="O133" s="41">
        <v>44958.0</v>
      </c>
      <c r="P133" s="35" t="s">
        <v>132</v>
      </c>
      <c r="Q133" s="36" t="s">
        <v>133</v>
      </c>
      <c r="R133" s="36" t="s">
        <v>133</v>
      </c>
      <c r="S133" s="36" t="s">
        <v>133</v>
      </c>
      <c r="T133" s="36" t="s">
        <v>133</v>
      </c>
      <c r="U133" s="36" t="s">
        <v>133</v>
      </c>
      <c r="V133" s="36" t="str">
        <f t="shared" si="178"/>
        <v>Paciente ambulatorio</v>
      </c>
      <c r="W133" s="35" t="s">
        <v>176</v>
      </c>
      <c r="X133" s="35" t="s">
        <v>132</v>
      </c>
      <c r="Y133" s="35">
        <v>3.0</v>
      </c>
      <c r="Z133" s="35">
        <v>1.0</v>
      </c>
      <c r="AA133" s="35">
        <v>2.0</v>
      </c>
      <c r="AB133" s="35">
        <v>2.0</v>
      </c>
      <c r="AC133" s="35">
        <v>3.0</v>
      </c>
      <c r="AD133" s="35">
        <v>1.0</v>
      </c>
      <c r="AE133" s="35">
        <v>3.0</v>
      </c>
      <c r="AF133" s="35">
        <v>1.0</v>
      </c>
      <c r="AG133" s="35">
        <v>3.0</v>
      </c>
      <c r="AH133" s="35">
        <v>1.0</v>
      </c>
      <c r="AI133" s="35">
        <v>1.0</v>
      </c>
      <c r="AJ133" s="35">
        <v>3.0</v>
      </c>
      <c r="AK133" s="36" t="s">
        <v>133</v>
      </c>
      <c r="AL133" s="40" t="s">
        <v>132</v>
      </c>
      <c r="AM133" s="35" t="s">
        <v>132</v>
      </c>
      <c r="AN133" s="35" t="s">
        <v>132</v>
      </c>
      <c r="AO133" s="35" t="s">
        <v>131</v>
      </c>
      <c r="AP133" s="35" t="s">
        <v>132</v>
      </c>
      <c r="AQ133" s="35" t="s">
        <v>132</v>
      </c>
      <c r="AR133" s="35" t="s">
        <v>132</v>
      </c>
      <c r="AS133" s="35" t="s">
        <v>132</v>
      </c>
      <c r="AT133" s="35" t="s">
        <v>132</v>
      </c>
      <c r="AU133" s="35" t="s">
        <v>132</v>
      </c>
      <c r="AV133" s="35" t="s">
        <v>131</v>
      </c>
      <c r="AW133" s="36" t="s">
        <v>133</v>
      </c>
      <c r="AX133" s="35" t="s">
        <v>165</v>
      </c>
      <c r="AY133" s="36" t="s">
        <v>133</v>
      </c>
      <c r="AZ133" s="36" t="s">
        <v>133</v>
      </c>
      <c r="BA133" s="36" t="s">
        <v>133</v>
      </c>
      <c r="BB133" s="35" t="s">
        <v>145</v>
      </c>
      <c r="BC133" s="36" t="s">
        <v>133</v>
      </c>
      <c r="BD133" s="40">
        <v>1.0</v>
      </c>
      <c r="BE133" s="35">
        <v>1.0</v>
      </c>
      <c r="BF133" s="35">
        <v>1.0</v>
      </c>
      <c r="BG133" s="35">
        <v>2.0</v>
      </c>
      <c r="BH133" s="35">
        <v>1.0</v>
      </c>
      <c r="BI133" s="44" t="str">
        <f t="shared" si="168"/>
        <v>11121</v>
      </c>
      <c r="BJ133" s="35">
        <v>80.0</v>
      </c>
      <c r="BK133" s="35">
        <v>5.0</v>
      </c>
      <c r="BL133" s="35">
        <v>5.0</v>
      </c>
      <c r="BM133" s="35">
        <v>4.0</v>
      </c>
      <c r="BN133" s="35">
        <v>4.0</v>
      </c>
      <c r="BO133" s="35">
        <v>5.0</v>
      </c>
      <c r="BP133" s="35">
        <v>1.0</v>
      </c>
      <c r="BQ133" s="35">
        <v>1.0</v>
      </c>
      <c r="BR133" s="35">
        <v>4.0</v>
      </c>
      <c r="BS133" s="35">
        <v>1.0</v>
      </c>
      <c r="BT133" s="35">
        <v>5.0</v>
      </c>
      <c r="BU133" s="44">
        <f t="shared" si="181"/>
        <v>2</v>
      </c>
      <c r="BV133" s="44">
        <f t="shared" si="182"/>
        <v>1</v>
      </c>
      <c r="BW133" s="44">
        <f t="shared" si="183"/>
        <v>32</v>
      </c>
      <c r="BX133" s="44" t="str">
        <f t="shared" si="184"/>
        <v>FATIGA</v>
      </c>
      <c r="BY133" s="35">
        <v>0.0</v>
      </c>
      <c r="BZ133" s="35">
        <v>0.0</v>
      </c>
      <c r="CA133" s="35">
        <v>0.0</v>
      </c>
      <c r="CB133" s="35">
        <v>0.0</v>
      </c>
      <c r="CC133" s="35">
        <v>0.0</v>
      </c>
      <c r="CD133" s="35">
        <v>0.0</v>
      </c>
      <c r="CE133" s="35">
        <v>1.0</v>
      </c>
      <c r="CF133" s="35">
        <v>1.0</v>
      </c>
      <c r="CG133" s="35">
        <v>0.0</v>
      </c>
      <c r="CH133" s="35">
        <v>6.0</v>
      </c>
      <c r="CI133" s="35">
        <v>0.0</v>
      </c>
      <c r="CJ133" s="44">
        <f t="shared" si="174"/>
        <v>198</v>
      </c>
      <c r="CK133" s="44">
        <f t="shared" si="28"/>
        <v>1</v>
      </c>
      <c r="CL133" s="44" t="b">
        <f t="shared" si="29"/>
        <v>0</v>
      </c>
      <c r="CM133" s="44" t="b">
        <f t="shared" si="30"/>
        <v>0</v>
      </c>
      <c r="CN133" s="45" t="str">
        <f t="shared" si="31"/>
        <v>Nivel de actividad física bajo</v>
      </c>
      <c r="CO133" s="35">
        <v>23.0</v>
      </c>
      <c r="CP133" s="35" t="s">
        <v>485</v>
      </c>
      <c r="CQ133" s="44">
        <f t="shared" si="32"/>
        <v>3</v>
      </c>
      <c r="CR133" s="35">
        <v>6.0</v>
      </c>
      <c r="CS133" s="35">
        <v>0.0</v>
      </c>
      <c r="CT133" s="35">
        <v>7.0</v>
      </c>
      <c r="CU133" s="35">
        <v>6.0</v>
      </c>
      <c r="CV133" s="35">
        <v>3.0</v>
      </c>
      <c r="CW133" s="35">
        <v>3.0</v>
      </c>
      <c r="CX133" s="35">
        <v>3.0</v>
      </c>
      <c r="CY133" s="35">
        <v>0.0</v>
      </c>
      <c r="CZ133" s="35">
        <v>1.0</v>
      </c>
      <c r="DA133" s="35">
        <v>0.0</v>
      </c>
      <c r="DB133" s="35">
        <v>3.0</v>
      </c>
      <c r="DC133" s="35">
        <v>0.0</v>
      </c>
      <c r="DD133" s="35">
        <v>0.0</v>
      </c>
      <c r="DE133" s="35">
        <v>1.0</v>
      </c>
      <c r="DF133" s="35" t="s">
        <v>486</v>
      </c>
      <c r="DG133" s="53">
        <f t="shared" si="55"/>
        <v>11</v>
      </c>
      <c r="DH133" s="35">
        <v>1.0</v>
      </c>
      <c r="DI133" s="35">
        <v>0.0</v>
      </c>
      <c r="DJ133" s="35">
        <v>3.0</v>
      </c>
      <c r="DK133" s="35">
        <v>1.0</v>
      </c>
      <c r="DL133" s="46">
        <f t="shared" si="34"/>
        <v>85.71428571</v>
      </c>
      <c r="DM133" s="44">
        <f t="shared" si="35"/>
        <v>1</v>
      </c>
      <c r="DN133" s="44">
        <f t="shared" si="36"/>
        <v>2</v>
      </c>
      <c r="DO133" s="44">
        <f t="shared" si="37"/>
        <v>3</v>
      </c>
      <c r="DP133" s="44">
        <f t="shared" si="38"/>
        <v>2</v>
      </c>
      <c r="DQ133" s="44">
        <f t="shared" si="39"/>
        <v>0</v>
      </c>
      <c r="DR133" s="44">
        <f t="shared" ref="DR133:DS133" si="194">(DH133)</f>
        <v>1</v>
      </c>
      <c r="DS133" s="44">
        <f t="shared" si="194"/>
        <v>0</v>
      </c>
      <c r="DT133" s="44">
        <f t="shared" si="41"/>
        <v>9</v>
      </c>
      <c r="DU133" s="44" t="str">
        <f t="shared" si="42"/>
        <v>poor sleep quality</v>
      </c>
      <c r="DV133" s="35">
        <v>3.0</v>
      </c>
      <c r="DW133" s="35" t="s">
        <v>487</v>
      </c>
      <c r="DX133" s="35" t="s">
        <v>146</v>
      </c>
      <c r="DY133" s="35">
        <v>1.0</v>
      </c>
      <c r="DZ133" s="35" t="s">
        <v>131</v>
      </c>
      <c r="EA133" s="35" t="s">
        <v>157</v>
      </c>
      <c r="EB133" s="35" t="s">
        <v>139</v>
      </c>
      <c r="EC133" s="36" t="s">
        <v>133</v>
      </c>
      <c r="ED133" s="36" t="s">
        <v>133</v>
      </c>
      <c r="EE133" s="35" t="s">
        <v>141</v>
      </c>
      <c r="EF133" s="35">
        <f t="shared" ref="EF133:EF158" si="196">C133-M133</f>
        <v>1204</v>
      </c>
      <c r="EG133" s="35">
        <f t="shared" ref="EG133:EG139" si="197">C133-O133</f>
        <v>290</v>
      </c>
      <c r="EH133" s="47">
        <f t="shared" si="24"/>
        <v>29.64268547</v>
      </c>
    </row>
    <row r="134" ht="15.75" customHeight="1">
      <c r="A134" s="43" t="s">
        <v>488</v>
      </c>
      <c r="B134" s="36" t="s">
        <v>175</v>
      </c>
      <c r="C134" s="37">
        <v>45248.0</v>
      </c>
      <c r="D134" s="48">
        <v>36.0</v>
      </c>
      <c r="E134" s="35" t="s">
        <v>153</v>
      </c>
      <c r="F134" s="35">
        <v>185.0</v>
      </c>
      <c r="G134" s="35">
        <v>93.1</v>
      </c>
      <c r="H134" s="40" t="s">
        <v>131</v>
      </c>
      <c r="I134" s="35">
        <v>4.0</v>
      </c>
      <c r="J134" s="41">
        <v>44757.0</v>
      </c>
      <c r="K134" s="35" t="s">
        <v>131</v>
      </c>
      <c r="L134" s="35">
        <v>2.0</v>
      </c>
      <c r="M134" s="41">
        <v>43922.0</v>
      </c>
      <c r="N134" s="35">
        <v>0.0</v>
      </c>
      <c r="O134" s="41">
        <v>44197.0</v>
      </c>
      <c r="P134" s="35" t="s">
        <v>132</v>
      </c>
      <c r="Q134" s="36" t="s">
        <v>133</v>
      </c>
      <c r="R134" s="36" t="s">
        <v>133</v>
      </c>
      <c r="S134" s="36" t="s">
        <v>133</v>
      </c>
      <c r="T134" s="36" t="s">
        <v>133</v>
      </c>
      <c r="U134" s="36" t="s">
        <v>133</v>
      </c>
      <c r="V134" s="36" t="str">
        <f t="shared" si="178"/>
        <v>Paciente ambulatorio</v>
      </c>
      <c r="W134" s="35" t="s">
        <v>183</v>
      </c>
      <c r="X134" s="35" t="s">
        <v>132</v>
      </c>
      <c r="Y134" s="35">
        <v>2.0</v>
      </c>
      <c r="Z134" s="35">
        <v>1.0</v>
      </c>
      <c r="AA134" s="35">
        <v>2.0</v>
      </c>
      <c r="AB134" s="35">
        <v>3.0</v>
      </c>
      <c r="AC134" s="35">
        <v>2.0</v>
      </c>
      <c r="AD134" s="35">
        <v>2.0</v>
      </c>
      <c r="AE134" s="35">
        <v>2.0</v>
      </c>
      <c r="AF134" s="35">
        <v>1.0</v>
      </c>
      <c r="AG134" s="35">
        <v>1.0</v>
      </c>
      <c r="AH134" s="35">
        <v>3.0</v>
      </c>
      <c r="AI134" s="35">
        <v>1.0</v>
      </c>
      <c r="AJ134" s="35">
        <v>3.0</v>
      </c>
      <c r="AK134" s="36" t="s">
        <v>133</v>
      </c>
      <c r="AL134" s="40" t="s">
        <v>132</v>
      </c>
      <c r="AM134" s="35" t="s">
        <v>132</v>
      </c>
      <c r="AN134" s="35" t="s">
        <v>132</v>
      </c>
      <c r="AO134" s="35" t="s">
        <v>132</v>
      </c>
      <c r="AP134" s="35" t="s">
        <v>132</v>
      </c>
      <c r="AQ134" s="35" t="s">
        <v>132</v>
      </c>
      <c r="AR134" s="35" t="s">
        <v>132</v>
      </c>
      <c r="AS134" s="35" t="s">
        <v>132</v>
      </c>
      <c r="AT134" s="35" t="s">
        <v>132</v>
      </c>
      <c r="AU134" s="35" t="s">
        <v>132</v>
      </c>
      <c r="AV134" s="36" t="s">
        <v>133</v>
      </c>
      <c r="AW134" s="36" t="s">
        <v>133</v>
      </c>
      <c r="AX134" s="35" t="s">
        <v>165</v>
      </c>
      <c r="AY134" s="36" t="s">
        <v>133</v>
      </c>
      <c r="AZ134" s="36" t="s">
        <v>133</v>
      </c>
      <c r="BA134" s="35">
        <v>7.0</v>
      </c>
      <c r="BB134" s="35" t="s">
        <v>145</v>
      </c>
      <c r="BC134" s="36" t="s">
        <v>133</v>
      </c>
      <c r="BD134" s="40">
        <v>1.0</v>
      </c>
      <c r="BE134" s="35">
        <v>1.0</v>
      </c>
      <c r="BF134" s="35">
        <v>1.0</v>
      </c>
      <c r="BG134" s="35">
        <v>3.0</v>
      </c>
      <c r="BH134" s="35">
        <v>3.0</v>
      </c>
      <c r="BI134" s="44" t="str">
        <f t="shared" si="168"/>
        <v>11133</v>
      </c>
      <c r="BJ134" s="35">
        <v>67.0</v>
      </c>
      <c r="BK134" s="35">
        <v>2.0</v>
      </c>
      <c r="BL134" s="35">
        <v>4.0</v>
      </c>
      <c r="BM134" s="35">
        <v>3.0</v>
      </c>
      <c r="BN134" s="35">
        <v>3.0</v>
      </c>
      <c r="BO134" s="35">
        <v>1.0</v>
      </c>
      <c r="BP134" s="35">
        <v>4.0</v>
      </c>
      <c r="BQ134" s="35">
        <v>4.0</v>
      </c>
      <c r="BR134" s="35">
        <v>3.0</v>
      </c>
      <c r="BS134" s="35">
        <v>5.0</v>
      </c>
      <c r="BT134" s="35">
        <v>4.0</v>
      </c>
      <c r="BU134" s="44">
        <f t="shared" si="181"/>
        <v>3</v>
      </c>
      <c r="BV134" s="44">
        <f t="shared" si="182"/>
        <v>2</v>
      </c>
      <c r="BW134" s="44">
        <f t="shared" si="183"/>
        <v>32</v>
      </c>
      <c r="BX134" s="44" t="str">
        <f t="shared" si="184"/>
        <v>FATIGA</v>
      </c>
      <c r="BY134" s="35">
        <v>1.0</v>
      </c>
      <c r="BZ134" s="35">
        <v>1.0</v>
      </c>
      <c r="CA134" s="35">
        <v>30.0</v>
      </c>
      <c r="CB134" s="35">
        <v>0.0</v>
      </c>
      <c r="CC134" s="35">
        <v>0.0</v>
      </c>
      <c r="CD134" s="35">
        <v>0.0</v>
      </c>
      <c r="CE134" s="35">
        <v>4.0</v>
      </c>
      <c r="CF134" s="35">
        <v>1.0</v>
      </c>
      <c r="CG134" s="35">
        <v>0.0</v>
      </c>
      <c r="CH134" s="35">
        <v>11.0</v>
      </c>
      <c r="CI134" s="35">
        <v>0.0</v>
      </c>
      <c r="CJ134" s="44">
        <f t="shared" si="174"/>
        <v>1512</v>
      </c>
      <c r="CK134" s="44">
        <f t="shared" si="28"/>
        <v>5</v>
      </c>
      <c r="CL134" s="44" t="b">
        <f t="shared" si="29"/>
        <v>0</v>
      </c>
      <c r="CM134" s="44" t="b">
        <f t="shared" si="30"/>
        <v>0</v>
      </c>
      <c r="CN134" s="45" t="str">
        <f t="shared" si="31"/>
        <v>Nivel de actividad física bajo</v>
      </c>
      <c r="CO134" s="35">
        <v>23.0</v>
      </c>
      <c r="CP134" s="35">
        <v>60.0</v>
      </c>
      <c r="CQ134" s="44">
        <f t="shared" si="32"/>
        <v>2</v>
      </c>
      <c r="CR134" s="35">
        <v>8.0</v>
      </c>
      <c r="CS134" s="35">
        <v>30.0</v>
      </c>
      <c r="CT134" s="35">
        <v>9.5</v>
      </c>
      <c r="CU134" s="35">
        <v>8.5</v>
      </c>
      <c r="CV134" s="35">
        <v>3.0</v>
      </c>
      <c r="CW134" s="35">
        <v>0.0</v>
      </c>
      <c r="CX134" s="35">
        <v>0.0</v>
      </c>
      <c r="CY134" s="35">
        <v>0.0</v>
      </c>
      <c r="CZ134" s="35">
        <v>0.0</v>
      </c>
      <c r="DA134" s="35">
        <v>0.0</v>
      </c>
      <c r="DB134" s="35">
        <v>3.0</v>
      </c>
      <c r="DC134" s="35">
        <v>0.0</v>
      </c>
      <c r="DD134" s="35">
        <v>3.0</v>
      </c>
      <c r="DE134" s="36" t="s">
        <v>133</v>
      </c>
      <c r="DF134" s="36" t="s">
        <v>133</v>
      </c>
      <c r="DG134" s="53">
        <f t="shared" si="55"/>
        <v>6</v>
      </c>
      <c r="DH134" s="35">
        <v>2.0</v>
      </c>
      <c r="DI134" s="35">
        <v>0.0</v>
      </c>
      <c r="DJ134" s="35">
        <v>1.0</v>
      </c>
      <c r="DK134" s="35">
        <v>2.0</v>
      </c>
      <c r="DL134" s="46">
        <f t="shared" si="34"/>
        <v>89.47368421</v>
      </c>
      <c r="DM134" s="44">
        <f t="shared" si="35"/>
        <v>0</v>
      </c>
      <c r="DN134" s="44">
        <f t="shared" si="36"/>
        <v>1</v>
      </c>
      <c r="DO134" s="44">
        <f t="shared" si="37"/>
        <v>3</v>
      </c>
      <c r="DP134" s="44">
        <f t="shared" si="38"/>
        <v>2</v>
      </c>
      <c r="DQ134" s="44">
        <f t="shared" si="39"/>
        <v>0</v>
      </c>
      <c r="DR134" s="44">
        <f t="shared" ref="DR134:DS134" si="195">(DH134)</f>
        <v>2</v>
      </c>
      <c r="DS134" s="44">
        <f t="shared" si="195"/>
        <v>0</v>
      </c>
      <c r="DT134" s="44">
        <f t="shared" si="41"/>
        <v>8</v>
      </c>
      <c r="DU134" s="44" t="str">
        <f t="shared" si="42"/>
        <v>poor sleep quality</v>
      </c>
      <c r="DV134" s="35">
        <v>3.0</v>
      </c>
      <c r="DW134" s="35" t="s">
        <v>489</v>
      </c>
      <c r="DX134" s="35" t="s">
        <v>146</v>
      </c>
      <c r="DY134" s="35">
        <v>1.0</v>
      </c>
      <c r="DZ134" s="35" t="s">
        <v>131</v>
      </c>
      <c r="EA134" s="35" t="s">
        <v>157</v>
      </c>
      <c r="EB134" s="35" t="s">
        <v>139</v>
      </c>
      <c r="EC134" s="36" t="s">
        <v>133</v>
      </c>
      <c r="ED134" s="36" t="s">
        <v>133</v>
      </c>
      <c r="EE134" s="35" t="s">
        <v>141</v>
      </c>
      <c r="EF134" s="35">
        <f t="shared" si="196"/>
        <v>1326</v>
      </c>
      <c r="EG134" s="35">
        <f t="shared" si="197"/>
        <v>1051</v>
      </c>
      <c r="EH134" s="47">
        <f t="shared" si="24"/>
        <v>27.20233747</v>
      </c>
    </row>
    <row r="135" ht="12.75" customHeight="1">
      <c r="A135" s="43" t="s">
        <v>490</v>
      </c>
      <c r="B135" s="36" t="s">
        <v>175</v>
      </c>
      <c r="C135" s="37">
        <v>45254.0</v>
      </c>
      <c r="D135" s="48">
        <v>50.0</v>
      </c>
      <c r="E135" s="35" t="s">
        <v>130</v>
      </c>
      <c r="F135" s="35">
        <v>152.0</v>
      </c>
      <c r="G135" s="35">
        <v>82.0</v>
      </c>
      <c r="H135" s="40" t="s">
        <v>131</v>
      </c>
      <c r="I135" s="35">
        <v>4.0</v>
      </c>
      <c r="J135" s="41">
        <v>44850.0</v>
      </c>
      <c r="K135" s="35" t="s">
        <v>131</v>
      </c>
      <c r="L135" s="35">
        <v>1.0</v>
      </c>
      <c r="M135" s="41">
        <v>44562.0</v>
      </c>
      <c r="N135" s="35">
        <v>3.0</v>
      </c>
      <c r="O135" s="41">
        <v>44562.0</v>
      </c>
      <c r="P135" s="35" t="s">
        <v>132</v>
      </c>
      <c r="Q135" s="36" t="s">
        <v>133</v>
      </c>
      <c r="R135" s="36" t="s">
        <v>133</v>
      </c>
      <c r="S135" s="36" t="s">
        <v>133</v>
      </c>
      <c r="T135" s="36" t="s">
        <v>133</v>
      </c>
      <c r="U135" s="36" t="s">
        <v>133</v>
      </c>
      <c r="V135" s="36" t="str">
        <f t="shared" si="178"/>
        <v>Paciente ambulatorio</v>
      </c>
      <c r="W135" s="35" t="s">
        <v>176</v>
      </c>
      <c r="X135" s="35" t="s">
        <v>132</v>
      </c>
      <c r="Y135" s="35">
        <v>1.0</v>
      </c>
      <c r="Z135" s="35">
        <v>1.0</v>
      </c>
      <c r="AA135" s="35">
        <v>3.0</v>
      </c>
      <c r="AB135" s="35">
        <v>3.0</v>
      </c>
      <c r="AC135" s="35">
        <v>1.0</v>
      </c>
      <c r="AD135" s="35">
        <v>1.0</v>
      </c>
      <c r="AE135" s="35">
        <v>1.0</v>
      </c>
      <c r="AF135" s="35">
        <v>1.0</v>
      </c>
      <c r="AG135" s="35">
        <v>3.0</v>
      </c>
      <c r="AH135" s="35">
        <v>3.0</v>
      </c>
      <c r="AI135" s="35">
        <v>1.0</v>
      </c>
      <c r="AJ135" s="35">
        <v>1.0</v>
      </c>
      <c r="AK135" s="36" t="s">
        <v>133</v>
      </c>
      <c r="AL135" s="40" t="s">
        <v>132</v>
      </c>
      <c r="AM135" s="35" t="s">
        <v>132</v>
      </c>
      <c r="AN135" s="35" t="s">
        <v>132</v>
      </c>
      <c r="AO135" s="35" t="s">
        <v>132</v>
      </c>
      <c r="AP135" s="35" t="s">
        <v>132</v>
      </c>
      <c r="AQ135" s="35" t="s">
        <v>132</v>
      </c>
      <c r="AR135" s="35" t="s">
        <v>132</v>
      </c>
      <c r="AS135" s="35" t="s">
        <v>132</v>
      </c>
      <c r="AT135" s="35" t="s">
        <v>132</v>
      </c>
      <c r="AU135" s="35" t="s">
        <v>132</v>
      </c>
      <c r="AV135" s="35" t="s">
        <v>132</v>
      </c>
      <c r="AW135" s="36" t="s">
        <v>133</v>
      </c>
      <c r="AX135" s="35" t="s">
        <v>132</v>
      </c>
      <c r="AY135" s="36" t="s">
        <v>133</v>
      </c>
      <c r="AZ135" s="36" t="s">
        <v>133</v>
      </c>
      <c r="BA135" s="36" t="s">
        <v>133</v>
      </c>
      <c r="BB135" s="35" t="s">
        <v>145</v>
      </c>
      <c r="BC135" s="36" t="s">
        <v>133</v>
      </c>
      <c r="BD135" s="40">
        <v>1.0</v>
      </c>
      <c r="BE135" s="35">
        <v>1.0</v>
      </c>
      <c r="BF135" s="35">
        <v>1.0</v>
      </c>
      <c r="BG135" s="35">
        <v>2.0</v>
      </c>
      <c r="BH135" s="35">
        <v>2.0</v>
      </c>
      <c r="BI135" s="44" t="str">
        <f t="shared" si="168"/>
        <v>11122</v>
      </c>
      <c r="BJ135" s="35">
        <v>70.0</v>
      </c>
      <c r="BK135" s="35">
        <v>4.0</v>
      </c>
      <c r="BL135" s="35">
        <v>5.0</v>
      </c>
      <c r="BM135" s="35">
        <v>2.0</v>
      </c>
      <c r="BN135" s="35">
        <v>2.0</v>
      </c>
      <c r="BO135" s="35">
        <v>5.0</v>
      </c>
      <c r="BP135" s="35">
        <v>5.0</v>
      </c>
      <c r="BQ135" s="35">
        <v>4.0</v>
      </c>
      <c r="BR135" s="35">
        <v>2.0</v>
      </c>
      <c r="BS135" s="35">
        <v>5.0</v>
      </c>
      <c r="BT135" s="35">
        <v>2.0</v>
      </c>
      <c r="BU135" s="44">
        <f t="shared" si="181"/>
        <v>4</v>
      </c>
      <c r="BV135" s="44">
        <f t="shared" si="182"/>
        <v>4</v>
      </c>
      <c r="BW135" s="44">
        <f t="shared" si="183"/>
        <v>38</v>
      </c>
      <c r="BX135" s="44" t="str">
        <f t="shared" si="184"/>
        <v>FATIGA EXTREMA</v>
      </c>
      <c r="BY135" s="35">
        <v>0.0</v>
      </c>
      <c r="BZ135" s="35">
        <v>0.0</v>
      </c>
      <c r="CA135" s="35">
        <v>0.0</v>
      </c>
      <c r="CB135" s="35">
        <v>0.0</v>
      </c>
      <c r="CC135" s="35">
        <v>0.0</v>
      </c>
      <c r="CD135" s="35">
        <v>0.0</v>
      </c>
      <c r="CE135" s="35">
        <v>3.0</v>
      </c>
      <c r="CF135" s="35">
        <v>0.0</v>
      </c>
      <c r="CG135" s="35">
        <v>30.0</v>
      </c>
      <c r="CH135" s="35">
        <v>5.0</v>
      </c>
      <c r="CI135" s="35">
        <v>0.0</v>
      </c>
      <c r="CJ135" s="44">
        <f t="shared" si="174"/>
        <v>297</v>
      </c>
      <c r="CK135" s="44">
        <f t="shared" si="28"/>
        <v>3</v>
      </c>
      <c r="CL135" s="44" t="b">
        <f t="shared" si="29"/>
        <v>0</v>
      </c>
      <c r="CM135" s="44" t="b">
        <f t="shared" si="30"/>
        <v>0</v>
      </c>
      <c r="CN135" s="45" t="str">
        <f t="shared" si="31"/>
        <v>Nivel de actividad física bajo</v>
      </c>
      <c r="CO135" s="35">
        <v>23.0</v>
      </c>
      <c r="CP135" s="35">
        <v>5.0</v>
      </c>
      <c r="CQ135" s="44">
        <f t="shared" si="32"/>
        <v>0</v>
      </c>
      <c r="CR135" s="35">
        <v>7.0</v>
      </c>
      <c r="CS135" s="35">
        <v>0.0</v>
      </c>
      <c r="CT135" s="35">
        <v>8.0</v>
      </c>
      <c r="CU135" s="35">
        <v>4.0</v>
      </c>
      <c r="CV135" s="35">
        <v>1.0</v>
      </c>
      <c r="CW135" s="35">
        <v>3.0</v>
      </c>
      <c r="CX135" s="35">
        <v>3.0</v>
      </c>
      <c r="CY135" s="35">
        <v>0.0</v>
      </c>
      <c r="CZ135" s="35">
        <v>3.0</v>
      </c>
      <c r="DA135" s="35">
        <v>0.0</v>
      </c>
      <c r="DB135" s="35">
        <v>3.0</v>
      </c>
      <c r="DC135" s="35">
        <v>1.0</v>
      </c>
      <c r="DD135" s="35">
        <v>0.0</v>
      </c>
      <c r="DE135" s="36" t="s">
        <v>133</v>
      </c>
      <c r="DF135" s="36" t="s">
        <v>133</v>
      </c>
      <c r="DG135" s="53">
        <f t="shared" si="55"/>
        <v>13</v>
      </c>
      <c r="DH135" s="35">
        <v>1.0</v>
      </c>
      <c r="DI135" s="35">
        <v>0.0</v>
      </c>
      <c r="DJ135" s="35">
        <v>3.0</v>
      </c>
      <c r="DK135" s="35">
        <v>1.0</v>
      </c>
      <c r="DL135" s="46">
        <f t="shared" si="34"/>
        <v>50</v>
      </c>
      <c r="DM135" s="44">
        <f t="shared" si="35"/>
        <v>3</v>
      </c>
      <c r="DN135" s="44">
        <f t="shared" si="36"/>
        <v>2</v>
      </c>
      <c r="DO135" s="44">
        <f t="shared" si="37"/>
        <v>1</v>
      </c>
      <c r="DP135" s="44">
        <f t="shared" si="38"/>
        <v>2</v>
      </c>
      <c r="DQ135" s="44">
        <f t="shared" si="39"/>
        <v>3</v>
      </c>
      <c r="DR135" s="44">
        <f t="shared" ref="DR135:DS135" si="198">(DH135)</f>
        <v>1</v>
      </c>
      <c r="DS135" s="44">
        <f t="shared" si="198"/>
        <v>0</v>
      </c>
      <c r="DT135" s="44">
        <f t="shared" si="41"/>
        <v>12</v>
      </c>
      <c r="DU135" s="44" t="str">
        <f t="shared" si="42"/>
        <v>poor sleep quality</v>
      </c>
      <c r="DV135" s="35">
        <v>2.0</v>
      </c>
      <c r="DW135" s="35" t="s">
        <v>489</v>
      </c>
      <c r="DX135" s="35" t="s">
        <v>146</v>
      </c>
      <c r="DY135" s="35">
        <v>1.0</v>
      </c>
      <c r="DZ135" s="35" t="s">
        <v>132</v>
      </c>
      <c r="EA135" s="35" t="s">
        <v>147</v>
      </c>
      <c r="EB135" s="35" t="s">
        <v>172</v>
      </c>
      <c r="EC135" s="36" t="s">
        <v>133</v>
      </c>
      <c r="ED135" s="36" t="s">
        <v>133</v>
      </c>
      <c r="EE135" s="35" t="s">
        <v>203</v>
      </c>
      <c r="EF135" s="35">
        <f t="shared" si="196"/>
        <v>692</v>
      </c>
      <c r="EG135" s="35">
        <f t="shared" si="197"/>
        <v>692</v>
      </c>
      <c r="EH135" s="47">
        <f t="shared" si="24"/>
        <v>35.49168975</v>
      </c>
    </row>
    <row r="136" ht="15.75" customHeight="1">
      <c r="A136" s="43" t="s">
        <v>491</v>
      </c>
      <c r="B136" s="36" t="s">
        <v>175</v>
      </c>
      <c r="C136" s="37">
        <v>45248.0</v>
      </c>
      <c r="D136" s="48">
        <v>61.0</v>
      </c>
      <c r="E136" s="35" t="s">
        <v>130</v>
      </c>
      <c r="F136" s="35">
        <v>166.0</v>
      </c>
      <c r="G136" s="35">
        <v>77.0</v>
      </c>
      <c r="H136" s="40" t="s">
        <v>131</v>
      </c>
      <c r="I136" s="35">
        <v>3.0</v>
      </c>
      <c r="J136" s="41">
        <v>44459.0</v>
      </c>
      <c r="K136" s="35" t="s">
        <v>131</v>
      </c>
      <c r="L136" s="35">
        <v>1.0</v>
      </c>
      <c r="M136" s="41">
        <v>44562.0</v>
      </c>
      <c r="N136" s="35">
        <v>0.0</v>
      </c>
      <c r="O136" s="41">
        <v>44562.0</v>
      </c>
      <c r="P136" s="35" t="s">
        <v>132</v>
      </c>
      <c r="Q136" s="36" t="s">
        <v>133</v>
      </c>
      <c r="R136" s="36" t="s">
        <v>133</v>
      </c>
      <c r="S136" s="36" t="s">
        <v>133</v>
      </c>
      <c r="T136" s="36" t="s">
        <v>133</v>
      </c>
      <c r="U136" s="36" t="s">
        <v>133</v>
      </c>
      <c r="V136" s="36" t="str">
        <f t="shared" si="178"/>
        <v>Paciente ambulatorio</v>
      </c>
      <c r="W136" s="35" t="s">
        <v>176</v>
      </c>
      <c r="X136" s="35" t="s">
        <v>132</v>
      </c>
      <c r="Y136" s="35">
        <v>2.0</v>
      </c>
      <c r="Z136" s="35">
        <v>2.0</v>
      </c>
      <c r="AA136" s="35">
        <v>3.0</v>
      </c>
      <c r="AB136" s="35">
        <v>2.0</v>
      </c>
      <c r="AC136" s="35">
        <v>3.0</v>
      </c>
      <c r="AD136" s="35">
        <v>1.0</v>
      </c>
      <c r="AE136" s="35">
        <v>1.0</v>
      </c>
      <c r="AF136" s="35">
        <v>1.0</v>
      </c>
      <c r="AG136" s="35">
        <v>1.0</v>
      </c>
      <c r="AH136" s="35">
        <v>1.0</v>
      </c>
      <c r="AI136" s="35">
        <v>1.0</v>
      </c>
      <c r="AJ136" s="35">
        <v>1.0</v>
      </c>
      <c r="AK136" s="36" t="s">
        <v>133</v>
      </c>
      <c r="AL136" s="40" t="s">
        <v>132</v>
      </c>
      <c r="AM136" s="35" t="s">
        <v>132</v>
      </c>
      <c r="AN136" s="35" t="s">
        <v>132</v>
      </c>
      <c r="AO136" s="35" t="s">
        <v>131</v>
      </c>
      <c r="AP136" s="35" t="s">
        <v>132</v>
      </c>
      <c r="AQ136" s="35" t="s">
        <v>132</v>
      </c>
      <c r="AR136" s="35" t="s">
        <v>132</v>
      </c>
      <c r="AS136" s="35" t="s">
        <v>132</v>
      </c>
      <c r="AT136" s="35" t="s">
        <v>132</v>
      </c>
      <c r="AU136" s="35" t="s">
        <v>132</v>
      </c>
      <c r="AV136" s="35" t="s">
        <v>132</v>
      </c>
      <c r="AW136" s="36" t="s">
        <v>133</v>
      </c>
      <c r="AX136" s="35" t="s">
        <v>132</v>
      </c>
      <c r="AY136" s="36" t="s">
        <v>133</v>
      </c>
      <c r="AZ136" s="36" t="s">
        <v>133</v>
      </c>
      <c r="BA136" s="36" t="s">
        <v>133</v>
      </c>
      <c r="BB136" s="35" t="s">
        <v>145</v>
      </c>
      <c r="BC136" s="36" t="s">
        <v>133</v>
      </c>
      <c r="BD136" s="40">
        <v>1.0</v>
      </c>
      <c r="BE136" s="35">
        <v>2.0</v>
      </c>
      <c r="BF136" s="35">
        <v>1.0</v>
      </c>
      <c r="BG136" s="35">
        <v>2.0</v>
      </c>
      <c r="BH136" s="35">
        <v>2.0</v>
      </c>
      <c r="BI136" s="44" t="str">
        <f t="shared" si="168"/>
        <v>12122</v>
      </c>
      <c r="BJ136" s="35">
        <v>70.0</v>
      </c>
      <c r="BK136" s="35">
        <v>2.0</v>
      </c>
      <c r="BL136" s="35">
        <v>3.0</v>
      </c>
      <c r="BM136" s="35">
        <v>5.0</v>
      </c>
      <c r="BN136" s="35">
        <v>2.0</v>
      </c>
      <c r="BO136" s="35">
        <v>2.0</v>
      </c>
      <c r="BP136" s="35">
        <v>4.0</v>
      </c>
      <c r="BQ136" s="35">
        <v>5.0</v>
      </c>
      <c r="BR136" s="35">
        <v>2.0</v>
      </c>
      <c r="BS136" s="35">
        <v>2.0</v>
      </c>
      <c r="BT136" s="35">
        <v>2.0</v>
      </c>
      <c r="BU136" s="44">
        <f t="shared" si="181"/>
        <v>4</v>
      </c>
      <c r="BV136" s="44">
        <f t="shared" si="182"/>
        <v>4</v>
      </c>
      <c r="BW136" s="44">
        <f t="shared" si="183"/>
        <v>31</v>
      </c>
      <c r="BX136" s="44" t="str">
        <f t="shared" si="184"/>
        <v>FATIGA</v>
      </c>
      <c r="BY136" s="35">
        <v>0.0</v>
      </c>
      <c r="BZ136" s="35">
        <v>0.0</v>
      </c>
      <c r="CA136" s="35">
        <v>0.0</v>
      </c>
      <c r="CB136" s="35">
        <v>0.0</v>
      </c>
      <c r="CC136" s="35">
        <v>0.0</v>
      </c>
      <c r="CD136" s="35">
        <v>0.0</v>
      </c>
      <c r="CE136" s="35">
        <v>2.0</v>
      </c>
      <c r="CF136" s="35">
        <v>1.0</v>
      </c>
      <c r="CG136" s="35">
        <v>0.0</v>
      </c>
      <c r="CH136" s="35">
        <v>10.0</v>
      </c>
      <c r="CI136" s="35">
        <v>0.0</v>
      </c>
      <c r="CJ136" s="44">
        <f t="shared" si="174"/>
        <v>396</v>
      </c>
      <c r="CK136" s="44">
        <f t="shared" si="28"/>
        <v>2</v>
      </c>
      <c r="CL136" s="44" t="b">
        <f t="shared" si="29"/>
        <v>0</v>
      </c>
      <c r="CM136" s="44" t="b">
        <f t="shared" si="30"/>
        <v>0</v>
      </c>
      <c r="CN136" s="45" t="str">
        <f t="shared" si="31"/>
        <v>Nivel de actividad física bajo</v>
      </c>
      <c r="CO136" s="57">
        <v>0.0</v>
      </c>
      <c r="CP136" s="35">
        <v>5.0</v>
      </c>
      <c r="CQ136" s="44">
        <f t="shared" si="32"/>
        <v>0</v>
      </c>
      <c r="CR136" s="35">
        <v>8.0</v>
      </c>
      <c r="CS136" s="35">
        <v>30.0</v>
      </c>
      <c r="CT136" s="35">
        <v>8.5</v>
      </c>
      <c r="CU136" s="35">
        <v>8.5</v>
      </c>
      <c r="CV136" s="35">
        <v>2.0</v>
      </c>
      <c r="CW136" s="35">
        <v>3.0</v>
      </c>
      <c r="CX136" s="35">
        <v>3.0</v>
      </c>
      <c r="CY136" s="35">
        <v>0.0</v>
      </c>
      <c r="CZ136" s="35">
        <v>1.0</v>
      </c>
      <c r="DA136" s="35">
        <v>0.0</v>
      </c>
      <c r="DB136" s="35">
        <v>1.0</v>
      </c>
      <c r="DC136" s="35">
        <v>1.0</v>
      </c>
      <c r="DD136" s="35">
        <v>0.0</v>
      </c>
      <c r="DE136" s="36" t="s">
        <v>133</v>
      </c>
      <c r="DF136" s="36" t="s">
        <v>133</v>
      </c>
      <c r="DG136" s="53">
        <f t="shared" si="55"/>
        <v>9</v>
      </c>
      <c r="DH136" s="35">
        <v>1.0</v>
      </c>
      <c r="DI136" s="35">
        <v>3.0</v>
      </c>
      <c r="DJ136" s="35">
        <v>1.0</v>
      </c>
      <c r="DK136" s="35">
        <v>3.0</v>
      </c>
      <c r="DL136" s="46">
        <f t="shared" si="34"/>
        <v>100</v>
      </c>
      <c r="DM136" s="44">
        <f t="shared" si="35"/>
        <v>0</v>
      </c>
      <c r="DN136" s="44">
        <f t="shared" si="36"/>
        <v>1</v>
      </c>
      <c r="DO136" s="44">
        <f t="shared" si="37"/>
        <v>1</v>
      </c>
      <c r="DP136" s="44">
        <f t="shared" si="38"/>
        <v>2</v>
      </c>
      <c r="DQ136" s="44">
        <f t="shared" si="39"/>
        <v>0</v>
      </c>
      <c r="DR136" s="44">
        <f t="shared" ref="DR136:DS136" si="199">(DH136)</f>
        <v>1</v>
      </c>
      <c r="DS136" s="44">
        <f t="shared" si="199"/>
        <v>3</v>
      </c>
      <c r="DT136" s="44">
        <f t="shared" si="41"/>
        <v>8</v>
      </c>
      <c r="DU136" s="44" t="str">
        <f t="shared" si="42"/>
        <v>poor sleep quality</v>
      </c>
      <c r="DV136" s="35">
        <v>2.0</v>
      </c>
      <c r="DW136" s="35" t="s">
        <v>489</v>
      </c>
      <c r="DX136" s="35" t="s">
        <v>146</v>
      </c>
      <c r="DY136" s="35">
        <v>2.0</v>
      </c>
      <c r="DZ136" s="35" t="s">
        <v>131</v>
      </c>
      <c r="EA136" s="35" t="s">
        <v>147</v>
      </c>
      <c r="EB136" s="35" t="s">
        <v>139</v>
      </c>
      <c r="EC136" s="36" t="s">
        <v>133</v>
      </c>
      <c r="ED136" s="36" t="s">
        <v>133</v>
      </c>
      <c r="EE136" s="35" t="s">
        <v>158</v>
      </c>
      <c r="EF136" s="35">
        <f t="shared" si="196"/>
        <v>686</v>
      </c>
      <c r="EG136" s="35">
        <f t="shared" si="197"/>
        <v>686</v>
      </c>
      <c r="EH136" s="47">
        <f t="shared" si="24"/>
        <v>27.94309769</v>
      </c>
    </row>
    <row r="137" ht="15.75" customHeight="1">
      <c r="A137" s="43" t="s">
        <v>492</v>
      </c>
      <c r="B137" s="36" t="s">
        <v>175</v>
      </c>
      <c r="C137" s="37">
        <v>45282.0</v>
      </c>
      <c r="D137" s="48">
        <v>51.0</v>
      </c>
      <c r="E137" s="35" t="s">
        <v>130</v>
      </c>
      <c r="F137" s="35">
        <v>161.0</v>
      </c>
      <c r="G137" s="35">
        <v>85.0</v>
      </c>
      <c r="H137" s="40" t="s">
        <v>131</v>
      </c>
      <c r="I137" s="35">
        <v>3.0</v>
      </c>
      <c r="J137" s="55">
        <v>44896.0</v>
      </c>
      <c r="K137" s="35" t="s">
        <v>131</v>
      </c>
      <c r="L137" s="35">
        <v>1.0</v>
      </c>
      <c r="M137" s="41">
        <v>43952.0</v>
      </c>
      <c r="N137" s="35">
        <v>0.0</v>
      </c>
      <c r="O137" s="41">
        <v>44562.0</v>
      </c>
      <c r="P137" s="35" t="s">
        <v>132</v>
      </c>
      <c r="Q137" s="36" t="s">
        <v>133</v>
      </c>
      <c r="R137" s="36" t="s">
        <v>133</v>
      </c>
      <c r="S137" s="36" t="s">
        <v>133</v>
      </c>
      <c r="T137" s="36" t="s">
        <v>133</v>
      </c>
      <c r="U137" s="36" t="s">
        <v>133</v>
      </c>
      <c r="V137" s="36" t="str">
        <f t="shared" si="178"/>
        <v>Paciente ambulatorio</v>
      </c>
      <c r="W137" s="35" t="s">
        <v>176</v>
      </c>
      <c r="X137" s="35" t="s">
        <v>132</v>
      </c>
      <c r="Y137" s="35">
        <v>2.0</v>
      </c>
      <c r="Z137" s="35">
        <v>1.0</v>
      </c>
      <c r="AA137" s="35">
        <v>3.0</v>
      </c>
      <c r="AB137" s="35">
        <v>3.0</v>
      </c>
      <c r="AC137" s="35">
        <v>1.0</v>
      </c>
      <c r="AD137" s="35">
        <v>2.0</v>
      </c>
      <c r="AE137" s="35">
        <v>1.0</v>
      </c>
      <c r="AF137" s="35">
        <v>3.0</v>
      </c>
      <c r="AG137" s="35">
        <v>3.0</v>
      </c>
      <c r="AH137" s="35">
        <v>3.0</v>
      </c>
      <c r="AI137" s="35">
        <v>1.0</v>
      </c>
      <c r="AJ137" s="35">
        <v>3.0</v>
      </c>
      <c r="AK137" s="35" t="s">
        <v>464</v>
      </c>
      <c r="AL137" s="40" t="s">
        <v>131</v>
      </c>
      <c r="AM137" s="35" t="s">
        <v>132</v>
      </c>
      <c r="AN137" s="35" t="s">
        <v>132</v>
      </c>
      <c r="AO137" s="35" t="s">
        <v>131</v>
      </c>
      <c r="AP137" s="35" t="s">
        <v>132</v>
      </c>
      <c r="AQ137" s="35" t="s">
        <v>132</v>
      </c>
      <c r="AR137" s="35" t="s">
        <v>132</v>
      </c>
      <c r="AS137" s="35" t="s">
        <v>131</v>
      </c>
      <c r="AT137" s="35" t="s">
        <v>132</v>
      </c>
      <c r="AU137" s="35" t="s">
        <v>132</v>
      </c>
      <c r="AV137" s="35" t="s">
        <v>132</v>
      </c>
      <c r="AW137" s="36" t="s">
        <v>133</v>
      </c>
      <c r="AX137" s="35" t="s">
        <v>132</v>
      </c>
      <c r="AY137" s="36" t="s">
        <v>133</v>
      </c>
      <c r="AZ137" s="36" t="s">
        <v>133</v>
      </c>
      <c r="BA137" s="36" t="s">
        <v>133</v>
      </c>
      <c r="BB137" s="35" t="s">
        <v>145</v>
      </c>
      <c r="BC137" s="36" t="s">
        <v>133</v>
      </c>
      <c r="BD137" s="40">
        <v>1.0</v>
      </c>
      <c r="BE137" s="35">
        <v>1.0</v>
      </c>
      <c r="BF137" s="35">
        <v>2.0</v>
      </c>
      <c r="BG137" s="35">
        <v>2.0</v>
      </c>
      <c r="BH137" s="35">
        <v>2.0</v>
      </c>
      <c r="BI137" s="44" t="str">
        <f t="shared" si="168"/>
        <v>11222</v>
      </c>
      <c r="BJ137" s="35">
        <v>80.0</v>
      </c>
      <c r="BK137" s="35">
        <v>4.0</v>
      </c>
      <c r="BL137" s="35">
        <v>4.0</v>
      </c>
      <c r="BM137" s="35">
        <v>2.0</v>
      </c>
      <c r="BN137" s="35">
        <v>4.0</v>
      </c>
      <c r="BO137" s="35">
        <v>2.0</v>
      </c>
      <c r="BP137" s="35">
        <v>2.0</v>
      </c>
      <c r="BQ137" s="35">
        <v>1.0</v>
      </c>
      <c r="BR137" s="35">
        <v>2.0</v>
      </c>
      <c r="BS137" s="35">
        <v>2.0</v>
      </c>
      <c r="BT137" s="35">
        <v>4.0</v>
      </c>
      <c r="BU137" s="44">
        <f t="shared" si="181"/>
        <v>2</v>
      </c>
      <c r="BV137" s="44">
        <f t="shared" si="182"/>
        <v>2</v>
      </c>
      <c r="BW137" s="44">
        <f t="shared" si="183"/>
        <v>25</v>
      </c>
      <c r="BX137" s="44" t="str">
        <f t="shared" si="184"/>
        <v>FATIGA</v>
      </c>
      <c r="BY137" s="35">
        <v>2.0</v>
      </c>
      <c r="BZ137" s="35">
        <v>0.0</v>
      </c>
      <c r="CA137" s="35">
        <v>60.0</v>
      </c>
      <c r="CB137" s="35">
        <v>0.0</v>
      </c>
      <c r="CC137" s="35">
        <v>0.0</v>
      </c>
      <c r="CD137" s="35">
        <v>0.0</v>
      </c>
      <c r="CE137" s="35">
        <v>7.0</v>
      </c>
      <c r="CF137" s="35">
        <v>0.0</v>
      </c>
      <c r="CG137" s="35">
        <v>10.0</v>
      </c>
      <c r="CH137" s="35">
        <v>0.0</v>
      </c>
      <c r="CI137" s="35">
        <v>30.0</v>
      </c>
      <c r="CJ137" s="44">
        <f t="shared" si="174"/>
        <v>1191</v>
      </c>
      <c r="CK137" s="44">
        <f t="shared" si="28"/>
        <v>9</v>
      </c>
      <c r="CL137" s="44" t="b">
        <f t="shared" si="29"/>
        <v>0</v>
      </c>
      <c r="CM137" s="44" t="b">
        <f t="shared" si="30"/>
        <v>0</v>
      </c>
      <c r="CN137" s="45" t="str">
        <f t="shared" si="31"/>
        <v>Nivel de actividad física bajo</v>
      </c>
      <c r="CO137" s="57">
        <v>0.0</v>
      </c>
      <c r="CP137" s="35">
        <v>5.0</v>
      </c>
      <c r="CQ137" s="44">
        <f t="shared" si="32"/>
        <v>0</v>
      </c>
      <c r="CR137" s="35">
        <v>6.0</v>
      </c>
      <c r="CS137" s="35">
        <v>30.0</v>
      </c>
      <c r="CT137" s="35">
        <v>6.5</v>
      </c>
      <c r="CU137" s="35">
        <v>7.0</v>
      </c>
      <c r="CV137" s="35">
        <v>0.0</v>
      </c>
      <c r="CW137" s="35">
        <v>2.0</v>
      </c>
      <c r="CX137" s="35">
        <v>2.0</v>
      </c>
      <c r="CY137" s="35">
        <v>0.0</v>
      </c>
      <c r="CZ137" s="35">
        <v>1.0</v>
      </c>
      <c r="DA137" s="35">
        <v>1.0</v>
      </c>
      <c r="DB137" s="35">
        <v>1.0</v>
      </c>
      <c r="DC137" s="35">
        <v>0.0</v>
      </c>
      <c r="DD137" s="35">
        <v>0.0</v>
      </c>
      <c r="DE137" s="35">
        <v>3.0</v>
      </c>
      <c r="DF137" s="35" t="s">
        <v>493</v>
      </c>
      <c r="DG137" s="53">
        <f t="shared" si="55"/>
        <v>10</v>
      </c>
      <c r="DH137" s="35">
        <v>2.0</v>
      </c>
      <c r="DI137" s="35">
        <v>0.0</v>
      </c>
      <c r="DJ137" s="35">
        <v>0.0</v>
      </c>
      <c r="DK137" s="35">
        <v>1.0</v>
      </c>
      <c r="DL137" s="46">
        <f t="shared" si="34"/>
        <v>107.6923077</v>
      </c>
      <c r="DM137" s="44">
        <f t="shared" si="35"/>
        <v>0</v>
      </c>
      <c r="DN137" s="44">
        <f t="shared" si="36"/>
        <v>2</v>
      </c>
      <c r="DO137" s="44">
        <f t="shared" si="37"/>
        <v>0</v>
      </c>
      <c r="DP137" s="44">
        <f t="shared" si="38"/>
        <v>1</v>
      </c>
      <c r="DQ137" s="44">
        <f t="shared" si="39"/>
        <v>0</v>
      </c>
      <c r="DR137" s="44">
        <f t="shared" ref="DR137:DS137" si="200">(DH137)</f>
        <v>2</v>
      </c>
      <c r="DS137" s="44">
        <f t="shared" si="200"/>
        <v>0</v>
      </c>
      <c r="DT137" s="44">
        <f t="shared" si="41"/>
        <v>5</v>
      </c>
      <c r="DU137" s="44" t="str">
        <f t="shared" si="42"/>
        <v>good sleep quality</v>
      </c>
      <c r="DV137" s="35">
        <v>4.0</v>
      </c>
      <c r="DW137" s="35" t="s">
        <v>489</v>
      </c>
      <c r="DX137" s="35" t="s">
        <v>213</v>
      </c>
      <c r="DY137" s="35">
        <v>1.0</v>
      </c>
      <c r="DZ137" s="35" t="s">
        <v>131</v>
      </c>
      <c r="EA137" s="35" t="s">
        <v>178</v>
      </c>
      <c r="EB137" s="35" t="s">
        <v>139</v>
      </c>
      <c r="EC137" s="36" t="s">
        <v>133</v>
      </c>
      <c r="ED137" s="35" t="s">
        <v>132</v>
      </c>
      <c r="EE137" s="35" t="s">
        <v>151</v>
      </c>
      <c r="EF137" s="35">
        <f t="shared" si="196"/>
        <v>1330</v>
      </c>
      <c r="EG137" s="35">
        <f t="shared" si="197"/>
        <v>720</v>
      </c>
      <c r="EH137" s="47">
        <f t="shared" si="24"/>
        <v>32.79194476</v>
      </c>
    </row>
    <row r="138" ht="15.75" customHeight="1">
      <c r="A138" s="43" t="s">
        <v>494</v>
      </c>
      <c r="B138" s="36" t="s">
        <v>175</v>
      </c>
      <c r="C138" s="37">
        <v>45282.0</v>
      </c>
      <c r="D138" s="48">
        <v>53.0</v>
      </c>
      <c r="E138" s="35" t="s">
        <v>130</v>
      </c>
      <c r="F138" s="35">
        <v>155.0</v>
      </c>
      <c r="G138" s="35">
        <v>61.0</v>
      </c>
      <c r="H138" s="40" t="s">
        <v>131</v>
      </c>
      <c r="I138" s="35">
        <v>3.0</v>
      </c>
      <c r="J138" s="41">
        <v>44599.0</v>
      </c>
      <c r="K138" s="35" t="s">
        <v>131</v>
      </c>
      <c r="L138" s="35">
        <v>1.0</v>
      </c>
      <c r="M138" s="41">
        <v>44409.0</v>
      </c>
      <c r="N138" s="35">
        <v>2.0</v>
      </c>
      <c r="O138" s="41">
        <v>44599.0</v>
      </c>
      <c r="P138" s="35" t="s">
        <v>132</v>
      </c>
      <c r="Q138" s="36" t="s">
        <v>133</v>
      </c>
      <c r="R138" s="36" t="s">
        <v>133</v>
      </c>
      <c r="S138" s="36" t="s">
        <v>133</v>
      </c>
      <c r="T138" s="36" t="s">
        <v>133</v>
      </c>
      <c r="U138" s="36" t="s">
        <v>133</v>
      </c>
      <c r="V138" s="36" t="str">
        <f t="shared" si="178"/>
        <v>Paciente ambulatorio</v>
      </c>
      <c r="W138" s="35" t="s">
        <v>183</v>
      </c>
      <c r="X138" s="35" t="s">
        <v>132</v>
      </c>
      <c r="Y138" s="35">
        <v>2.0</v>
      </c>
      <c r="Z138" s="35">
        <v>1.0</v>
      </c>
      <c r="AA138" s="35">
        <v>2.0</v>
      </c>
      <c r="AB138" s="35">
        <v>2.0</v>
      </c>
      <c r="AC138" s="35">
        <v>1.0</v>
      </c>
      <c r="AD138" s="35">
        <v>1.0</v>
      </c>
      <c r="AE138" s="35">
        <v>1.0</v>
      </c>
      <c r="AF138" s="35">
        <v>1.0</v>
      </c>
      <c r="AG138" s="35">
        <v>3.0</v>
      </c>
      <c r="AH138" s="35">
        <v>1.0</v>
      </c>
      <c r="AI138" s="35">
        <v>1.0</v>
      </c>
      <c r="AJ138" s="35">
        <v>1.0</v>
      </c>
      <c r="AK138" s="36" t="s">
        <v>133</v>
      </c>
      <c r="AL138" s="40" t="s">
        <v>131</v>
      </c>
      <c r="AM138" s="35" t="s">
        <v>132</v>
      </c>
      <c r="AN138" s="35" t="s">
        <v>132</v>
      </c>
      <c r="AO138" s="35" t="s">
        <v>131</v>
      </c>
      <c r="AP138" s="35" t="s">
        <v>132</v>
      </c>
      <c r="AQ138" s="35" t="s">
        <v>132</v>
      </c>
      <c r="AR138" s="35" t="s">
        <v>132</v>
      </c>
      <c r="AS138" s="35" t="s">
        <v>132</v>
      </c>
      <c r="AT138" s="35" t="s">
        <v>132</v>
      </c>
      <c r="AU138" s="35" t="s">
        <v>132</v>
      </c>
      <c r="AV138" s="35" t="s">
        <v>131</v>
      </c>
      <c r="AW138" s="35" t="s">
        <v>495</v>
      </c>
      <c r="AX138" s="35" t="s">
        <v>165</v>
      </c>
      <c r="AY138" s="36" t="s">
        <v>133</v>
      </c>
      <c r="AZ138" s="36" t="s">
        <v>133</v>
      </c>
      <c r="BA138" s="35">
        <v>10.0</v>
      </c>
      <c r="BB138" s="35" t="s">
        <v>145</v>
      </c>
      <c r="BC138" s="36" t="s">
        <v>133</v>
      </c>
      <c r="BD138" s="40">
        <v>2.0</v>
      </c>
      <c r="BE138" s="35">
        <v>2.0</v>
      </c>
      <c r="BF138" s="35">
        <v>2.0</v>
      </c>
      <c r="BG138" s="35">
        <v>4.0</v>
      </c>
      <c r="BH138" s="35">
        <v>2.0</v>
      </c>
      <c r="BI138" s="44" t="str">
        <f t="shared" si="168"/>
        <v>22242</v>
      </c>
      <c r="BJ138" s="35">
        <v>60.0</v>
      </c>
      <c r="BK138" s="35">
        <v>2.0</v>
      </c>
      <c r="BL138" s="35">
        <v>3.0</v>
      </c>
      <c r="BM138" s="35">
        <v>2.0</v>
      </c>
      <c r="BN138" s="35">
        <v>2.0</v>
      </c>
      <c r="BO138" s="35">
        <v>4.0</v>
      </c>
      <c r="BP138" s="35">
        <v>3.0</v>
      </c>
      <c r="BQ138" s="35">
        <v>3.0</v>
      </c>
      <c r="BR138" s="35">
        <v>4.0</v>
      </c>
      <c r="BS138" s="35">
        <v>4.0</v>
      </c>
      <c r="BT138" s="35">
        <v>2.0</v>
      </c>
      <c r="BU138" s="44">
        <f t="shared" si="181"/>
        <v>4</v>
      </c>
      <c r="BV138" s="44">
        <f t="shared" si="182"/>
        <v>4</v>
      </c>
      <c r="BW138" s="44">
        <f t="shared" si="183"/>
        <v>31</v>
      </c>
      <c r="BX138" s="44" t="str">
        <f t="shared" si="184"/>
        <v>FATIGA</v>
      </c>
      <c r="BY138" s="35">
        <v>3.0</v>
      </c>
      <c r="BZ138" s="35">
        <v>1.0</v>
      </c>
      <c r="CA138" s="35">
        <v>0.0</v>
      </c>
      <c r="CB138" s="35">
        <v>0.0</v>
      </c>
      <c r="CC138" s="35">
        <v>0.0</v>
      </c>
      <c r="CD138" s="35">
        <v>0.0</v>
      </c>
      <c r="CE138" s="35">
        <v>5.0</v>
      </c>
      <c r="CF138" s="35">
        <v>0.0</v>
      </c>
      <c r="CG138" s="35">
        <v>30.0</v>
      </c>
      <c r="CH138" s="35">
        <v>10.0</v>
      </c>
      <c r="CI138" s="35">
        <v>0.0</v>
      </c>
      <c r="CJ138" s="44">
        <f t="shared" si="174"/>
        <v>1935</v>
      </c>
      <c r="CK138" s="44">
        <f t="shared" si="28"/>
        <v>8</v>
      </c>
      <c r="CL138" s="44" t="str">
        <f t="shared" si="29"/>
        <v>Nivel de actividad física alto</v>
      </c>
      <c r="CM138" s="44" t="str">
        <f t="shared" si="30"/>
        <v>Nivel de actividad física moderado</v>
      </c>
      <c r="CN138" s="45" t="str">
        <f t="shared" si="31"/>
        <v>Nivel de actividad física alto</v>
      </c>
      <c r="CO138" s="35">
        <v>23.0</v>
      </c>
      <c r="CP138" s="35">
        <v>40.0</v>
      </c>
      <c r="CQ138" s="44">
        <f t="shared" si="32"/>
        <v>2</v>
      </c>
      <c r="CR138" s="35">
        <v>7.0</v>
      </c>
      <c r="CS138" s="35">
        <v>0.0</v>
      </c>
      <c r="CT138" s="35">
        <v>8.0</v>
      </c>
      <c r="CU138" s="35">
        <v>5.0</v>
      </c>
      <c r="CV138" s="35">
        <v>3.0</v>
      </c>
      <c r="CW138" s="35">
        <v>3.0</v>
      </c>
      <c r="CX138" s="35">
        <v>3.0</v>
      </c>
      <c r="CY138" s="35">
        <v>0.0</v>
      </c>
      <c r="CZ138" s="35">
        <v>0.0</v>
      </c>
      <c r="DA138" s="35">
        <v>3.0</v>
      </c>
      <c r="DB138" s="35">
        <v>3.0</v>
      </c>
      <c r="DC138" s="35">
        <v>0.0</v>
      </c>
      <c r="DD138" s="35">
        <v>3.0</v>
      </c>
      <c r="DE138" s="35">
        <v>0.0</v>
      </c>
      <c r="DF138" s="35" t="s">
        <v>391</v>
      </c>
      <c r="DG138" s="53">
        <f t="shared" si="55"/>
        <v>15</v>
      </c>
      <c r="DH138" s="35">
        <v>2.0</v>
      </c>
      <c r="DI138" s="35">
        <v>1.0</v>
      </c>
      <c r="DJ138" s="35">
        <v>3.0</v>
      </c>
      <c r="DK138" s="35">
        <v>3.0</v>
      </c>
      <c r="DL138" s="46">
        <f t="shared" si="34"/>
        <v>62.5</v>
      </c>
      <c r="DM138" s="44">
        <f t="shared" si="35"/>
        <v>2</v>
      </c>
      <c r="DN138" s="44">
        <f t="shared" si="36"/>
        <v>2</v>
      </c>
      <c r="DO138" s="44">
        <f t="shared" si="37"/>
        <v>3</v>
      </c>
      <c r="DP138" s="44">
        <f t="shared" si="38"/>
        <v>3</v>
      </c>
      <c r="DQ138" s="44">
        <f t="shared" si="39"/>
        <v>3</v>
      </c>
      <c r="DR138" s="44">
        <f t="shared" ref="DR138:DS138" si="201">(DH138)</f>
        <v>2</v>
      </c>
      <c r="DS138" s="44">
        <f t="shared" si="201"/>
        <v>1</v>
      </c>
      <c r="DT138" s="44">
        <f t="shared" si="41"/>
        <v>16</v>
      </c>
      <c r="DU138" s="44" t="str">
        <f t="shared" si="42"/>
        <v>poor sleep quality</v>
      </c>
      <c r="DV138" s="35">
        <v>1.0</v>
      </c>
      <c r="DW138" s="35" t="s">
        <v>496</v>
      </c>
      <c r="DX138" s="35" t="s">
        <v>207</v>
      </c>
      <c r="DY138" s="35">
        <v>1.0</v>
      </c>
      <c r="DZ138" s="35" t="s">
        <v>131</v>
      </c>
      <c r="EA138" s="35" t="s">
        <v>162</v>
      </c>
      <c r="EB138" s="35" t="s">
        <v>248</v>
      </c>
      <c r="EC138" s="36" t="s">
        <v>133</v>
      </c>
      <c r="ED138" s="35" t="s">
        <v>132</v>
      </c>
      <c r="EE138" s="35" t="s">
        <v>151</v>
      </c>
      <c r="EF138" s="35">
        <f t="shared" si="196"/>
        <v>873</v>
      </c>
      <c r="EG138" s="35">
        <f t="shared" si="197"/>
        <v>683</v>
      </c>
      <c r="EH138" s="47">
        <f t="shared" si="24"/>
        <v>25.39021852</v>
      </c>
    </row>
    <row r="139" ht="15.75" customHeight="1">
      <c r="A139" s="43" t="s">
        <v>497</v>
      </c>
      <c r="B139" s="36" t="s">
        <v>175</v>
      </c>
      <c r="C139" s="37">
        <v>45257.0</v>
      </c>
      <c r="D139" s="48">
        <v>52.0</v>
      </c>
      <c r="E139" s="35" t="s">
        <v>130</v>
      </c>
      <c r="F139" s="35">
        <v>175.0</v>
      </c>
      <c r="G139" s="35">
        <v>87.0</v>
      </c>
      <c r="H139" s="40" t="s">
        <v>131</v>
      </c>
      <c r="I139" s="35">
        <v>3.0</v>
      </c>
      <c r="J139" s="41">
        <v>44228.0</v>
      </c>
      <c r="K139" s="35" t="s">
        <v>131</v>
      </c>
      <c r="L139" s="35">
        <v>1.0</v>
      </c>
      <c r="M139" s="41">
        <v>44342.0</v>
      </c>
      <c r="N139" s="35">
        <v>0.0</v>
      </c>
      <c r="O139" s="41">
        <v>44228.0</v>
      </c>
      <c r="P139" s="35" t="s">
        <v>132</v>
      </c>
      <c r="Q139" s="36" t="s">
        <v>133</v>
      </c>
      <c r="R139" s="36" t="s">
        <v>133</v>
      </c>
      <c r="S139" s="36" t="s">
        <v>133</v>
      </c>
      <c r="T139" s="36" t="s">
        <v>133</v>
      </c>
      <c r="U139" s="36" t="s">
        <v>133</v>
      </c>
      <c r="V139" s="36" t="str">
        <f t="shared" si="178"/>
        <v>Paciente ambulatorio</v>
      </c>
      <c r="W139" s="35" t="s">
        <v>176</v>
      </c>
      <c r="X139" s="35" t="s">
        <v>132</v>
      </c>
      <c r="Y139" s="35">
        <v>1.0</v>
      </c>
      <c r="Z139" s="35">
        <v>1.0</v>
      </c>
      <c r="AA139" s="35">
        <v>3.0</v>
      </c>
      <c r="AB139" s="35">
        <v>3.0</v>
      </c>
      <c r="AC139" s="35">
        <v>1.0</v>
      </c>
      <c r="AD139" s="35">
        <v>1.0</v>
      </c>
      <c r="AE139" s="35">
        <v>1.0</v>
      </c>
      <c r="AF139" s="35">
        <v>1.0</v>
      </c>
      <c r="AG139" s="35">
        <v>3.0</v>
      </c>
      <c r="AH139" s="35">
        <v>3.0</v>
      </c>
      <c r="AI139" s="35">
        <v>1.0</v>
      </c>
      <c r="AJ139" s="35">
        <v>1.0</v>
      </c>
      <c r="AK139" s="36" t="s">
        <v>133</v>
      </c>
      <c r="AL139" s="40" t="s">
        <v>131</v>
      </c>
      <c r="AM139" s="35" t="s">
        <v>132</v>
      </c>
      <c r="AN139" s="35" t="s">
        <v>132</v>
      </c>
      <c r="AO139" s="35" t="s">
        <v>132</v>
      </c>
      <c r="AP139" s="35" t="s">
        <v>132</v>
      </c>
      <c r="AQ139" s="35" t="s">
        <v>132</v>
      </c>
      <c r="AR139" s="35" t="s">
        <v>132</v>
      </c>
      <c r="AS139" s="35" t="s">
        <v>131</v>
      </c>
      <c r="AT139" s="35" t="s">
        <v>132</v>
      </c>
      <c r="AU139" s="35" t="s">
        <v>132</v>
      </c>
      <c r="AV139" s="35" t="s">
        <v>131</v>
      </c>
      <c r="AW139" s="72" t="s">
        <v>498</v>
      </c>
      <c r="AX139" s="35" t="s">
        <v>165</v>
      </c>
      <c r="AY139" s="36" t="s">
        <v>133</v>
      </c>
      <c r="AZ139" s="36" t="s">
        <v>133</v>
      </c>
      <c r="BA139" s="72">
        <v>20.0</v>
      </c>
      <c r="BB139" s="35" t="s">
        <v>145</v>
      </c>
      <c r="BC139" s="36" t="s">
        <v>133</v>
      </c>
      <c r="BD139" s="40">
        <v>1.0</v>
      </c>
      <c r="BE139" s="35">
        <v>2.0</v>
      </c>
      <c r="BF139" s="35">
        <v>2.0</v>
      </c>
      <c r="BG139" s="35">
        <v>2.0</v>
      </c>
      <c r="BH139" s="35">
        <v>3.0</v>
      </c>
      <c r="BI139" s="44" t="str">
        <f t="shared" si="168"/>
        <v>12223</v>
      </c>
      <c r="BJ139" s="35">
        <v>70.0</v>
      </c>
      <c r="BK139" s="35">
        <v>2.0</v>
      </c>
      <c r="BL139" s="35">
        <v>3.0</v>
      </c>
      <c r="BM139" s="35">
        <v>1.0</v>
      </c>
      <c r="BN139" s="35">
        <v>2.0</v>
      </c>
      <c r="BO139" s="35">
        <v>3.0</v>
      </c>
      <c r="BP139" s="35">
        <v>5.0</v>
      </c>
      <c r="BQ139" s="35">
        <v>2.0</v>
      </c>
      <c r="BR139" s="35">
        <v>2.0</v>
      </c>
      <c r="BS139" s="35">
        <v>5.0</v>
      </c>
      <c r="BT139" s="35">
        <v>2.0</v>
      </c>
      <c r="BU139" s="44">
        <f t="shared" si="181"/>
        <v>4</v>
      </c>
      <c r="BV139" s="44">
        <f t="shared" si="182"/>
        <v>4</v>
      </c>
      <c r="BW139" s="44">
        <f t="shared" si="183"/>
        <v>29</v>
      </c>
      <c r="BX139" s="44" t="str">
        <f t="shared" si="184"/>
        <v>FATIGA</v>
      </c>
      <c r="BY139" s="35">
        <v>0.0</v>
      </c>
      <c r="BZ139" s="35">
        <v>0.0</v>
      </c>
      <c r="CA139" s="35">
        <v>0.0</v>
      </c>
      <c r="CB139" s="35">
        <v>0.0</v>
      </c>
      <c r="CC139" s="35">
        <v>0.0</v>
      </c>
      <c r="CD139" s="35">
        <v>0.0</v>
      </c>
      <c r="CE139" s="35">
        <v>5.0</v>
      </c>
      <c r="CF139" s="35">
        <v>0.0</v>
      </c>
      <c r="CG139" s="35">
        <v>30.0</v>
      </c>
      <c r="CH139" s="35">
        <v>4.0</v>
      </c>
      <c r="CI139" s="35">
        <v>0.0</v>
      </c>
      <c r="CJ139" s="44">
        <f t="shared" si="174"/>
        <v>495</v>
      </c>
      <c r="CK139" s="44">
        <f t="shared" si="28"/>
        <v>5</v>
      </c>
      <c r="CL139" s="44" t="b">
        <f t="shared" si="29"/>
        <v>0</v>
      </c>
      <c r="CM139" s="44" t="b">
        <f t="shared" si="30"/>
        <v>0</v>
      </c>
      <c r="CN139" s="45" t="str">
        <f t="shared" si="31"/>
        <v>Nivel de actividad física bajo</v>
      </c>
      <c r="CO139" s="35">
        <v>23.0</v>
      </c>
      <c r="CP139" s="35">
        <v>10.0</v>
      </c>
      <c r="CQ139" s="44">
        <f t="shared" si="32"/>
        <v>0</v>
      </c>
      <c r="CR139" s="35">
        <v>6.0</v>
      </c>
      <c r="CS139" s="35">
        <v>0.0</v>
      </c>
      <c r="CT139" s="35">
        <v>7.0</v>
      </c>
      <c r="CU139" s="35">
        <v>7.0</v>
      </c>
      <c r="CV139" s="35">
        <v>0.0</v>
      </c>
      <c r="CW139" s="35">
        <v>0.0</v>
      </c>
      <c r="CX139" s="35">
        <v>0.0</v>
      </c>
      <c r="CY139" s="35">
        <v>0.0</v>
      </c>
      <c r="CZ139" s="35">
        <v>0.0</v>
      </c>
      <c r="DA139" s="35">
        <v>0.0</v>
      </c>
      <c r="DB139" s="35">
        <v>0.0</v>
      </c>
      <c r="DC139" s="35">
        <v>0.0</v>
      </c>
      <c r="DD139" s="35">
        <v>3.0</v>
      </c>
      <c r="DE139" s="72">
        <v>0.0</v>
      </c>
      <c r="DF139" s="36" t="s">
        <v>133</v>
      </c>
      <c r="DG139" s="53">
        <f t="shared" si="55"/>
        <v>3</v>
      </c>
      <c r="DH139" s="35">
        <v>0.0</v>
      </c>
      <c r="DI139" s="35">
        <v>0.0</v>
      </c>
      <c r="DJ139" s="35">
        <v>3.0</v>
      </c>
      <c r="DK139" s="35">
        <v>3.0</v>
      </c>
      <c r="DL139" s="46">
        <f t="shared" si="34"/>
        <v>100</v>
      </c>
      <c r="DM139" s="44">
        <f t="shared" si="35"/>
        <v>0</v>
      </c>
      <c r="DN139" s="44">
        <f t="shared" si="36"/>
        <v>1</v>
      </c>
      <c r="DO139" s="44">
        <f t="shared" si="37"/>
        <v>0</v>
      </c>
      <c r="DP139" s="44">
        <f t="shared" si="38"/>
        <v>3</v>
      </c>
      <c r="DQ139" s="44">
        <f t="shared" si="39"/>
        <v>0</v>
      </c>
      <c r="DR139" s="44">
        <f t="shared" ref="DR139:DS139" si="202">(DH139)</f>
        <v>0</v>
      </c>
      <c r="DS139" s="44">
        <f t="shared" si="202"/>
        <v>0</v>
      </c>
      <c r="DT139" s="44">
        <f t="shared" si="41"/>
        <v>4</v>
      </c>
      <c r="DU139" s="44" t="str">
        <f t="shared" si="42"/>
        <v>good sleep quality</v>
      </c>
      <c r="DV139" s="35">
        <v>3.0</v>
      </c>
      <c r="DW139" s="35" t="s">
        <v>499</v>
      </c>
      <c r="DX139" s="35" t="s">
        <v>213</v>
      </c>
      <c r="DY139" s="35">
        <v>1.0</v>
      </c>
      <c r="DZ139" s="35" t="s">
        <v>131</v>
      </c>
      <c r="EA139" s="35" t="s">
        <v>162</v>
      </c>
      <c r="EB139" s="35" t="s">
        <v>139</v>
      </c>
      <c r="EC139" s="36" t="s">
        <v>133</v>
      </c>
      <c r="ED139" s="36" t="s">
        <v>133</v>
      </c>
      <c r="EE139" s="35" t="s">
        <v>141</v>
      </c>
      <c r="EF139" s="35">
        <f t="shared" si="196"/>
        <v>915</v>
      </c>
      <c r="EG139" s="35">
        <f t="shared" si="197"/>
        <v>1029</v>
      </c>
      <c r="EH139" s="47">
        <f t="shared" si="24"/>
        <v>28.40816327</v>
      </c>
    </row>
    <row r="140" ht="15.75" customHeight="1">
      <c r="A140" s="43" t="s">
        <v>500</v>
      </c>
      <c r="B140" s="36" t="s">
        <v>175</v>
      </c>
      <c r="C140" s="37">
        <v>45458.0</v>
      </c>
      <c r="D140" s="48">
        <v>41.0</v>
      </c>
      <c r="E140" s="35" t="s">
        <v>130</v>
      </c>
      <c r="F140" s="35">
        <v>168.0</v>
      </c>
      <c r="G140" s="35">
        <v>95.0</v>
      </c>
      <c r="H140" s="40" t="s">
        <v>131</v>
      </c>
      <c r="I140" s="35">
        <v>2.0</v>
      </c>
      <c r="J140" s="55" t="s">
        <v>133</v>
      </c>
      <c r="K140" s="35" t="s">
        <v>131</v>
      </c>
      <c r="L140" s="35">
        <v>1.0</v>
      </c>
      <c r="M140" s="41">
        <v>44574.0</v>
      </c>
      <c r="N140" s="35" t="s">
        <v>133</v>
      </c>
      <c r="O140" s="41" t="s">
        <v>133</v>
      </c>
      <c r="P140" s="35" t="s">
        <v>132</v>
      </c>
      <c r="Q140" s="36" t="s">
        <v>133</v>
      </c>
      <c r="R140" s="36" t="s">
        <v>133</v>
      </c>
      <c r="S140" s="36" t="s">
        <v>133</v>
      </c>
      <c r="T140" s="36" t="s">
        <v>133</v>
      </c>
      <c r="U140" s="36" t="s">
        <v>133</v>
      </c>
      <c r="V140" s="36" t="str">
        <f t="shared" si="178"/>
        <v>Paciente ambulatorio</v>
      </c>
      <c r="W140" s="35" t="s">
        <v>183</v>
      </c>
      <c r="X140" s="35" t="s">
        <v>132</v>
      </c>
      <c r="Y140" s="35">
        <v>2.0</v>
      </c>
      <c r="Z140" s="35">
        <v>2.0</v>
      </c>
      <c r="AA140" s="35">
        <v>2.0</v>
      </c>
      <c r="AB140" s="35">
        <v>2.0</v>
      </c>
      <c r="AC140" s="35">
        <v>2.0</v>
      </c>
      <c r="AD140" s="35">
        <v>1.0</v>
      </c>
      <c r="AE140" s="35">
        <v>2.0</v>
      </c>
      <c r="AF140" s="35">
        <v>1.0</v>
      </c>
      <c r="AG140" s="35">
        <v>1.0</v>
      </c>
      <c r="AH140" s="35">
        <v>3.0</v>
      </c>
      <c r="AI140" s="35">
        <v>1.0</v>
      </c>
      <c r="AJ140" s="35">
        <v>1.0</v>
      </c>
      <c r="AK140" s="35" t="s">
        <v>501</v>
      </c>
      <c r="AL140" s="36" t="s">
        <v>133</v>
      </c>
      <c r="AM140" s="36" t="s">
        <v>133</v>
      </c>
      <c r="AN140" s="36" t="s">
        <v>133</v>
      </c>
      <c r="AO140" s="36" t="s">
        <v>133</v>
      </c>
      <c r="AP140" s="36" t="s">
        <v>133</v>
      </c>
      <c r="AQ140" s="36" t="s">
        <v>133</v>
      </c>
      <c r="AR140" s="36" t="s">
        <v>133</v>
      </c>
      <c r="AS140" s="36" t="s">
        <v>133</v>
      </c>
      <c r="AT140" s="36" t="s">
        <v>133</v>
      </c>
      <c r="AU140" s="36" t="s">
        <v>133</v>
      </c>
      <c r="AV140" s="36" t="s">
        <v>133</v>
      </c>
      <c r="AW140" s="36" t="s">
        <v>133</v>
      </c>
      <c r="AX140" s="36" t="s">
        <v>133</v>
      </c>
      <c r="AY140" s="36" t="s">
        <v>133</v>
      </c>
      <c r="AZ140" s="36" t="s">
        <v>133</v>
      </c>
      <c r="BA140" s="36" t="s">
        <v>133</v>
      </c>
      <c r="BB140" s="36" t="s">
        <v>133</v>
      </c>
      <c r="BC140" s="36" t="s">
        <v>133</v>
      </c>
      <c r="BD140" s="36" t="s">
        <v>133</v>
      </c>
      <c r="BE140" s="36" t="s">
        <v>133</v>
      </c>
      <c r="BF140" s="36" t="s">
        <v>133</v>
      </c>
      <c r="BG140" s="36" t="s">
        <v>133</v>
      </c>
      <c r="BH140" s="36" t="s">
        <v>133</v>
      </c>
      <c r="BI140" s="36" t="s">
        <v>133</v>
      </c>
      <c r="BJ140" s="35">
        <v>65.0</v>
      </c>
      <c r="BK140" s="35">
        <v>3.0</v>
      </c>
      <c r="BL140" s="35">
        <v>2.0</v>
      </c>
      <c r="BM140" s="35">
        <v>3.0</v>
      </c>
      <c r="BN140" s="35">
        <v>2.0</v>
      </c>
      <c r="BO140" s="35">
        <v>3.0</v>
      </c>
      <c r="BP140" s="35">
        <v>3.0</v>
      </c>
      <c r="BQ140" s="35">
        <v>5.0</v>
      </c>
      <c r="BR140" s="35">
        <v>3.0</v>
      </c>
      <c r="BS140" s="35">
        <v>4.0</v>
      </c>
      <c r="BT140" s="35">
        <v>2.0</v>
      </c>
      <c r="BU140" s="44">
        <f t="shared" si="181"/>
        <v>4</v>
      </c>
      <c r="BV140" s="44">
        <f t="shared" si="182"/>
        <v>4</v>
      </c>
      <c r="BW140" s="44">
        <f t="shared" si="183"/>
        <v>32</v>
      </c>
      <c r="BX140" s="44" t="str">
        <f t="shared" si="184"/>
        <v>FATIGA</v>
      </c>
      <c r="BY140" s="36" t="s">
        <v>133</v>
      </c>
      <c r="BZ140" s="36" t="s">
        <v>133</v>
      </c>
      <c r="CA140" s="36" t="s">
        <v>133</v>
      </c>
      <c r="CB140" s="36" t="s">
        <v>133</v>
      </c>
      <c r="CC140" s="36" t="s">
        <v>133</v>
      </c>
      <c r="CD140" s="36" t="s">
        <v>133</v>
      </c>
      <c r="CE140" s="36" t="s">
        <v>133</v>
      </c>
      <c r="CF140" s="36" t="s">
        <v>133</v>
      </c>
      <c r="CG140" s="36" t="s">
        <v>133</v>
      </c>
      <c r="CH140" s="36" t="s">
        <v>133</v>
      </c>
      <c r="CI140" s="36" t="s">
        <v>133</v>
      </c>
      <c r="CJ140" s="36" t="s">
        <v>133</v>
      </c>
      <c r="CK140" s="36" t="s">
        <v>133</v>
      </c>
      <c r="CL140" s="36" t="s">
        <v>133</v>
      </c>
      <c r="CM140" s="36" t="s">
        <v>133</v>
      </c>
      <c r="CN140" s="36" t="s">
        <v>133</v>
      </c>
      <c r="CO140" s="35">
        <v>0.0</v>
      </c>
      <c r="CP140" s="35">
        <v>30.0</v>
      </c>
      <c r="CQ140" s="44">
        <f t="shared" si="32"/>
        <v>1</v>
      </c>
      <c r="CR140" s="35">
        <v>8.0</v>
      </c>
      <c r="CS140" s="35">
        <v>0.0</v>
      </c>
      <c r="CT140" s="35">
        <v>8.0</v>
      </c>
      <c r="CU140" s="35">
        <v>4.0</v>
      </c>
      <c r="CV140" s="35">
        <v>0.0</v>
      </c>
      <c r="CW140" s="35">
        <v>3.0</v>
      </c>
      <c r="CX140" s="35">
        <v>0.0</v>
      </c>
      <c r="CY140" s="35">
        <v>0.0</v>
      </c>
      <c r="CZ140" s="35">
        <v>0.0</v>
      </c>
      <c r="DA140" s="35">
        <v>1.0</v>
      </c>
      <c r="DB140" s="35">
        <v>0.0</v>
      </c>
      <c r="DC140" s="35">
        <v>1.0</v>
      </c>
      <c r="DD140" s="35">
        <v>0.0</v>
      </c>
      <c r="DE140" s="35">
        <v>2.0</v>
      </c>
      <c r="DF140" s="35" t="s">
        <v>502</v>
      </c>
      <c r="DG140" s="53">
        <f t="shared" si="55"/>
        <v>7</v>
      </c>
      <c r="DH140" s="35">
        <v>2.0</v>
      </c>
      <c r="DI140" s="35">
        <v>0.0</v>
      </c>
      <c r="DJ140" s="35">
        <v>3.0</v>
      </c>
      <c r="DK140" s="35">
        <v>3.0</v>
      </c>
      <c r="DL140" s="46">
        <f t="shared" si="34"/>
        <v>50</v>
      </c>
      <c r="DM140" s="44">
        <f t="shared" si="35"/>
        <v>3</v>
      </c>
      <c r="DN140" s="44">
        <f t="shared" si="36"/>
        <v>1</v>
      </c>
      <c r="DO140" s="44">
        <f t="shared" si="37"/>
        <v>1</v>
      </c>
      <c r="DP140" s="44">
        <f t="shared" si="38"/>
        <v>3</v>
      </c>
      <c r="DQ140" s="44">
        <f t="shared" si="39"/>
        <v>3</v>
      </c>
      <c r="DR140" s="44">
        <f t="shared" ref="DR140:DS140" si="203">(DH140)</f>
        <v>2</v>
      </c>
      <c r="DS140" s="44">
        <f t="shared" si="203"/>
        <v>0</v>
      </c>
      <c r="DT140" s="44">
        <f t="shared" si="41"/>
        <v>13</v>
      </c>
      <c r="DU140" s="44" t="str">
        <f t="shared" si="42"/>
        <v>poor sleep quality</v>
      </c>
      <c r="DV140" s="36" t="s">
        <v>133</v>
      </c>
      <c r="DW140" s="36" t="s">
        <v>133</v>
      </c>
      <c r="DX140" s="36" t="s">
        <v>133</v>
      </c>
      <c r="DY140" s="36" t="s">
        <v>133</v>
      </c>
      <c r="DZ140" s="36" t="s">
        <v>133</v>
      </c>
      <c r="EA140" s="36" t="s">
        <v>133</v>
      </c>
      <c r="EB140" s="36" t="s">
        <v>133</v>
      </c>
      <c r="EC140" s="36" t="s">
        <v>133</v>
      </c>
      <c r="ED140" s="36" t="s">
        <v>133</v>
      </c>
      <c r="EE140" s="36" t="s">
        <v>133</v>
      </c>
      <c r="EF140" s="35">
        <f t="shared" si="196"/>
        <v>884</v>
      </c>
      <c r="EG140" s="36" t="s">
        <v>133</v>
      </c>
      <c r="EH140" s="47">
        <f t="shared" si="24"/>
        <v>33.65929705</v>
      </c>
    </row>
    <row r="141" ht="15.75" customHeight="1">
      <c r="A141" s="43" t="s">
        <v>503</v>
      </c>
      <c r="B141" s="36" t="s">
        <v>175</v>
      </c>
      <c r="C141" s="63">
        <v>45458.0</v>
      </c>
      <c r="D141" s="64">
        <v>42.0</v>
      </c>
      <c r="E141" s="57" t="s">
        <v>153</v>
      </c>
      <c r="F141" s="57">
        <v>173.0</v>
      </c>
      <c r="G141" s="57">
        <v>75.0</v>
      </c>
      <c r="H141" s="59" t="s">
        <v>131</v>
      </c>
      <c r="I141" s="57">
        <v>2.0</v>
      </c>
      <c r="J141" s="42" t="s">
        <v>133</v>
      </c>
      <c r="K141" s="57" t="s">
        <v>131</v>
      </c>
      <c r="L141" s="57">
        <v>2.0</v>
      </c>
      <c r="M141" s="55">
        <v>44075.0</v>
      </c>
      <c r="N141" s="57">
        <v>0.0</v>
      </c>
      <c r="O141" s="41">
        <v>44562.0</v>
      </c>
      <c r="P141" s="57" t="s">
        <v>132</v>
      </c>
      <c r="Q141" s="36" t="s">
        <v>133</v>
      </c>
      <c r="R141" s="36" t="s">
        <v>133</v>
      </c>
      <c r="S141" s="36" t="s">
        <v>133</v>
      </c>
      <c r="T141" s="36" t="s">
        <v>133</v>
      </c>
      <c r="U141" s="36" t="s">
        <v>133</v>
      </c>
      <c r="V141" s="36" t="str">
        <f t="shared" si="178"/>
        <v>Paciente ambulatorio</v>
      </c>
      <c r="W141" s="57" t="s">
        <v>176</v>
      </c>
      <c r="X141" s="57" t="s">
        <v>132</v>
      </c>
      <c r="Y141" s="57">
        <v>1.0</v>
      </c>
      <c r="Z141" s="57">
        <v>1.0</v>
      </c>
      <c r="AA141" s="57">
        <v>1.0</v>
      </c>
      <c r="AB141" s="57">
        <v>2.0</v>
      </c>
      <c r="AC141" s="57">
        <v>1.0</v>
      </c>
      <c r="AD141" s="57">
        <v>1.0</v>
      </c>
      <c r="AE141" s="57">
        <v>1.0</v>
      </c>
      <c r="AF141" s="57">
        <v>1.0</v>
      </c>
      <c r="AG141" s="57">
        <v>3.0</v>
      </c>
      <c r="AH141" s="57">
        <v>3.0</v>
      </c>
      <c r="AI141" s="57">
        <v>1.0</v>
      </c>
      <c r="AJ141" s="57">
        <v>1.0</v>
      </c>
      <c r="AK141" s="65" t="s">
        <v>504</v>
      </c>
      <c r="AL141" s="57" t="s">
        <v>132</v>
      </c>
      <c r="AM141" s="57" t="s">
        <v>132</v>
      </c>
      <c r="AN141" s="57" t="s">
        <v>132</v>
      </c>
      <c r="AO141" s="57" t="s">
        <v>132</v>
      </c>
      <c r="AP141" s="57" t="s">
        <v>132</v>
      </c>
      <c r="AQ141" s="57" t="s">
        <v>132</v>
      </c>
      <c r="AR141" s="57" t="s">
        <v>132</v>
      </c>
      <c r="AS141" s="57" t="s">
        <v>132</v>
      </c>
      <c r="AT141" s="57" t="s">
        <v>132</v>
      </c>
      <c r="AU141" s="57" t="s">
        <v>132</v>
      </c>
      <c r="AV141" s="57" t="s">
        <v>131</v>
      </c>
      <c r="AW141" s="57" t="s">
        <v>505</v>
      </c>
      <c r="AX141" s="57" t="s">
        <v>132</v>
      </c>
      <c r="AY141" s="36" t="s">
        <v>133</v>
      </c>
      <c r="AZ141" s="36" t="s">
        <v>133</v>
      </c>
      <c r="BA141" s="36" t="s">
        <v>133</v>
      </c>
      <c r="BB141" s="57" t="s">
        <v>145</v>
      </c>
      <c r="BC141" s="36" t="s">
        <v>133</v>
      </c>
      <c r="BD141" s="57">
        <v>2.0</v>
      </c>
      <c r="BE141" s="57">
        <v>1.0</v>
      </c>
      <c r="BF141" s="57">
        <v>1.0</v>
      </c>
      <c r="BG141" s="57">
        <v>3.0</v>
      </c>
      <c r="BH141" s="57">
        <v>2.0</v>
      </c>
      <c r="BI141" s="44" t="str">
        <f t="shared" ref="BI141:BI217" si="205">CONCATENATE(BD141:BH141)</f>
        <v>21132</v>
      </c>
      <c r="BJ141" s="57">
        <v>70.0</v>
      </c>
      <c r="BK141" s="57">
        <v>3.0</v>
      </c>
      <c r="BL141" s="57">
        <v>3.0</v>
      </c>
      <c r="BM141" s="57">
        <v>1.0</v>
      </c>
      <c r="BN141" s="57">
        <v>2.0</v>
      </c>
      <c r="BO141" s="57">
        <v>3.0</v>
      </c>
      <c r="BP141" s="57">
        <v>2.0</v>
      </c>
      <c r="BQ141" s="57">
        <v>2.0</v>
      </c>
      <c r="BR141" s="57">
        <v>2.0</v>
      </c>
      <c r="BS141" s="57">
        <v>4.0</v>
      </c>
      <c r="BT141" s="57">
        <v>2.0</v>
      </c>
      <c r="BU141" s="44">
        <f t="shared" si="181"/>
        <v>4</v>
      </c>
      <c r="BV141" s="44">
        <f t="shared" si="182"/>
        <v>4</v>
      </c>
      <c r="BW141" s="44">
        <f t="shared" si="183"/>
        <v>26</v>
      </c>
      <c r="BX141" s="44" t="str">
        <f t="shared" si="184"/>
        <v>FATIGA</v>
      </c>
      <c r="BY141" s="57">
        <v>3.0</v>
      </c>
      <c r="BZ141" s="57">
        <v>1.0</v>
      </c>
      <c r="CA141" s="57">
        <v>0.0</v>
      </c>
      <c r="CB141" s="57">
        <v>0.0</v>
      </c>
      <c r="CC141" s="57">
        <v>0.0</v>
      </c>
      <c r="CD141" s="57">
        <v>0.0</v>
      </c>
      <c r="CE141" s="57">
        <v>7.0</v>
      </c>
      <c r="CF141" s="50">
        <v>0.0</v>
      </c>
      <c r="CG141" s="57">
        <v>30.0</v>
      </c>
      <c r="CH141" s="57">
        <v>1.0</v>
      </c>
      <c r="CI141" s="36" t="s">
        <v>133</v>
      </c>
      <c r="CJ141" s="44" t="s">
        <v>133</v>
      </c>
      <c r="CK141" s="44">
        <f t="shared" ref="CK141:CK217" si="206">(BY141+CB141+CE141)</f>
        <v>10</v>
      </c>
      <c r="CL141" s="44" t="str">
        <f t="shared" ref="CL141:CL217" si="207">IF(CJ141&gt;3000,IF(CK141&gt;6,"Nivel de actividad física alto"),IF(CJ141&gt;1500,IF(BY141&gt;2,"Nivel de actividad física alto")))</f>
        <v>Nivel de actividad física alto</v>
      </c>
      <c r="CM141" s="44" t="str">
        <f t="shared" ref="CM141:CM217" si="208">IF(BY141&gt;2,(IF(BZ141*60+CA141&gt;25,"Nivel de actividad física moderado")),IF(CB141+CE141&gt;5,IF(CC141*60+CD141+CF141*60+CG141&gt;30,"Nivel de actividad física moderado"),IF(CJ141&gt;600,(IF(CK141&gt;5,"Nivel de actividad física moderado")))))</f>
        <v>Nivel de actividad física moderado</v>
      </c>
      <c r="CN141" s="45" t="str">
        <f t="shared" ref="CN141:CN217" si="209">IF(CL141="Nivel de actividad física alto","Nivel de actividad física alto",IF(CM141="Nivel de actividad física moderado","Nivel de actividad física moderado","Nivel de actividad física bajo"))</f>
        <v>Nivel de actividad física alto</v>
      </c>
      <c r="CO141" s="69">
        <v>0.020833333333333332</v>
      </c>
      <c r="CP141" s="57">
        <v>30.0</v>
      </c>
      <c r="CQ141" s="44">
        <f t="shared" si="32"/>
        <v>1</v>
      </c>
      <c r="CR141" s="57">
        <v>8.0</v>
      </c>
      <c r="CS141" s="57">
        <v>0.0</v>
      </c>
      <c r="CT141" s="57">
        <v>7.5</v>
      </c>
      <c r="CU141" s="57">
        <v>6.0</v>
      </c>
      <c r="CV141" s="57">
        <v>3.0</v>
      </c>
      <c r="CW141" s="57">
        <v>2.0</v>
      </c>
      <c r="CX141" s="57">
        <v>0.0</v>
      </c>
      <c r="CY141" s="57">
        <v>1.0</v>
      </c>
      <c r="CZ141" s="57">
        <v>2.0</v>
      </c>
      <c r="DA141" s="57">
        <v>1.0</v>
      </c>
      <c r="DB141" s="57">
        <v>1.0</v>
      </c>
      <c r="DC141" s="57">
        <v>0.0</v>
      </c>
      <c r="DD141" s="57">
        <v>1.0</v>
      </c>
      <c r="DE141" s="57">
        <v>0.0</v>
      </c>
      <c r="DF141" s="36" t="s">
        <v>133</v>
      </c>
      <c r="DG141" s="53">
        <f t="shared" si="55"/>
        <v>8</v>
      </c>
      <c r="DH141" s="57">
        <v>2.0</v>
      </c>
      <c r="DI141" s="57">
        <v>0.0</v>
      </c>
      <c r="DJ141" s="57">
        <v>3.0</v>
      </c>
      <c r="DK141" s="57">
        <v>3.0</v>
      </c>
      <c r="DL141" s="46">
        <f t="shared" si="34"/>
        <v>80</v>
      </c>
      <c r="DM141" s="44">
        <f t="shared" si="35"/>
        <v>1</v>
      </c>
      <c r="DN141" s="44">
        <f t="shared" si="36"/>
        <v>1</v>
      </c>
      <c r="DO141" s="44">
        <f t="shared" si="37"/>
        <v>2</v>
      </c>
      <c r="DP141" s="44">
        <f t="shared" si="38"/>
        <v>3</v>
      </c>
      <c r="DQ141" s="44">
        <f t="shared" si="39"/>
        <v>1</v>
      </c>
      <c r="DR141" s="44">
        <f t="shared" ref="DR141:DS141" si="204">(DH141)</f>
        <v>2</v>
      </c>
      <c r="DS141" s="44">
        <f t="shared" si="204"/>
        <v>0</v>
      </c>
      <c r="DT141" s="44">
        <f t="shared" si="41"/>
        <v>10</v>
      </c>
      <c r="DU141" s="44" t="str">
        <f t="shared" si="42"/>
        <v>poor sleep quality</v>
      </c>
      <c r="DV141" s="57">
        <v>2.0</v>
      </c>
      <c r="DW141" s="57" t="s">
        <v>489</v>
      </c>
      <c r="DX141" s="57" t="s">
        <v>207</v>
      </c>
      <c r="DY141" s="57">
        <v>1.0</v>
      </c>
      <c r="DZ141" s="57" t="s">
        <v>131</v>
      </c>
      <c r="EA141" s="57" t="s">
        <v>202</v>
      </c>
      <c r="EB141" s="57" t="s">
        <v>172</v>
      </c>
      <c r="EC141" s="36" t="s">
        <v>133</v>
      </c>
      <c r="ED141" s="57" t="s">
        <v>132</v>
      </c>
      <c r="EE141" s="57" t="s">
        <v>151</v>
      </c>
      <c r="EF141" s="35">
        <f t="shared" si="196"/>
        <v>1383</v>
      </c>
      <c r="EG141" s="35">
        <f t="shared" ref="EG141:EG143" si="211">C141-O141</f>
        <v>896</v>
      </c>
      <c r="EH141" s="47">
        <f t="shared" si="24"/>
        <v>25.05930703</v>
      </c>
    </row>
    <row r="142" ht="15.75" customHeight="1">
      <c r="A142" s="43" t="s">
        <v>506</v>
      </c>
      <c r="B142" s="36" t="s">
        <v>175</v>
      </c>
      <c r="C142" s="63">
        <v>45458.0</v>
      </c>
      <c r="D142" s="64">
        <v>44.0</v>
      </c>
      <c r="E142" s="57" t="s">
        <v>130</v>
      </c>
      <c r="F142" s="57">
        <v>159.0</v>
      </c>
      <c r="G142" s="57">
        <v>80.0</v>
      </c>
      <c r="H142" s="59" t="s">
        <v>131</v>
      </c>
      <c r="I142" s="57">
        <v>3.0</v>
      </c>
      <c r="J142" s="55">
        <v>44648.0</v>
      </c>
      <c r="K142" s="57" t="s">
        <v>131</v>
      </c>
      <c r="L142" s="57">
        <v>2.0</v>
      </c>
      <c r="M142" s="55">
        <v>44573.0</v>
      </c>
      <c r="N142" s="57">
        <v>1.0</v>
      </c>
      <c r="O142" s="55">
        <v>45383.0</v>
      </c>
      <c r="P142" s="57" t="s">
        <v>132</v>
      </c>
      <c r="Q142" s="36" t="s">
        <v>133</v>
      </c>
      <c r="R142" s="36" t="s">
        <v>133</v>
      </c>
      <c r="S142" s="36" t="s">
        <v>133</v>
      </c>
      <c r="T142" s="36" t="s">
        <v>133</v>
      </c>
      <c r="U142" s="36" t="s">
        <v>133</v>
      </c>
      <c r="V142" s="36" t="str">
        <f t="shared" si="178"/>
        <v>Paciente ambulatorio</v>
      </c>
      <c r="W142" s="57" t="s">
        <v>176</v>
      </c>
      <c r="X142" s="57" t="s">
        <v>132</v>
      </c>
      <c r="Y142" s="57">
        <v>1.0</v>
      </c>
      <c r="Z142" s="57">
        <v>1.0</v>
      </c>
      <c r="AA142" s="57">
        <v>3.0</v>
      </c>
      <c r="AB142" s="57">
        <v>3.0</v>
      </c>
      <c r="AC142" s="57">
        <v>1.0</v>
      </c>
      <c r="AD142" s="57">
        <v>1.0</v>
      </c>
      <c r="AE142" s="57">
        <v>1.0</v>
      </c>
      <c r="AF142" s="57">
        <v>1.0</v>
      </c>
      <c r="AG142" s="57">
        <v>1.0</v>
      </c>
      <c r="AH142" s="57">
        <v>1.0</v>
      </c>
      <c r="AI142" s="57">
        <v>1.0</v>
      </c>
      <c r="AJ142" s="57">
        <v>1.0</v>
      </c>
      <c r="AK142" s="65" t="s">
        <v>507</v>
      </c>
      <c r="AL142" s="57" t="s">
        <v>132</v>
      </c>
      <c r="AM142" s="57" t="s">
        <v>132</v>
      </c>
      <c r="AN142" s="57" t="s">
        <v>132</v>
      </c>
      <c r="AO142" s="57" t="s">
        <v>132</v>
      </c>
      <c r="AP142" s="57" t="s">
        <v>132</v>
      </c>
      <c r="AQ142" s="57" t="s">
        <v>132</v>
      </c>
      <c r="AR142" s="57" t="s">
        <v>132</v>
      </c>
      <c r="AS142" s="57" t="s">
        <v>131</v>
      </c>
      <c r="AT142" s="57" t="s">
        <v>132</v>
      </c>
      <c r="AU142" s="57" t="s">
        <v>132</v>
      </c>
      <c r="AV142" s="57" t="s">
        <v>131</v>
      </c>
      <c r="AW142" s="57" t="s">
        <v>508</v>
      </c>
      <c r="AX142" s="57" t="s">
        <v>131</v>
      </c>
      <c r="AY142" s="57">
        <v>20.0</v>
      </c>
      <c r="AZ142" s="36" t="s">
        <v>133</v>
      </c>
      <c r="BA142" s="36" t="s">
        <v>133</v>
      </c>
      <c r="BB142" s="57" t="s">
        <v>145</v>
      </c>
      <c r="BC142" s="36" t="s">
        <v>133</v>
      </c>
      <c r="BD142" s="57">
        <v>2.0</v>
      </c>
      <c r="BE142" s="57">
        <v>1.0</v>
      </c>
      <c r="BF142" s="57">
        <v>3.0</v>
      </c>
      <c r="BG142" s="57">
        <v>3.0</v>
      </c>
      <c r="BH142" s="57">
        <v>3.0</v>
      </c>
      <c r="BI142" s="44" t="str">
        <f t="shared" si="205"/>
        <v>21333</v>
      </c>
      <c r="BJ142" s="57">
        <v>60.0</v>
      </c>
      <c r="BK142" s="57">
        <v>3.0</v>
      </c>
      <c r="BL142" s="57">
        <v>2.0</v>
      </c>
      <c r="BM142" s="57">
        <v>3.0</v>
      </c>
      <c r="BN142" s="57">
        <v>2.0</v>
      </c>
      <c r="BO142" s="57">
        <v>2.0</v>
      </c>
      <c r="BP142" s="57">
        <v>3.0</v>
      </c>
      <c r="BQ142" s="57">
        <v>3.0</v>
      </c>
      <c r="BR142" s="57">
        <v>4.0</v>
      </c>
      <c r="BS142" s="57">
        <v>3.0</v>
      </c>
      <c r="BT142" s="57">
        <v>4.0</v>
      </c>
      <c r="BU142" s="44">
        <f t="shared" si="181"/>
        <v>4</v>
      </c>
      <c r="BV142" s="44">
        <f t="shared" si="182"/>
        <v>2</v>
      </c>
      <c r="BW142" s="44">
        <f t="shared" si="183"/>
        <v>29</v>
      </c>
      <c r="BX142" s="44" t="str">
        <f t="shared" si="184"/>
        <v>FATIGA</v>
      </c>
      <c r="BY142" s="57">
        <v>0.0</v>
      </c>
      <c r="BZ142" s="57">
        <v>0.0</v>
      </c>
      <c r="CA142" s="57">
        <v>0.0</v>
      </c>
      <c r="CB142" s="57">
        <v>0.0</v>
      </c>
      <c r="CC142" s="57">
        <v>0.0</v>
      </c>
      <c r="CD142" s="57">
        <v>0.0</v>
      </c>
      <c r="CE142" s="57">
        <v>1.0</v>
      </c>
      <c r="CF142" s="50">
        <v>0.0</v>
      </c>
      <c r="CG142" s="57">
        <v>30.0</v>
      </c>
      <c r="CH142" s="57">
        <v>2.0</v>
      </c>
      <c r="CI142" s="57">
        <v>0.0</v>
      </c>
      <c r="CJ142" s="44" t="s">
        <v>133</v>
      </c>
      <c r="CK142" s="44">
        <f t="shared" si="206"/>
        <v>1</v>
      </c>
      <c r="CL142" s="44" t="b">
        <f t="shared" si="207"/>
        <v>0</v>
      </c>
      <c r="CM142" s="44" t="b">
        <f t="shared" si="208"/>
        <v>0</v>
      </c>
      <c r="CN142" s="45" t="str">
        <f t="shared" si="209"/>
        <v>Nivel de actividad física bajo</v>
      </c>
      <c r="CO142" s="57">
        <v>21.0</v>
      </c>
      <c r="CP142" s="57">
        <v>15.0</v>
      </c>
      <c r="CQ142" s="44">
        <f t="shared" si="32"/>
        <v>0</v>
      </c>
      <c r="CR142" s="57">
        <v>4.0</v>
      </c>
      <c r="CS142" s="57">
        <v>0.0</v>
      </c>
      <c r="CT142" s="57">
        <v>7.0</v>
      </c>
      <c r="CU142" s="57">
        <v>6.0</v>
      </c>
      <c r="CV142" s="57">
        <v>0.0</v>
      </c>
      <c r="CW142" s="57">
        <v>2.0</v>
      </c>
      <c r="CX142" s="57">
        <v>0.0</v>
      </c>
      <c r="CY142" s="57">
        <v>0.0</v>
      </c>
      <c r="CZ142" s="57">
        <v>2.0</v>
      </c>
      <c r="DA142" s="57">
        <v>2.0</v>
      </c>
      <c r="DB142" s="57">
        <v>0.0</v>
      </c>
      <c r="DC142" s="57">
        <v>1.0</v>
      </c>
      <c r="DD142" s="57">
        <v>0.0</v>
      </c>
      <c r="DE142" s="57">
        <v>2.0</v>
      </c>
      <c r="DF142" s="57" t="s">
        <v>509</v>
      </c>
      <c r="DG142" s="53">
        <f t="shared" si="55"/>
        <v>9</v>
      </c>
      <c r="DH142" s="57">
        <v>2.0</v>
      </c>
      <c r="DI142" s="57">
        <v>3.0</v>
      </c>
      <c r="DJ142" s="57">
        <v>3.0</v>
      </c>
      <c r="DK142" s="57">
        <v>3.0</v>
      </c>
      <c r="DL142" s="46">
        <f t="shared" si="34"/>
        <v>85.71428571</v>
      </c>
      <c r="DM142" s="44">
        <f t="shared" si="35"/>
        <v>1</v>
      </c>
      <c r="DN142" s="44">
        <f t="shared" si="36"/>
        <v>1</v>
      </c>
      <c r="DO142" s="44">
        <f t="shared" si="37"/>
        <v>0</v>
      </c>
      <c r="DP142" s="44">
        <f t="shared" si="38"/>
        <v>3</v>
      </c>
      <c r="DQ142" s="44">
        <f t="shared" si="39"/>
        <v>0</v>
      </c>
      <c r="DR142" s="44">
        <f t="shared" ref="DR142:DS142" si="210">(DH142)</f>
        <v>2</v>
      </c>
      <c r="DS142" s="44">
        <f t="shared" si="210"/>
        <v>3</v>
      </c>
      <c r="DT142" s="44">
        <f t="shared" si="41"/>
        <v>10</v>
      </c>
      <c r="DU142" s="44" t="str">
        <f t="shared" si="42"/>
        <v>poor sleep quality</v>
      </c>
      <c r="DV142" s="57">
        <v>3.0</v>
      </c>
      <c r="DW142" s="57" t="s">
        <v>181</v>
      </c>
      <c r="DX142" s="57" t="s">
        <v>146</v>
      </c>
      <c r="DY142" s="57">
        <v>1.0</v>
      </c>
      <c r="DZ142" s="57" t="s">
        <v>131</v>
      </c>
      <c r="EA142" s="57" t="s">
        <v>162</v>
      </c>
      <c r="EB142" s="57" t="s">
        <v>139</v>
      </c>
      <c r="EC142" s="36" t="s">
        <v>133</v>
      </c>
      <c r="ED142" s="57" t="s">
        <v>131</v>
      </c>
      <c r="EE142" s="57" t="s">
        <v>141</v>
      </c>
      <c r="EF142" s="35">
        <f t="shared" si="196"/>
        <v>885</v>
      </c>
      <c r="EG142" s="35">
        <f t="shared" si="211"/>
        <v>75</v>
      </c>
      <c r="EH142" s="47">
        <f t="shared" si="24"/>
        <v>31.64431787</v>
      </c>
    </row>
    <row r="143" ht="15.75" customHeight="1">
      <c r="A143" s="43" t="s">
        <v>510</v>
      </c>
      <c r="B143" s="36" t="s">
        <v>175</v>
      </c>
      <c r="C143" s="63">
        <v>45458.0</v>
      </c>
      <c r="D143" s="64">
        <v>38.0</v>
      </c>
      <c r="E143" s="35" t="s">
        <v>153</v>
      </c>
      <c r="F143" s="57">
        <v>171.0</v>
      </c>
      <c r="G143" s="57">
        <v>100.0</v>
      </c>
      <c r="H143" s="59" t="s">
        <v>131</v>
      </c>
      <c r="I143" s="57" t="s">
        <v>133</v>
      </c>
      <c r="J143" s="55" t="s">
        <v>133</v>
      </c>
      <c r="K143" s="57" t="s">
        <v>131</v>
      </c>
      <c r="L143" s="57">
        <v>2.0</v>
      </c>
      <c r="M143" s="55">
        <v>44013.0</v>
      </c>
      <c r="N143" s="57">
        <v>0.0</v>
      </c>
      <c r="O143" s="41">
        <v>44256.0</v>
      </c>
      <c r="P143" s="57" t="s">
        <v>131</v>
      </c>
      <c r="Q143" s="73">
        <v>44013.0</v>
      </c>
      <c r="R143" s="74">
        <v>44069.0</v>
      </c>
      <c r="S143" s="57" t="s">
        <v>132</v>
      </c>
      <c r="T143" s="36" t="s">
        <v>133</v>
      </c>
      <c r="U143" s="57" t="s">
        <v>132</v>
      </c>
      <c r="V143" s="36" t="str">
        <f t="shared" si="178"/>
        <v>Internación moderada</v>
      </c>
      <c r="W143" s="57" t="s">
        <v>176</v>
      </c>
      <c r="X143" s="57" t="s">
        <v>132</v>
      </c>
      <c r="Y143" s="57">
        <v>2.0</v>
      </c>
      <c r="Z143" s="57">
        <v>1.0</v>
      </c>
      <c r="AA143" s="57">
        <v>2.0</v>
      </c>
      <c r="AB143" s="57">
        <v>2.0</v>
      </c>
      <c r="AC143" s="57">
        <v>1.0</v>
      </c>
      <c r="AD143" s="57">
        <v>1.0</v>
      </c>
      <c r="AE143" s="57">
        <v>2.0</v>
      </c>
      <c r="AF143" s="57">
        <v>1.0</v>
      </c>
      <c r="AG143" s="57">
        <v>3.0</v>
      </c>
      <c r="AH143" s="57">
        <v>1.0</v>
      </c>
      <c r="AI143" s="57">
        <v>1.0</v>
      </c>
      <c r="AJ143" s="57">
        <v>1.0</v>
      </c>
      <c r="AK143" s="65" t="s">
        <v>511</v>
      </c>
      <c r="AL143" s="57" t="s">
        <v>132</v>
      </c>
      <c r="AM143" s="57" t="s">
        <v>132</v>
      </c>
      <c r="AN143" s="57" t="s">
        <v>132</v>
      </c>
      <c r="AO143" s="57" t="s">
        <v>132</v>
      </c>
      <c r="AP143" s="57" t="s">
        <v>132</v>
      </c>
      <c r="AQ143" s="57" t="s">
        <v>132</v>
      </c>
      <c r="AR143" s="57" t="s">
        <v>132</v>
      </c>
      <c r="AS143" s="57" t="s">
        <v>132</v>
      </c>
      <c r="AT143" s="57" t="s">
        <v>132</v>
      </c>
      <c r="AU143" s="57" t="s">
        <v>132</v>
      </c>
      <c r="AV143" s="57" t="s">
        <v>131</v>
      </c>
      <c r="AW143" s="57" t="s">
        <v>511</v>
      </c>
      <c r="AX143" s="57" t="s">
        <v>132</v>
      </c>
      <c r="AY143" s="36" t="s">
        <v>133</v>
      </c>
      <c r="AZ143" s="36" t="s">
        <v>133</v>
      </c>
      <c r="BA143" s="36" t="s">
        <v>133</v>
      </c>
      <c r="BB143" s="57" t="s">
        <v>145</v>
      </c>
      <c r="BC143" s="36" t="s">
        <v>133</v>
      </c>
      <c r="BD143" s="57">
        <v>1.0</v>
      </c>
      <c r="BE143" s="57">
        <v>1.0</v>
      </c>
      <c r="BF143" s="57">
        <v>2.0</v>
      </c>
      <c r="BG143" s="57">
        <v>2.0</v>
      </c>
      <c r="BH143" s="57">
        <v>1.0</v>
      </c>
      <c r="BI143" s="44" t="str">
        <f t="shared" si="205"/>
        <v>11221</v>
      </c>
      <c r="BJ143" s="57">
        <v>75.0</v>
      </c>
      <c r="BK143" s="57">
        <v>2.0</v>
      </c>
      <c r="BL143" s="57">
        <v>3.0</v>
      </c>
      <c r="BM143" s="57">
        <v>3.0</v>
      </c>
      <c r="BN143" s="57">
        <v>2.0</v>
      </c>
      <c r="BO143" s="57">
        <v>3.0</v>
      </c>
      <c r="BP143" s="57">
        <v>4.0</v>
      </c>
      <c r="BQ143" s="57">
        <v>1.0</v>
      </c>
      <c r="BR143" s="57">
        <v>3.0</v>
      </c>
      <c r="BS143" s="57">
        <v>3.0</v>
      </c>
      <c r="BT143" s="57">
        <v>2.0</v>
      </c>
      <c r="BU143" s="44">
        <f t="shared" si="181"/>
        <v>4</v>
      </c>
      <c r="BV143" s="44">
        <f t="shared" si="182"/>
        <v>4</v>
      </c>
      <c r="BW143" s="44">
        <f t="shared" si="183"/>
        <v>28</v>
      </c>
      <c r="BX143" s="44" t="str">
        <f t="shared" si="184"/>
        <v>FATIGA</v>
      </c>
      <c r="BY143" s="57">
        <v>0.0</v>
      </c>
      <c r="BZ143" s="57">
        <v>0.0</v>
      </c>
      <c r="CA143" s="57">
        <v>0.0</v>
      </c>
      <c r="CB143" s="57">
        <v>3.0</v>
      </c>
      <c r="CC143" s="57">
        <v>2.0</v>
      </c>
      <c r="CD143" s="57">
        <v>0.0</v>
      </c>
      <c r="CE143" s="57">
        <v>2.0</v>
      </c>
      <c r="CF143" s="57">
        <v>0.0</v>
      </c>
      <c r="CG143" s="57">
        <v>15.0</v>
      </c>
      <c r="CH143" s="57">
        <v>4.0</v>
      </c>
      <c r="CI143" s="57">
        <v>0.0</v>
      </c>
      <c r="CJ143" s="44">
        <f t="shared" ref="CJ143:CJ158" si="213">(8*BY143*(BZ143*60+CA143)+4*CB143*(CC143*60+CD143)+3.3*CE143*(CF143*60+CG143))</f>
        <v>1539</v>
      </c>
      <c r="CK143" s="44">
        <f t="shared" si="206"/>
        <v>5</v>
      </c>
      <c r="CL143" s="44" t="b">
        <f t="shared" si="207"/>
        <v>0</v>
      </c>
      <c r="CM143" s="44" t="b">
        <f t="shared" si="208"/>
        <v>0</v>
      </c>
      <c r="CN143" s="45" t="str">
        <f t="shared" si="209"/>
        <v>Nivel de actividad física bajo</v>
      </c>
      <c r="CO143" s="57">
        <v>4.0</v>
      </c>
      <c r="CP143" s="57">
        <v>30.0</v>
      </c>
      <c r="CQ143" s="44">
        <f t="shared" si="32"/>
        <v>1</v>
      </c>
      <c r="CR143" s="57">
        <v>11.0</v>
      </c>
      <c r="CS143" s="57">
        <v>0.0</v>
      </c>
      <c r="CT143" s="57">
        <v>7.0</v>
      </c>
      <c r="CU143" s="57">
        <v>4.0</v>
      </c>
      <c r="CV143" s="57">
        <v>3.0</v>
      </c>
      <c r="CW143" s="57">
        <v>3.0</v>
      </c>
      <c r="CX143" s="57">
        <v>3.0</v>
      </c>
      <c r="CY143" s="57">
        <v>1.0</v>
      </c>
      <c r="CZ143" s="57">
        <v>0.0</v>
      </c>
      <c r="DA143" s="57">
        <v>0.0</v>
      </c>
      <c r="DB143" s="57">
        <v>2.0</v>
      </c>
      <c r="DC143" s="57">
        <v>2.0</v>
      </c>
      <c r="DD143" s="57">
        <v>0.0</v>
      </c>
      <c r="DE143" s="57">
        <v>0.0</v>
      </c>
      <c r="DF143" s="36" t="s">
        <v>133</v>
      </c>
      <c r="DG143" s="53">
        <f t="shared" si="55"/>
        <v>11</v>
      </c>
      <c r="DH143" s="57">
        <v>2.0</v>
      </c>
      <c r="DI143" s="57">
        <v>0.0</v>
      </c>
      <c r="DJ143" s="57">
        <v>2.0</v>
      </c>
      <c r="DK143" s="57">
        <v>2.0</v>
      </c>
      <c r="DL143" s="46">
        <f t="shared" si="34"/>
        <v>57.14285714</v>
      </c>
      <c r="DM143" s="44">
        <f t="shared" si="35"/>
        <v>3</v>
      </c>
      <c r="DN143" s="44">
        <f t="shared" si="36"/>
        <v>2</v>
      </c>
      <c r="DO143" s="44">
        <f t="shared" si="37"/>
        <v>2</v>
      </c>
      <c r="DP143" s="44">
        <f t="shared" si="38"/>
        <v>2</v>
      </c>
      <c r="DQ143" s="44">
        <f t="shared" si="39"/>
        <v>3</v>
      </c>
      <c r="DR143" s="44">
        <f t="shared" ref="DR143:DS143" si="212">(DH143)</f>
        <v>2</v>
      </c>
      <c r="DS143" s="44">
        <f t="shared" si="212"/>
        <v>0</v>
      </c>
      <c r="DT143" s="44">
        <f t="shared" si="41"/>
        <v>14</v>
      </c>
      <c r="DU143" s="44" t="str">
        <f t="shared" si="42"/>
        <v>poor sleep quality</v>
      </c>
      <c r="DV143" s="57">
        <v>2.0</v>
      </c>
      <c r="DW143" s="57" t="s">
        <v>161</v>
      </c>
      <c r="DX143" s="57" t="s">
        <v>146</v>
      </c>
      <c r="DY143" s="57">
        <v>1.0</v>
      </c>
      <c r="DZ143" s="57" t="s">
        <v>131</v>
      </c>
      <c r="EA143" s="57" t="s">
        <v>167</v>
      </c>
      <c r="EB143" s="57" t="s">
        <v>139</v>
      </c>
      <c r="EC143" s="36" t="s">
        <v>133</v>
      </c>
      <c r="ED143" s="57" t="s">
        <v>132</v>
      </c>
      <c r="EE143" s="57" t="s">
        <v>141</v>
      </c>
      <c r="EF143" s="35">
        <f t="shared" si="196"/>
        <v>1445</v>
      </c>
      <c r="EG143" s="35">
        <f t="shared" si="211"/>
        <v>1202</v>
      </c>
      <c r="EH143" s="47">
        <f t="shared" si="24"/>
        <v>34.19855682</v>
      </c>
    </row>
    <row r="144" ht="15.75" customHeight="1">
      <c r="A144" s="43" t="s">
        <v>512</v>
      </c>
      <c r="B144" s="36" t="s">
        <v>175</v>
      </c>
      <c r="C144" s="63">
        <v>45458.0</v>
      </c>
      <c r="D144" s="64">
        <v>40.0</v>
      </c>
      <c r="E144" s="57" t="s">
        <v>130</v>
      </c>
      <c r="F144" s="57">
        <v>162.0</v>
      </c>
      <c r="G144" s="57">
        <v>75.0</v>
      </c>
      <c r="H144" s="59" t="s">
        <v>131</v>
      </c>
      <c r="I144" s="57">
        <v>3.0</v>
      </c>
      <c r="J144" s="55">
        <v>44581.0</v>
      </c>
      <c r="K144" s="57" t="s">
        <v>131</v>
      </c>
      <c r="L144" s="57">
        <v>1.0</v>
      </c>
      <c r="M144" s="55">
        <v>44317.0</v>
      </c>
      <c r="N144" s="57">
        <v>1.0</v>
      </c>
      <c r="O144" s="55" t="s">
        <v>133</v>
      </c>
      <c r="P144" s="57" t="s">
        <v>132</v>
      </c>
      <c r="Q144" s="36" t="s">
        <v>133</v>
      </c>
      <c r="R144" s="36" t="s">
        <v>133</v>
      </c>
      <c r="S144" s="36" t="s">
        <v>133</v>
      </c>
      <c r="T144" s="36" t="s">
        <v>133</v>
      </c>
      <c r="U144" s="36" t="s">
        <v>133</v>
      </c>
      <c r="V144" s="36" t="str">
        <f t="shared" si="178"/>
        <v>Paciente ambulatorio</v>
      </c>
      <c r="W144" s="57" t="s">
        <v>190</v>
      </c>
      <c r="X144" s="57" t="s">
        <v>132</v>
      </c>
      <c r="Y144" s="57">
        <v>1.0</v>
      </c>
      <c r="Z144" s="57">
        <v>1.0</v>
      </c>
      <c r="AA144" s="57">
        <v>1.0</v>
      </c>
      <c r="AB144" s="57">
        <v>1.0</v>
      </c>
      <c r="AC144" s="57">
        <v>1.0</v>
      </c>
      <c r="AD144" s="57">
        <v>1.0</v>
      </c>
      <c r="AE144" s="57">
        <v>1.0</v>
      </c>
      <c r="AF144" s="57">
        <v>1.0</v>
      </c>
      <c r="AG144" s="57">
        <v>3.0</v>
      </c>
      <c r="AH144" s="57">
        <v>1.0</v>
      </c>
      <c r="AI144" s="57">
        <v>1.0</v>
      </c>
      <c r="AJ144" s="57">
        <v>1.0</v>
      </c>
      <c r="AK144" s="65" t="s">
        <v>513</v>
      </c>
      <c r="AL144" s="57" t="s">
        <v>132</v>
      </c>
      <c r="AM144" s="57" t="s">
        <v>132</v>
      </c>
      <c r="AN144" s="57" t="s">
        <v>131</v>
      </c>
      <c r="AO144" s="57" t="s">
        <v>132</v>
      </c>
      <c r="AP144" s="57" t="s">
        <v>132</v>
      </c>
      <c r="AQ144" s="57" t="s">
        <v>132</v>
      </c>
      <c r="AR144" s="57" t="s">
        <v>132</v>
      </c>
      <c r="AS144" s="57" t="s">
        <v>132</v>
      </c>
      <c r="AT144" s="57" t="s">
        <v>132</v>
      </c>
      <c r="AU144" s="57" t="s">
        <v>132</v>
      </c>
      <c r="AV144" s="57" t="s">
        <v>131</v>
      </c>
      <c r="AW144" s="57" t="s">
        <v>514</v>
      </c>
      <c r="AX144" s="57" t="s">
        <v>165</v>
      </c>
      <c r="AY144" s="36" t="s">
        <v>133</v>
      </c>
      <c r="AZ144" s="57">
        <v>5.0</v>
      </c>
      <c r="BA144" s="36" t="s">
        <v>133</v>
      </c>
      <c r="BB144" s="35" t="s">
        <v>145</v>
      </c>
      <c r="BC144" s="36" t="s">
        <v>133</v>
      </c>
      <c r="BD144" s="57">
        <v>1.0</v>
      </c>
      <c r="BE144" s="57">
        <v>3.0</v>
      </c>
      <c r="BF144" s="57">
        <v>5.0</v>
      </c>
      <c r="BG144" s="57">
        <v>5.0</v>
      </c>
      <c r="BH144" s="57">
        <v>3.0</v>
      </c>
      <c r="BI144" s="44" t="str">
        <f t="shared" si="205"/>
        <v>13553</v>
      </c>
      <c r="BJ144" s="57">
        <v>30.0</v>
      </c>
      <c r="BK144" s="57">
        <v>5.0</v>
      </c>
      <c r="BL144" s="57">
        <v>5.0</v>
      </c>
      <c r="BM144" s="57">
        <v>2.0</v>
      </c>
      <c r="BN144" s="57">
        <v>1.0</v>
      </c>
      <c r="BO144" s="57">
        <v>5.0</v>
      </c>
      <c r="BP144" s="57">
        <v>5.0</v>
      </c>
      <c r="BQ144" s="57">
        <v>4.0</v>
      </c>
      <c r="BR144" s="57">
        <v>4.0</v>
      </c>
      <c r="BS144" s="57">
        <v>5.0</v>
      </c>
      <c r="BT144" s="57">
        <v>3.0</v>
      </c>
      <c r="BU144" s="44">
        <f t="shared" si="181"/>
        <v>5</v>
      </c>
      <c r="BV144" s="44">
        <f t="shared" si="182"/>
        <v>3</v>
      </c>
      <c r="BW144" s="44">
        <f t="shared" si="183"/>
        <v>41</v>
      </c>
      <c r="BX144" s="44" t="str">
        <f t="shared" si="184"/>
        <v>FATIGA EXTREMA</v>
      </c>
      <c r="BY144" s="57">
        <v>0.0</v>
      </c>
      <c r="BZ144" s="57">
        <v>0.0</v>
      </c>
      <c r="CA144" s="57">
        <v>0.0</v>
      </c>
      <c r="CB144" s="57">
        <v>0.0</v>
      </c>
      <c r="CC144" s="57">
        <v>0.0</v>
      </c>
      <c r="CD144" s="57">
        <v>0.0</v>
      </c>
      <c r="CE144" s="57">
        <v>0.0</v>
      </c>
      <c r="CF144" s="57">
        <v>0.0</v>
      </c>
      <c r="CG144" s="57">
        <v>0.0</v>
      </c>
      <c r="CH144" s="57">
        <v>2.0</v>
      </c>
      <c r="CI144" s="57">
        <v>0.0</v>
      </c>
      <c r="CJ144" s="44">
        <f t="shared" si="213"/>
        <v>0</v>
      </c>
      <c r="CK144" s="44">
        <f t="shared" si="206"/>
        <v>0</v>
      </c>
      <c r="CL144" s="44" t="b">
        <f t="shared" si="207"/>
        <v>0</v>
      </c>
      <c r="CM144" s="44" t="b">
        <f t="shared" si="208"/>
        <v>0</v>
      </c>
      <c r="CN144" s="45" t="str">
        <f t="shared" si="209"/>
        <v>Nivel de actividad física bajo</v>
      </c>
      <c r="CO144" s="57">
        <v>0.0</v>
      </c>
      <c r="CP144" s="57">
        <v>1.0</v>
      </c>
      <c r="CQ144" s="44">
        <f t="shared" si="32"/>
        <v>0</v>
      </c>
      <c r="CR144" s="57">
        <v>7.0</v>
      </c>
      <c r="CS144" s="57">
        <v>0.0</v>
      </c>
      <c r="CT144" s="57">
        <v>7.0</v>
      </c>
      <c r="CU144" s="57">
        <v>5.0</v>
      </c>
      <c r="CV144" s="57">
        <v>0.0</v>
      </c>
      <c r="CW144" s="57">
        <v>2.0</v>
      </c>
      <c r="CX144" s="57">
        <v>0.0</v>
      </c>
      <c r="CY144" s="57">
        <v>3.0</v>
      </c>
      <c r="CZ144" s="57">
        <v>0.0</v>
      </c>
      <c r="DA144" s="57">
        <v>2.0</v>
      </c>
      <c r="DB144" s="57">
        <v>3.0</v>
      </c>
      <c r="DC144" s="57">
        <v>0.0</v>
      </c>
      <c r="DD144" s="57">
        <v>2.0</v>
      </c>
      <c r="DE144" s="57">
        <v>0.0</v>
      </c>
      <c r="DF144" s="36" t="s">
        <v>133</v>
      </c>
      <c r="DG144" s="53">
        <f t="shared" si="55"/>
        <v>12</v>
      </c>
      <c r="DH144" s="57">
        <v>2.0</v>
      </c>
      <c r="DI144" s="57">
        <v>0.0</v>
      </c>
      <c r="DJ144" s="57">
        <v>3.0</v>
      </c>
      <c r="DK144" s="57">
        <v>3.0</v>
      </c>
      <c r="DL144" s="46">
        <f t="shared" si="34"/>
        <v>71.42857143</v>
      </c>
      <c r="DM144" s="44">
        <f t="shared" si="35"/>
        <v>2</v>
      </c>
      <c r="DN144" s="44">
        <f t="shared" si="36"/>
        <v>2</v>
      </c>
      <c r="DO144" s="44">
        <f t="shared" si="37"/>
        <v>0</v>
      </c>
      <c r="DP144" s="44">
        <f t="shared" si="38"/>
        <v>3</v>
      </c>
      <c r="DQ144" s="44">
        <f t="shared" si="39"/>
        <v>2</v>
      </c>
      <c r="DR144" s="44">
        <f t="shared" ref="DR144:DS144" si="214">(DH144)</f>
        <v>2</v>
      </c>
      <c r="DS144" s="44">
        <f t="shared" si="214"/>
        <v>0</v>
      </c>
      <c r="DT144" s="44">
        <f t="shared" si="41"/>
        <v>11</v>
      </c>
      <c r="DU144" s="44" t="str">
        <f t="shared" si="42"/>
        <v>poor sleep quality</v>
      </c>
      <c r="DV144" s="57">
        <v>2.0</v>
      </c>
      <c r="DW144" s="35" t="s">
        <v>489</v>
      </c>
      <c r="DX144" s="57" t="s">
        <v>146</v>
      </c>
      <c r="DY144" s="57">
        <v>1.0</v>
      </c>
      <c r="DZ144" s="57" t="s">
        <v>131</v>
      </c>
      <c r="EA144" s="57" t="s">
        <v>178</v>
      </c>
      <c r="EB144" s="57" t="s">
        <v>248</v>
      </c>
      <c r="EC144" s="36" t="s">
        <v>133</v>
      </c>
      <c r="ED144" s="57" t="s">
        <v>131</v>
      </c>
      <c r="EE144" s="57" t="s">
        <v>141</v>
      </c>
      <c r="EF144" s="35">
        <f t="shared" si="196"/>
        <v>1141</v>
      </c>
      <c r="EG144" s="36" t="s">
        <v>133</v>
      </c>
      <c r="EH144" s="47">
        <f t="shared" si="24"/>
        <v>28.57796068</v>
      </c>
    </row>
    <row r="145" ht="15.75" customHeight="1">
      <c r="A145" s="43" t="s">
        <v>515</v>
      </c>
      <c r="B145" s="36" t="s">
        <v>175</v>
      </c>
      <c r="C145" s="63">
        <v>45458.0</v>
      </c>
      <c r="D145" s="64">
        <v>45.0</v>
      </c>
      <c r="E145" s="35" t="s">
        <v>153</v>
      </c>
      <c r="F145" s="57">
        <v>169.0</v>
      </c>
      <c r="G145" s="57">
        <v>83.0</v>
      </c>
      <c r="H145" s="59" t="s">
        <v>131</v>
      </c>
      <c r="I145" s="57">
        <v>2.0</v>
      </c>
      <c r="J145" s="55">
        <v>44472.0</v>
      </c>
      <c r="K145" s="57" t="s">
        <v>131</v>
      </c>
      <c r="L145" s="57">
        <v>2.0</v>
      </c>
      <c r="M145" s="55">
        <v>44531.0</v>
      </c>
      <c r="N145" s="57">
        <v>1.0</v>
      </c>
      <c r="O145" s="41">
        <v>45358.0</v>
      </c>
      <c r="P145" s="57" t="s">
        <v>132</v>
      </c>
      <c r="Q145" s="36" t="s">
        <v>133</v>
      </c>
      <c r="R145" s="36" t="s">
        <v>133</v>
      </c>
      <c r="S145" s="36" t="s">
        <v>133</v>
      </c>
      <c r="T145" s="36" t="s">
        <v>133</v>
      </c>
      <c r="U145" s="36" t="s">
        <v>133</v>
      </c>
      <c r="V145" s="36" t="str">
        <f t="shared" si="178"/>
        <v>Paciente ambulatorio</v>
      </c>
      <c r="W145" s="57" t="s">
        <v>176</v>
      </c>
      <c r="X145" s="57" t="s">
        <v>132</v>
      </c>
      <c r="Y145" s="57">
        <v>2.0</v>
      </c>
      <c r="Z145" s="57">
        <v>1.0</v>
      </c>
      <c r="AA145" s="57">
        <v>3.0</v>
      </c>
      <c r="AB145" s="57">
        <v>2.0</v>
      </c>
      <c r="AC145" s="57">
        <v>3.0</v>
      </c>
      <c r="AD145" s="57">
        <v>1.0</v>
      </c>
      <c r="AE145" s="57">
        <v>3.0</v>
      </c>
      <c r="AF145" s="57">
        <v>1.0</v>
      </c>
      <c r="AG145" s="57">
        <v>1.0</v>
      </c>
      <c r="AH145" s="57">
        <v>1.0</v>
      </c>
      <c r="AI145" s="57">
        <v>1.0</v>
      </c>
      <c r="AJ145" s="57">
        <v>1.0</v>
      </c>
      <c r="AK145" s="65" t="s">
        <v>516</v>
      </c>
      <c r="AL145" s="57" t="s">
        <v>132</v>
      </c>
      <c r="AM145" s="57" t="s">
        <v>132</v>
      </c>
      <c r="AN145" s="57" t="s">
        <v>132</v>
      </c>
      <c r="AO145" s="57" t="s">
        <v>131</v>
      </c>
      <c r="AP145" s="57" t="s">
        <v>132</v>
      </c>
      <c r="AQ145" s="57" t="s">
        <v>132</v>
      </c>
      <c r="AR145" s="57" t="s">
        <v>132</v>
      </c>
      <c r="AS145" s="57" t="s">
        <v>132</v>
      </c>
      <c r="AT145" s="57" t="s">
        <v>132</v>
      </c>
      <c r="AU145" s="57" t="s">
        <v>132</v>
      </c>
      <c r="AV145" s="57" t="s">
        <v>132</v>
      </c>
      <c r="AW145" s="36" t="s">
        <v>133</v>
      </c>
      <c r="AX145" s="57" t="s">
        <v>132</v>
      </c>
      <c r="AY145" s="36" t="s">
        <v>133</v>
      </c>
      <c r="AZ145" s="36" t="s">
        <v>133</v>
      </c>
      <c r="BA145" s="36" t="s">
        <v>133</v>
      </c>
      <c r="BB145" s="35" t="s">
        <v>145</v>
      </c>
      <c r="BC145" s="36" t="s">
        <v>133</v>
      </c>
      <c r="BD145" s="57">
        <v>1.0</v>
      </c>
      <c r="BE145" s="57">
        <v>1.0</v>
      </c>
      <c r="BF145" s="57">
        <v>1.0</v>
      </c>
      <c r="BG145" s="57">
        <v>1.0</v>
      </c>
      <c r="BH145" s="57">
        <v>2.0</v>
      </c>
      <c r="BI145" s="44" t="str">
        <f t="shared" si="205"/>
        <v>11112</v>
      </c>
      <c r="BJ145" s="57">
        <v>79.0</v>
      </c>
      <c r="BK145" s="57">
        <v>2.0</v>
      </c>
      <c r="BL145" s="57">
        <v>2.0</v>
      </c>
      <c r="BM145" s="57">
        <v>4.0</v>
      </c>
      <c r="BN145" s="57">
        <v>5.0</v>
      </c>
      <c r="BO145" s="57">
        <v>2.0</v>
      </c>
      <c r="BP145" s="57">
        <v>5.0</v>
      </c>
      <c r="BQ145" s="57">
        <v>4.0</v>
      </c>
      <c r="BR145" s="57">
        <v>4.0</v>
      </c>
      <c r="BS145" s="57">
        <v>5.0</v>
      </c>
      <c r="BT145" s="57">
        <v>4.0</v>
      </c>
      <c r="BU145" s="44">
        <f t="shared" si="181"/>
        <v>1</v>
      </c>
      <c r="BV145" s="44">
        <f t="shared" si="182"/>
        <v>2</v>
      </c>
      <c r="BW145" s="44">
        <f t="shared" si="183"/>
        <v>34</v>
      </c>
      <c r="BX145" s="44" t="str">
        <f t="shared" si="184"/>
        <v>FATIGA</v>
      </c>
      <c r="BY145" s="57">
        <v>1.0</v>
      </c>
      <c r="BZ145" s="57">
        <v>6.0</v>
      </c>
      <c r="CA145" s="57">
        <v>0.0</v>
      </c>
      <c r="CB145" s="57">
        <v>0.0</v>
      </c>
      <c r="CC145" s="57">
        <v>0.0</v>
      </c>
      <c r="CD145" s="57">
        <v>0.0</v>
      </c>
      <c r="CE145" s="57">
        <v>3.0</v>
      </c>
      <c r="CF145" s="50">
        <v>0.0</v>
      </c>
      <c r="CG145" s="57">
        <v>0.0</v>
      </c>
      <c r="CH145" s="57">
        <v>8.0</v>
      </c>
      <c r="CI145" s="57">
        <v>0.0</v>
      </c>
      <c r="CJ145" s="44">
        <f t="shared" si="213"/>
        <v>2880</v>
      </c>
      <c r="CK145" s="44">
        <f t="shared" si="206"/>
        <v>4</v>
      </c>
      <c r="CL145" s="44" t="b">
        <f t="shared" si="207"/>
        <v>0</v>
      </c>
      <c r="CM145" s="44" t="b">
        <f t="shared" si="208"/>
        <v>0</v>
      </c>
      <c r="CN145" s="45" t="str">
        <f t="shared" si="209"/>
        <v>Nivel de actividad física bajo</v>
      </c>
      <c r="CO145" s="57">
        <v>1.0</v>
      </c>
      <c r="CP145" s="57">
        <v>40.0</v>
      </c>
      <c r="CQ145" s="44">
        <f t="shared" si="32"/>
        <v>2</v>
      </c>
      <c r="CR145" s="57">
        <v>8.0</v>
      </c>
      <c r="CS145" s="57">
        <v>0.0</v>
      </c>
      <c r="CT145" s="57">
        <v>7.0</v>
      </c>
      <c r="CU145" s="57">
        <v>5.0</v>
      </c>
      <c r="CV145" s="57">
        <v>3.0</v>
      </c>
      <c r="CW145" s="57">
        <v>2.0</v>
      </c>
      <c r="CX145" s="57">
        <v>0.0</v>
      </c>
      <c r="CY145" s="57">
        <v>0.0</v>
      </c>
      <c r="CZ145" s="57">
        <v>0.0</v>
      </c>
      <c r="DA145" s="57">
        <v>3.0</v>
      </c>
      <c r="DB145" s="57">
        <v>3.0</v>
      </c>
      <c r="DC145" s="57">
        <v>0.0</v>
      </c>
      <c r="DD145" s="57">
        <v>0.0</v>
      </c>
      <c r="DE145" s="57">
        <v>1.0</v>
      </c>
      <c r="DF145" s="57" t="s">
        <v>517</v>
      </c>
      <c r="DG145" s="53">
        <f t="shared" si="55"/>
        <v>9</v>
      </c>
      <c r="DH145" s="57">
        <v>2.0</v>
      </c>
      <c r="DI145" s="57">
        <v>0.0</v>
      </c>
      <c r="DJ145" s="57">
        <v>2.0</v>
      </c>
      <c r="DK145" s="57">
        <v>2.0</v>
      </c>
      <c r="DL145" s="46">
        <f t="shared" si="34"/>
        <v>71.42857143</v>
      </c>
      <c r="DM145" s="44">
        <f t="shared" si="35"/>
        <v>2</v>
      </c>
      <c r="DN145" s="44">
        <f t="shared" si="36"/>
        <v>1</v>
      </c>
      <c r="DO145" s="44">
        <f t="shared" si="37"/>
        <v>3</v>
      </c>
      <c r="DP145" s="44">
        <f t="shared" si="38"/>
        <v>2</v>
      </c>
      <c r="DQ145" s="44">
        <f t="shared" si="39"/>
        <v>2</v>
      </c>
      <c r="DR145" s="44">
        <f t="shared" ref="DR145:DS145" si="215">(DH145)</f>
        <v>2</v>
      </c>
      <c r="DS145" s="44">
        <f t="shared" si="215"/>
        <v>0</v>
      </c>
      <c r="DT145" s="44">
        <f t="shared" si="41"/>
        <v>12</v>
      </c>
      <c r="DU145" s="44" t="str">
        <f t="shared" si="42"/>
        <v>poor sleep quality</v>
      </c>
      <c r="DV145" s="57">
        <v>2.0</v>
      </c>
      <c r="DW145" s="57" t="s">
        <v>247</v>
      </c>
      <c r="DX145" s="57" t="s">
        <v>146</v>
      </c>
      <c r="DY145" s="57">
        <v>2.0</v>
      </c>
      <c r="DZ145" s="57" t="s">
        <v>131</v>
      </c>
      <c r="EA145" s="57" t="s">
        <v>157</v>
      </c>
      <c r="EB145" s="57" t="s">
        <v>139</v>
      </c>
      <c r="EC145" s="36" t="s">
        <v>133</v>
      </c>
      <c r="ED145" s="57" t="s">
        <v>131</v>
      </c>
      <c r="EE145" s="57" t="s">
        <v>203</v>
      </c>
      <c r="EF145" s="35">
        <f t="shared" si="196"/>
        <v>927</v>
      </c>
      <c r="EG145" s="35">
        <f>C145-O145</f>
        <v>100</v>
      </c>
      <c r="EH145" s="47">
        <f t="shared" si="24"/>
        <v>29.06060712</v>
      </c>
    </row>
    <row r="146" ht="15.75" customHeight="1">
      <c r="A146" s="43" t="s">
        <v>518</v>
      </c>
      <c r="B146" s="36" t="s">
        <v>175</v>
      </c>
      <c r="C146" s="37">
        <v>45479.0</v>
      </c>
      <c r="D146" s="64">
        <v>54.0</v>
      </c>
      <c r="E146" s="57" t="s">
        <v>130</v>
      </c>
      <c r="F146" s="57">
        <v>167.0</v>
      </c>
      <c r="G146" s="57">
        <v>68.0</v>
      </c>
      <c r="H146" s="59" t="s">
        <v>131</v>
      </c>
      <c r="I146" s="57">
        <v>2.0</v>
      </c>
      <c r="J146" s="55">
        <v>44228.0</v>
      </c>
      <c r="K146" s="57" t="s">
        <v>131</v>
      </c>
      <c r="L146" s="57">
        <v>1.0</v>
      </c>
      <c r="M146" s="55">
        <v>44197.0</v>
      </c>
      <c r="N146" s="57" t="s">
        <v>133</v>
      </c>
      <c r="O146" s="55" t="s">
        <v>133</v>
      </c>
      <c r="P146" s="57" t="s">
        <v>132</v>
      </c>
      <c r="Q146" s="36" t="s">
        <v>133</v>
      </c>
      <c r="R146" s="36" t="s">
        <v>133</v>
      </c>
      <c r="S146" s="36" t="s">
        <v>133</v>
      </c>
      <c r="T146" s="36" t="s">
        <v>133</v>
      </c>
      <c r="U146" s="36" t="s">
        <v>133</v>
      </c>
      <c r="V146" s="36" t="str">
        <f t="shared" si="178"/>
        <v>Paciente ambulatorio</v>
      </c>
      <c r="W146" s="57" t="s">
        <v>176</v>
      </c>
      <c r="X146" s="57" t="s">
        <v>132</v>
      </c>
      <c r="Y146" s="57">
        <v>1.0</v>
      </c>
      <c r="Z146" s="57">
        <v>1.0</v>
      </c>
      <c r="AA146" s="57">
        <v>3.0</v>
      </c>
      <c r="AB146" s="57">
        <v>3.0</v>
      </c>
      <c r="AC146" s="57">
        <v>1.0</v>
      </c>
      <c r="AD146" s="57">
        <v>1.0</v>
      </c>
      <c r="AE146" s="57">
        <v>1.0</v>
      </c>
      <c r="AF146" s="57">
        <v>1.0</v>
      </c>
      <c r="AG146" s="57">
        <v>3.0</v>
      </c>
      <c r="AH146" s="57">
        <v>1.0</v>
      </c>
      <c r="AI146" s="57">
        <v>1.0</v>
      </c>
      <c r="AJ146" s="57">
        <v>1.0</v>
      </c>
      <c r="AK146" s="65" t="s">
        <v>278</v>
      </c>
      <c r="AL146" s="57" t="s">
        <v>132</v>
      </c>
      <c r="AM146" s="57" t="s">
        <v>132</v>
      </c>
      <c r="AN146" s="57" t="s">
        <v>132</v>
      </c>
      <c r="AO146" s="57" t="s">
        <v>132</v>
      </c>
      <c r="AP146" s="57" t="s">
        <v>132</v>
      </c>
      <c r="AQ146" s="57" t="s">
        <v>132</v>
      </c>
      <c r="AR146" s="57" t="s">
        <v>132</v>
      </c>
      <c r="AS146" s="57" t="s">
        <v>132</v>
      </c>
      <c r="AT146" s="57" t="s">
        <v>132</v>
      </c>
      <c r="AU146" s="57" t="s">
        <v>132</v>
      </c>
      <c r="AV146" s="57" t="s">
        <v>132</v>
      </c>
      <c r="AW146" s="57" t="s">
        <v>519</v>
      </c>
      <c r="AX146" s="57" t="s">
        <v>132</v>
      </c>
      <c r="AY146" s="36" t="s">
        <v>133</v>
      </c>
      <c r="AZ146" s="36" t="s">
        <v>133</v>
      </c>
      <c r="BA146" s="36" t="s">
        <v>133</v>
      </c>
      <c r="BB146" s="57" t="s">
        <v>145</v>
      </c>
      <c r="BC146" s="36" t="s">
        <v>133</v>
      </c>
      <c r="BD146" s="59">
        <v>2.0</v>
      </c>
      <c r="BE146" s="57">
        <v>1.0</v>
      </c>
      <c r="BF146" s="57">
        <v>2.0</v>
      </c>
      <c r="BG146" s="57">
        <v>2.0</v>
      </c>
      <c r="BH146" s="57">
        <v>2.0</v>
      </c>
      <c r="BI146" s="44" t="str">
        <f t="shared" si="205"/>
        <v>21222</v>
      </c>
      <c r="BJ146" s="57">
        <v>50.0</v>
      </c>
      <c r="BK146" s="57">
        <v>2.0</v>
      </c>
      <c r="BL146" s="57">
        <v>3.0</v>
      </c>
      <c r="BM146" s="57">
        <v>2.0</v>
      </c>
      <c r="BN146" s="57">
        <v>2.0</v>
      </c>
      <c r="BO146" s="57">
        <v>3.0</v>
      </c>
      <c r="BP146" s="57">
        <v>3.0</v>
      </c>
      <c r="BQ146" s="57">
        <v>3.0</v>
      </c>
      <c r="BR146" s="57">
        <v>3.0</v>
      </c>
      <c r="BS146" s="57">
        <v>3.0</v>
      </c>
      <c r="BT146" s="57">
        <v>2.0</v>
      </c>
      <c r="BU146" s="44">
        <f t="shared" si="181"/>
        <v>4</v>
      </c>
      <c r="BV146" s="44">
        <f t="shared" si="182"/>
        <v>4</v>
      </c>
      <c r="BW146" s="44">
        <f t="shared" si="183"/>
        <v>28</v>
      </c>
      <c r="BX146" s="44" t="str">
        <f t="shared" si="184"/>
        <v>FATIGA</v>
      </c>
      <c r="BY146" s="57">
        <v>0.0</v>
      </c>
      <c r="BZ146" s="57">
        <v>0.0</v>
      </c>
      <c r="CA146" s="57">
        <v>0.0</v>
      </c>
      <c r="CB146" s="57">
        <v>0.0</v>
      </c>
      <c r="CC146" s="57">
        <v>0.0</v>
      </c>
      <c r="CD146" s="57">
        <v>0.0</v>
      </c>
      <c r="CE146" s="57">
        <v>1.0</v>
      </c>
      <c r="CF146" s="57">
        <v>0.0</v>
      </c>
      <c r="CG146" s="57">
        <v>40.0</v>
      </c>
      <c r="CH146" s="57">
        <v>8.0</v>
      </c>
      <c r="CI146" s="57">
        <v>0.0</v>
      </c>
      <c r="CJ146" s="44">
        <f t="shared" si="213"/>
        <v>132</v>
      </c>
      <c r="CK146" s="44">
        <f t="shared" si="206"/>
        <v>1</v>
      </c>
      <c r="CL146" s="44" t="b">
        <f t="shared" si="207"/>
        <v>0</v>
      </c>
      <c r="CM146" s="44" t="b">
        <f t="shared" si="208"/>
        <v>0</v>
      </c>
      <c r="CN146" s="45" t="str">
        <f t="shared" si="209"/>
        <v>Nivel de actividad física bajo</v>
      </c>
      <c r="CO146" s="69">
        <v>0.020833333333333332</v>
      </c>
      <c r="CP146" s="57">
        <v>60.0</v>
      </c>
      <c r="CQ146" s="44">
        <f t="shared" si="32"/>
        <v>2</v>
      </c>
      <c r="CR146" s="57">
        <v>10.0</v>
      </c>
      <c r="CS146" s="57">
        <v>30.0</v>
      </c>
      <c r="CT146" s="57">
        <v>10.0</v>
      </c>
      <c r="CU146" s="57">
        <v>4.0</v>
      </c>
      <c r="CV146" s="57">
        <v>3.0</v>
      </c>
      <c r="CW146" s="57">
        <v>3.0</v>
      </c>
      <c r="CX146" s="57">
        <v>0.0</v>
      </c>
      <c r="CY146" s="57">
        <v>2.0</v>
      </c>
      <c r="CZ146" s="57">
        <v>2.0</v>
      </c>
      <c r="DA146" s="57">
        <v>3.0</v>
      </c>
      <c r="DB146" s="57">
        <v>0.0</v>
      </c>
      <c r="DC146" s="57">
        <v>2.0</v>
      </c>
      <c r="DD146" s="57">
        <v>1.0</v>
      </c>
      <c r="DE146" s="57">
        <v>0.0</v>
      </c>
      <c r="DF146" s="36" t="s">
        <v>133</v>
      </c>
      <c r="DG146" s="53">
        <f t="shared" si="55"/>
        <v>13</v>
      </c>
      <c r="DH146" s="57">
        <v>2.0</v>
      </c>
      <c r="DI146" s="57">
        <v>0.0</v>
      </c>
      <c r="DJ146" s="57">
        <v>3.0</v>
      </c>
      <c r="DK146" s="57">
        <v>3.0</v>
      </c>
      <c r="DL146" s="46">
        <f t="shared" si="34"/>
        <v>40</v>
      </c>
      <c r="DM146" s="44">
        <f t="shared" si="35"/>
        <v>3</v>
      </c>
      <c r="DN146" s="44">
        <f t="shared" si="36"/>
        <v>2</v>
      </c>
      <c r="DO146" s="44">
        <f t="shared" si="37"/>
        <v>3</v>
      </c>
      <c r="DP146" s="44">
        <f t="shared" si="38"/>
        <v>3</v>
      </c>
      <c r="DQ146" s="44">
        <f t="shared" si="39"/>
        <v>3</v>
      </c>
      <c r="DR146" s="44">
        <f t="shared" ref="DR146:DS146" si="216">(DH146)</f>
        <v>2</v>
      </c>
      <c r="DS146" s="44">
        <f t="shared" si="216"/>
        <v>0</v>
      </c>
      <c r="DT146" s="44">
        <f t="shared" si="41"/>
        <v>16</v>
      </c>
      <c r="DU146" s="44" t="str">
        <f t="shared" si="42"/>
        <v>poor sleep quality</v>
      </c>
      <c r="DV146" s="57">
        <v>1.0</v>
      </c>
      <c r="DW146" s="57" t="s">
        <v>314</v>
      </c>
      <c r="DX146" s="57" t="s">
        <v>146</v>
      </c>
      <c r="DY146" s="57">
        <v>1.0</v>
      </c>
      <c r="DZ146" s="57" t="s">
        <v>131</v>
      </c>
      <c r="EA146" s="57" t="s">
        <v>147</v>
      </c>
      <c r="EB146" s="57" t="s">
        <v>139</v>
      </c>
      <c r="EC146" s="36" t="s">
        <v>133</v>
      </c>
      <c r="ED146" s="57" t="s">
        <v>131</v>
      </c>
      <c r="EE146" s="57" t="s">
        <v>158</v>
      </c>
      <c r="EF146" s="35">
        <f t="shared" si="196"/>
        <v>1282</v>
      </c>
      <c r="EG146" s="36" t="s">
        <v>133</v>
      </c>
      <c r="EH146" s="47">
        <f t="shared" si="24"/>
        <v>24.38237298</v>
      </c>
    </row>
    <row r="147" ht="15.75" customHeight="1">
      <c r="A147" s="43" t="s">
        <v>520</v>
      </c>
      <c r="B147" s="36" t="s">
        <v>175</v>
      </c>
      <c r="C147" s="37">
        <v>45479.0</v>
      </c>
      <c r="D147" s="64">
        <v>62.0</v>
      </c>
      <c r="E147" s="57" t="s">
        <v>130</v>
      </c>
      <c r="F147" s="57">
        <v>160.0</v>
      </c>
      <c r="G147" s="57">
        <v>58.0</v>
      </c>
      <c r="H147" s="59" t="s">
        <v>131</v>
      </c>
      <c r="I147" s="57">
        <v>3.0</v>
      </c>
      <c r="J147" s="55" t="s">
        <v>133</v>
      </c>
      <c r="K147" s="57" t="s">
        <v>131</v>
      </c>
      <c r="L147" s="57">
        <v>1.0</v>
      </c>
      <c r="M147" s="55">
        <v>44044.0</v>
      </c>
      <c r="N147" s="57">
        <v>0.0</v>
      </c>
      <c r="O147" s="55" t="s">
        <v>133</v>
      </c>
      <c r="P147" s="57" t="s">
        <v>132</v>
      </c>
      <c r="Q147" s="36" t="s">
        <v>133</v>
      </c>
      <c r="R147" s="36" t="s">
        <v>133</v>
      </c>
      <c r="S147" s="36" t="s">
        <v>133</v>
      </c>
      <c r="T147" s="36" t="s">
        <v>133</v>
      </c>
      <c r="U147" s="36" t="s">
        <v>133</v>
      </c>
      <c r="V147" s="36" t="str">
        <f t="shared" si="178"/>
        <v>Paciente ambulatorio</v>
      </c>
      <c r="W147" s="57" t="s">
        <v>176</v>
      </c>
      <c r="X147" s="57" t="s">
        <v>132</v>
      </c>
      <c r="Y147" s="57">
        <v>1.0</v>
      </c>
      <c r="Z147" s="57">
        <v>1.0</v>
      </c>
      <c r="AA147" s="57">
        <v>3.0</v>
      </c>
      <c r="AB147" s="57">
        <v>2.0</v>
      </c>
      <c r="AC147" s="57">
        <v>2.0</v>
      </c>
      <c r="AD147" s="57">
        <v>1.0</v>
      </c>
      <c r="AE147" s="57">
        <v>1.0</v>
      </c>
      <c r="AF147" s="57">
        <v>1.0</v>
      </c>
      <c r="AG147" s="57">
        <v>3.0</v>
      </c>
      <c r="AH147" s="57">
        <v>1.0</v>
      </c>
      <c r="AI147" s="57">
        <v>1.0</v>
      </c>
      <c r="AJ147" s="57">
        <v>1.0</v>
      </c>
      <c r="AK147" s="36" t="s">
        <v>133</v>
      </c>
      <c r="AL147" s="57" t="s">
        <v>132</v>
      </c>
      <c r="AM147" s="57" t="s">
        <v>132</v>
      </c>
      <c r="AN147" s="57" t="s">
        <v>132</v>
      </c>
      <c r="AO147" s="57" t="s">
        <v>132</v>
      </c>
      <c r="AP147" s="57" t="s">
        <v>132</v>
      </c>
      <c r="AQ147" s="57" t="s">
        <v>132</v>
      </c>
      <c r="AR147" s="57" t="s">
        <v>132</v>
      </c>
      <c r="AS147" s="57" t="s">
        <v>132</v>
      </c>
      <c r="AT147" s="57" t="s">
        <v>132</v>
      </c>
      <c r="AU147" s="57" t="s">
        <v>132</v>
      </c>
      <c r="AV147" s="57" t="s">
        <v>132</v>
      </c>
      <c r="AW147" s="36" t="s">
        <v>133</v>
      </c>
      <c r="AX147" s="57" t="s">
        <v>165</v>
      </c>
      <c r="AY147" s="36" t="s">
        <v>133</v>
      </c>
      <c r="AZ147" s="36" t="s">
        <v>133</v>
      </c>
      <c r="BA147" s="57">
        <v>20.0</v>
      </c>
      <c r="BB147" s="57" t="s">
        <v>135</v>
      </c>
      <c r="BC147" s="36" t="s">
        <v>133</v>
      </c>
      <c r="BD147" s="59">
        <v>2.0</v>
      </c>
      <c r="BE147" s="57">
        <v>1.0</v>
      </c>
      <c r="BF147" s="57">
        <v>3.0</v>
      </c>
      <c r="BG147" s="57">
        <v>4.0</v>
      </c>
      <c r="BH147" s="57">
        <v>3.0</v>
      </c>
      <c r="BI147" s="44" t="str">
        <f t="shared" si="205"/>
        <v>21343</v>
      </c>
      <c r="BJ147" s="57">
        <v>65.0</v>
      </c>
      <c r="BK147" s="57">
        <v>3.0</v>
      </c>
      <c r="BL147" s="57">
        <v>4.0</v>
      </c>
      <c r="BM147" s="57">
        <v>3.0</v>
      </c>
      <c r="BN147" s="57">
        <v>4.0</v>
      </c>
      <c r="BO147" s="57">
        <v>4.0</v>
      </c>
      <c r="BP147" s="57">
        <v>4.0</v>
      </c>
      <c r="BQ147" s="57">
        <v>4.0</v>
      </c>
      <c r="BR147" s="57">
        <v>4.0</v>
      </c>
      <c r="BS147" s="57">
        <v>4.0</v>
      </c>
      <c r="BT147" s="57">
        <v>2.0</v>
      </c>
      <c r="BU147" s="44">
        <f t="shared" si="181"/>
        <v>2</v>
      </c>
      <c r="BV147" s="44">
        <f t="shared" si="182"/>
        <v>4</v>
      </c>
      <c r="BW147" s="44">
        <f t="shared" si="183"/>
        <v>36</v>
      </c>
      <c r="BX147" s="44" t="str">
        <f t="shared" si="184"/>
        <v>FATIGA EXTREMA</v>
      </c>
      <c r="BY147" s="57">
        <v>2.0</v>
      </c>
      <c r="BZ147" s="57">
        <v>6.0</v>
      </c>
      <c r="CA147" s="57">
        <v>0.0</v>
      </c>
      <c r="CB147" s="57">
        <v>3.0</v>
      </c>
      <c r="CC147" s="57">
        <v>2.0</v>
      </c>
      <c r="CD147" s="57">
        <v>0.0</v>
      </c>
      <c r="CE147" s="57">
        <v>3.0</v>
      </c>
      <c r="CF147" s="57">
        <v>0.0</v>
      </c>
      <c r="CG147" s="57">
        <v>10.0</v>
      </c>
      <c r="CH147" s="57">
        <v>10.0</v>
      </c>
      <c r="CI147" s="57">
        <v>0.0</v>
      </c>
      <c r="CJ147" s="44">
        <f t="shared" si="213"/>
        <v>7299</v>
      </c>
      <c r="CK147" s="44">
        <f t="shared" si="206"/>
        <v>8</v>
      </c>
      <c r="CL147" s="44" t="str">
        <f t="shared" si="207"/>
        <v>Nivel de actividad física alto</v>
      </c>
      <c r="CM147" s="44" t="str">
        <f t="shared" si="208"/>
        <v>Nivel de actividad física moderado</v>
      </c>
      <c r="CN147" s="45" t="str">
        <f t="shared" si="209"/>
        <v>Nivel de actividad física alto</v>
      </c>
      <c r="CO147" s="57">
        <v>23.0</v>
      </c>
      <c r="CP147" s="57">
        <v>120.0</v>
      </c>
      <c r="CQ147" s="44">
        <f t="shared" si="32"/>
        <v>3</v>
      </c>
      <c r="CR147" s="57">
        <v>6.0</v>
      </c>
      <c r="CS147" s="57">
        <v>0.0</v>
      </c>
      <c r="CT147" s="57">
        <v>7.0</v>
      </c>
      <c r="CU147" s="57">
        <v>5.0</v>
      </c>
      <c r="CV147" s="57">
        <v>3.0</v>
      </c>
      <c r="CW147" s="57">
        <v>3.0</v>
      </c>
      <c r="CX147" s="57">
        <v>3.0</v>
      </c>
      <c r="CY147" s="57">
        <v>0.0</v>
      </c>
      <c r="CZ147" s="57">
        <v>0.0</v>
      </c>
      <c r="DA147" s="57">
        <v>3.0</v>
      </c>
      <c r="DB147" s="57">
        <v>0.0</v>
      </c>
      <c r="DC147" s="57">
        <v>0.0</v>
      </c>
      <c r="DD147" s="57">
        <v>3.0</v>
      </c>
      <c r="DE147" s="57">
        <v>2.0</v>
      </c>
      <c r="DF147" s="36" t="s">
        <v>133</v>
      </c>
      <c r="DG147" s="53">
        <f t="shared" si="55"/>
        <v>14</v>
      </c>
      <c r="DH147" s="57">
        <v>2.0</v>
      </c>
      <c r="DI147" s="57">
        <v>0.0</v>
      </c>
      <c r="DJ147" s="57">
        <v>3.0</v>
      </c>
      <c r="DK147" s="57">
        <v>3.0</v>
      </c>
      <c r="DL147" s="46">
        <f t="shared" si="34"/>
        <v>71.42857143</v>
      </c>
      <c r="DM147" s="44">
        <f t="shared" si="35"/>
        <v>2</v>
      </c>
      <c r="DN147" s="44">
        <f t="shared" si="36"/>
        <v>2</v>
      </c>
      <c r="DO147" s="44">
        <f t="shared" si="37"/>
        <v>3</v>
      </c>
      <c r="DP147" s="44">
        <f t="shared" si="38"/>
        <v>3</v>
      </c>
      <c r="DQ147" s="44">
        <f t="shared" si="39"/>
        <v>2</v>
      </c>
      <c r="DR147" s="44">
        <f t="shared" ref="DR147:DS147" si="217">(DH147)</f>
        <v>2</v>
      </c>
      <c r="DS147" s="44">
        <f t="shared" si="217"/>
        <v>0</v>
      </c>
      <c r="DT147" s="44">
        <f t="shared" si="41"/>
        <v>14</v>
      </c>
      <c r="DU147" s="44" t="str">
        <f t="shared" si="42"/>
        <v>poor sleep quality</v>
      </c>
      <c r="DV147" s="57">
        <v>2.0</v>
      </c>
      <c r="DW147" s="57" t="s">
        <v>155</v>
      </c>
      <c r="DX147" s="57" t="s">
        <v>146</v>
      </c>
      <c r="DY147" s="57" t="s">
        <v>156</v>
      </c>
      <c r="DZ147" s="57" t="s">
        <v>131</v>
      </c>
      <c r="EA147" s="57" t="s">
        <v>157</v>
      </c>
      <c r="EB147" s="57" t="s">
        <v>139</v>
      </c>
      <c r="EC147" s="36" t="s">
        <v>133</v>
      </c>
      <c r="ED147" s="57" t="s">
        <v>131</v>
      </c>
      <c r="EE147" s="57" t="s">
        <v>158</v>
      </c>
      <c r="EF147" s="35">
        <f t="shared" si="196"/>
        <v>1435</v>
      </c>
      <c r="EG147" s="36" t="s">
        <v>133</v>
      </c>
      <c r="EH147" s="47">
        <f t="shared" si="24"/>
        <v>22.65625</v>
      </c>
    </row>
    <row r="148" ht="15.75" customHeight="1">
      <c r="A148" s="43" t="s">
        <v>521</v>
      </c>
      <c r="B148" s="36" t="s">
        <v>175</v>
      </c>
      <c r="C148" s="63">
        <v>45507.0</v>
      </c>
      <c r="D148" s="64">
        <v>56.0</v>
      </c>
      <c r="E148" s="57" t="s">
        <v>130</v>
      </c>
      <c r="F148" s="57">
        <v>167.0</v>
      </c>
      <c r="G148" s="57">
        <v>57.0</v>
      </c>
      <c r="H148" s="59" t="s">
        <v>131</v>
      </c>
      <c r="I148" s="57">
        <v>3.0</v>
      </c>
      <c r="J148" s="55" t="s">
        <v>133</v>
      </c>
      <c r="K148" s="57" t="s">
        <v>131</v>
      </c>
      <c r="L148" s="57">
        <v>1.0</v>
      </c>
      <c r="M148" s="55">
        <v>44044.0</v>
      </c>
      <c r="N148" s="57">
        <v>0.0</v>
      </c>
      <c r="O148" s="55" t="s">
        <v>133</v>
      </c>
      <c r="P148" s="57" t="s">
        <v>132</v>
      </c>
      <c r="Q148" s="36" t="s">
        <v>133</v>
      </c>
      <c r="R148" s="36" t="s">
        <v>133</v>
      </c>
      <c r="S148" s="36" t="s">
        <v>133</v>
      </c>
      <c r="T148" s="36" t="s">
        <v>133</v>
      </c>
      <c r="U148" s="36" t="s">
        <v>133</v>
      </c>
      <c r="V148" s="36" t="str">
        <f t="shared" si="178"/>
        <v>Paciente ambulatorio</v>
      </c>
      <c r="W148" s="57" t="s">
        <v>183</v>
      </c>
      <c r="X148" s="36" t="s">
        <v>133</v>
      </c>
      <c r="Y148" s="57">
        <v>1.0</v>
      </c>
      <c r="Z148" s="57">
        <v>1.0</v>
      </c>
      <c r="AA148" s="57">
        <v>1.0</v>
      </c>
      <c r="AB148" s="57">
        <v>1.0</v>
      </c>
      <c r="AC148" s="57">
        <v>3.0</v>
      </c>
      <c r="AD148" s="57">
        <v>1.0</v>
      </c>
      <c r="AE148" s="57">
        <v>3.0</v>
      </c>
      <c r="AF148" s="57">
        <v>1.0</v>
      </c>
      <c r="AG148" s="57">
        <v>1.0</v>
      </c>
      <c r="AH148" s="57">
        <v>2.0</v>
      </c>
      <c r="AI148" s="57">
        <v>1.0</v>
      </c>
      <c r="AJ148" s="57">
        <v>1.0</v>
      </c>
      <c r="AK148" s="36" t="s">
        <v>133</v>
      </c>
      <c r="AL148" s="57" t="s">
        <v>132</v>
      </c>
      <c r="AM148" s="57" t="s">
        <v>132</v>
      </c>
      <c r="AN148" s="57" t="s">
        <v>132</v>
      </c>
      <c r="AO148" s="57" t="s">
        <v>132</v>
      </c>
      <c r="AP148" s="57" t="s">
        <v>132</v>
      </c>
      <c r="AQ148" s="57" t="s">
        <v>132</v>
      </c>
      <c r="AR148" s="57" t="s">
        <v>132</v>
      </c>
      <c r="AS148" s="57" t="s">
        <v>132</v>
      </c>
      <c r="AT148" s="57" t="s">
        <v>132</v>
      </c>
      <c r="AU148" s="57" t="s">
        <v>132</v>
      </c>
      <c r="AV148" s="57" t="s">
        <v>132</v>
      </c>
      <c r="AW148" s="57" t="s">
        <v>522</v>
      </c>
      <c r="AX148" s="57" t="s">
        <v>131</v>
      </c>
      <c r="AY148" s="57">
        <v>15.0</v>
      </c>
      <c r="AZ148" s="57">
        <v>30.0</v>
      </c>
      <c r="BA148" s="36" t="s">
        <v>133</v>
      </c>
      <c r="BB148" s="57" t="s">
        <v>145</v>
      </c>
      <c r="BC148" s="36" t="s">
        <v>133</v>
      </c>
      <c r="BD148" s="59">
        <v>2.0</v>
      </c>
      <c r="BE148" s="57">
        <v>1.0</v>
      </c>
      <c r="BF148" s="57">
        <v>2.0</v>
      </c>
      <c r="BG148" s="57">
        <v>3.0</v>
      </c>
      <c r="BH148" s="57">
        <v>3.0</v>
      </c>
      <c r="BI148" s="44" t="str">
        <f t="shared" si="205"/>
        <v>21233</v>
      </c>
      <c r="BJ148" s="57">
        <v>65.0</v>
      </c>
      <c r="BK148" s="57">
        <v>5.0</v>
      </c>
      <c r="BL148" s="57">
        <v>5.0</v>
      </c>
      <c r="BM148" s="57">
        <v>1.0</v>
      </c>
      <c r="BN148" s="57">
        <v>3.0</v>
      </c>
      <c r="BO148" s="57">
        <v>4.0</v>
      </c>
      <c r="BP148" s="57">
        <v>5.0</v>
      </c>
      <c r="BQ148" s="57">
        <v>4.0</v>
      </c>
      <c r="BR148" s="57">
        <v>3.0</v>
      </c>
      <c r="BS148" s="57">
        <v>3.0</v>
      </c>
      <c r="BT148" s="57">
        <v>3.0</v>
      </c>
      <c r="BU148" s="44">
        <f t="shared" si="181"/>
        <v>3</v>
      </c>
      <c r="BV148" s="44">
        <f t="shared" si="182"/>
        <v>3</v>
      </c>
      <c r="BW148" s="44">
        <f t="shared" si="183"/>
        <v>36</v>
      </c>
      <c r="BX148" s="44" t="str">
        <f t="shared" si="184"/>
        <v>FATIGA EXTREMA</v>
      </c>
      <c r="BY148" s="57">
        <v>0.0</v>
      </c>
      <c r="BZ148" s="57">
        <v>0.0</v>
      </c>
      <c r="CA148" s="57">
        <v>0.0</v>
      </c>
      <c r="CB148" s="57">
        <v>0.0</v>
      </c>
      <c r="CC148" s="57">
        <v>0.0</v>
      </c>
      <c r="CD148" s="57">
        <v>0.0</v>
      </c>
      <c r="CE148" s="57">
        <v>7.0</v>
      </c>
      <c r="CF148" s="57">
        <v>0.0</v>
      </c>
      <c r="CG148" s="57">
        <v>30.0</v>
      </c>
      <c r="CH148" s="57">
        <v>2.0</v>
      </c>
      <c r="CI148" s="57">
        <v>0.0</v>
      </c>
      <c r="CJ148" s="44">
        <f t="shared" si="213"/>
        <v>693</v>
      </c>
      <c r="CK148" s="44">
        <f t="shared" si="206"/>
        <v>7</v>
      </c>
      <c r="CL148" s="44" t="b">
        <f t="shared" si="207"/>
        <v>0</v>
      </c>
      <c r="CM148" s="44" t="b">
        <f t="shared" si="208"/>
        <v>0</v>
      </c>
      <c r="CN148" s="45" t="str">
        <f t="shared" si="209"/>
        <v>Nivel de actividad física bajo</v>
      </c>
      <c r="CO148" s="57">
        <v>0.0</v>
      </c>
      <c r="CP148" s="57">
        <v>60.0</v>
      </c>
      <c r="CQ148" s="44">
        <f t="shared" si="32"/>
        <v>2</v>
      </c>
      <c r="CR148" s="57">
        <v>8.0</v>
      </c>
      <c r="CS148" s="57">
        <v>0.0</v>
      </c>
      <c r="CT148" s="57">
        <v>6.0</v>
      </c>
      <c r="CU148" s="57">
        <v>6.0</v>
      </c>
      <c r="CV148" s="57">
        <v>3.0</v>
      </c>
      <c r="CW148" s="57">
        <v>3.0</v>
      </c>
      <c r="CX148" s="57">
        <v>3.0</v>
      </c>
      <c r="CY148" s="57">
        <v>0.0</v>
      </c>
      <c r="CZ148" s="57">
        <v>0.0</v>
      </c>
      <c r="DA148" s="57">
        <v>0.0</v>
      </c>
      <c r="DB148" s="57">
        <v>3.0</v>
      </c>
      <c r="DC148" s="57">
        <v>0.0</v>
      </c>
      <c r="DD148" s="57">
        <v>0.0</v>
      </c>
      <c r="DE148" s="57">
        <v>0.0</v>
      </c>
      <c r="DF148" s="36" t="s">
        <v>133</v>
      </c>
      <c r="DG148" s="53">
        <f t="shared" si="55"/>
        <v>9</v>
      </c>
      <c r="DH148" s="57">
        <v>1.0</v>
      </c>
      <c r="DI148" s="57">
        <v>0.0</v>
      </c>
      <c r="DJ148" s="57">
        <v>3.0</v>
      </c>
      <c r="DK148" s="57">
        <v>2.0</v>
      </c>
      <c r="DL148" s="46">
        <f t="shared" si="34"/>
        <v>100</v>
      </c>
      <c r="DM148" s="44">
        <f t="shared" si="35"/>
        <v>1</v>
      </c>
      <c r="DN148" s="44">
        <f t="shared" si="36"/>
        <v>1</v>
      </c>
      <c r="DO148" s="44">
        <f t="shared" si="37"/>
        <v>3</v>
      </c>
      <c r="DP148" s="44">
        <f t="shared" si="38"/>
        <v>3</v>
      </c>
      <c r="DQ148" s="44">
        <f t="shared" si="39"/>
        <v>0</v>
      </c>
      <c r="DR148" s="44">
        <f t="shared" ref="DR148:DS148" si="218">(DH148)</f>
        <v>1</v>
      </c>
      <c r="DS148" s="44">
        <f t="shared" si="218"/>
        <v>0</v>
      </c>
      <c r="DT148" s="44">
        <f t="shared" si="41"/>
        <v>9</v>
      </c>
      <c r="DU148" s="44" t="str">
        <f t="shared" si="42"/>
        <v>poor sleep quality</v>
      </c>
      <c r="DV148" s="57">
        <v>3.0</v>
      </c>
      <c r="DW148" s="57" t="s">
        <v>489</v>
      </c>
      <c r="DX148" s="57" t="s">
        <v>146</v>
      </c>
      <c r="DY148" s="57">
        <v>1.0</v>
      </c>
      <c r="DZ148" s="57" t="s">
        <v>131</v>
      </c>
      <c r="EA148" s="57" t="s">
        <v>178</v>
      </c>
      <c r="EB148" s="57" t="s">
        <v>139</v>
      </c>
      <c r="EC148" s="36" t="s">
        <v>133</v>
      </c>
      <c r="ED148" s="57" t="s">
        <v>131</v>
      </c>
      <c r="EE148" s="57" t="s">
        <v>141</v>
      </c>
      <c r="EF148" s="35">
        <f t="shared" si="196"/>
        <v>1463</v>
      </c>
      <c r="EG148" s="36" t="s">
        <v>133</v>
      </c>
      <c r="EH148" s="47">
        <f t="shared" si="24"/>
        <v>20.43816558</v>
      </c>
    </row>
    <row r="149" ht="15.75" customHeight="1">
      <c r="A149" s="43" t="s">
        <v>523</v>
      </c>
      <c r="B149" s="36" t="s">
        <v>175</v>
      </c>
      <c r="C149" s="37">
        <v>45479.0</v>
      </c>
      <c r="D149" s="64">
        <v>64.0</v>
      </c>
      <c r="E149" s="57" t="s">
        <v>153</v>
      </c>
      <c r="F149" s="57">
        <v>177.0</v>
      </c>
      <c r="G149" s="57">
        <v>80.0</v>
      </c>
      <c r="H149" s="59" t="s">
        <v>131</v>
      </c>
      <c r="I149" s="57">
        <v>2.0</v>
      </c>
      <c r="J149" s="55">
        <v>44531.0</v>
      </c>
      <c r="K149" s="57" t="s">
        <v>131</v>
      </c>
      <c r="L149" s="57">
        <v>3.0</v>
      </c>
      <c r="M149" s="55">
        <v>44531.0</v>
      </c>
      <c r="N149" s="57">
        <v>2.0</v>
      </c>
      <c r="O149" s="55">
        <v>45352.0</v>
      </c>
      <c r="P149" s="57" t="s">
        <v>132</v>
      </c>
      <c r="Q149" s="36" t="s">
        <v>133</v>
      </c>
      <c r="R149" s="36" t="s">
        <v>133</v>
      </c>
      <c r="S149" s="36" t="s">
        <v>133</v>
      </c>
      <c r="T149" s="36" t="s">
        <v>133</v>
      </c>
      <c r="U149" s="36" t="s">
        <v>133</v>
      </c>
      <c r="V149" s="36" t="str">
        <f t="shared" si="178"/>
        <v>Paciente ambulatorio</v>
      </c>
      <c r="W149" s="57" t="s">
        <v>176</v>
      </c>
      <c r="X149" s="57" t="s">
        <v>132</v>
      </c>
      <c r="Y149" s="57">
        <v>2.0</v>
      </c>
      <c r="Z149" s="57">
        <v>1.0</v>
      </c>
      <c r="AA149" s="57">
        <v>3.0</v>
      </c>
      <c r="AB149" s="57">
        <v>3.0</v>
      </c>
      <c r="AC149" s="57">
        <v>1.0</v>
      </c>
      <c r="AD149" s="57">
        <v>2.0</v>
      </c>
      <c r="AE149" s="57">
        <v>2.0</v>
      </c>
      <c r="AF149" s="57">
        <v>3.0</v>
      </c>
      <c r="AG149" s="57">
        <v>3.0</v>
      </c>
      <c r="AH149" s="57">
        <v>3.0</v>
      </c>
      <c r="AI149" s="57">
        <v>1.0</v>
      </c>
      <c r="AJ149" s="57">
        <v>3.0</v>
      </c>
      <c r="AK149" s="36" t="s">
        <v>133</v>
      </c>
      <c r="AL149" s="57" t="s">
        <v>132</v>
      </c>
      <c r="AM149" s="57" t="s">
        <v>132</v>
      </c>
      <c r="AN149" s="57" t="s">
        <v>132</v>
      </c>
      <c r="AO149" s="57" t="s">
        <v>132</v>
      </c>
      <c r="AP149" s="57" t="s">
        <v>132</v>
      </c>
      <c r="AQ149" s="57" t="s">
        <v>132</v>
      </c>
      <c r="AR149" s="57" t="s">
        <v>132</v>
      </c>
      <c r="AS149" s="57" t="s">
        <v>132</v>
      </c>
      <c r="AT149" s="57" t="s">
        <v>132</v>
      </c>
      <c r="AU149" s="57" t="s">
        <v>132</v>
      </c>
      <c r="AV149" s="57" t="s">
        <v>132</v>
      </c>
      <c r="AW149" s="57" t="s">
        <v>524</v>
      </c>
      <c r="AX149" s="57" t="s">
        <v>132</v>
      </c>
      <c r="AY149" s="36" t="s">
        <v>133</v>
      </c>
      <c r="AZ149" s="36" t="s">
        <v>133</v>
      </c>
      <c r="BA149" s="36" t="s">
        <v>133</v>
      </c>
      <c r="BB149" s="57" t="s">
        <v>145</v>
      </c>
      <c r="BC149" s="36" t="s">
        <v>133</v>
      </c>
      <c r="BD149" s="59">
        <v>2.0</v>
      </c>
      <c r="BE149" s="57">
        <v>1.0</v>
      </c>
      <c r="BF149" s="57">
        <v>1.0</v>
      </c>
      <c r="BG149" s="57">
        <v>2.0</v>
      </c>
      <c r="BH149" s="57">
        <v>2.0</v>
      </c>
      <c r="BI149" s="44" t="str">
        <f t="shared" si="205"/>
        <v>21122</v>
      </c>
      <c r="BJ149" s="57">
        <v>65.0</v>
      </c>
      <c r="BK149" s="57">
        <v>3.0</v>
      </c>
      <c r="BL149" s="57">
        <v>3.0</v>
      </c>
      <c r="BM149" s="57">
        <v>5.0</v>
      </c>
      <c r="BN149" s="57">
        <v>3.0</v>
      </c>
      <c r="BO149" s="57">
        <v>3.0</v>
      </c>
      <c r="BP149" s="57">
        <v>2.0</v>
      </c>
      <c r="BQ149" s="57">
        <v>2.0</v>
      </c>
      <c r="BR149" s="57">
        <v>2.0</v>
      </c>
      <c r="BS149" s="57">
        <v>2.0</v>
      </c>
      <c r="BT149" s="57">
        <v>2.0</v>
      </c>
      <c r="BU149" s="44">
        <f t="shared" si="181"/>
        <v>3</v>
      </c>
      <c r="BV149" s="44">
        <f t="shared" si="182"/>
        <v>4</v>
      </c>
      <c r="BW149" s="44">
        <f t="shared" si="183"/>
        <v>28</v>
      </c>
      <c r="BX149" s="44" t="str">
        <f t="shared" si="184"/>
        <v>FATIGA</v>
      </c>
      <c r="BY149" s="57">
        <v>0.0</v>
      </c>
      <c r="BZ149" s="57">
        <v>0.0</v>
      </c>
      <c r="CA149" s="57">
        <v>0.0</v>
      </c>
      <c r="CB149" s="57">
        <v>0.0</v>
      </c>
      <c r="CC149" s="57">
        <v>0.0</v>
      </c>
      <c r="CD149" s="57">
        <v>0.0</v>
      </c>
      <c r="CE149" s="57">
        <v>6.0</v>
      </c>
      <c r="CF149" s="57">
        <v>0.0</v>
      </c>
      <c r="CG149" s="57">
        <v>12.0</v>
      </c>
      <c r="CH149" s="57">
        <v>8.0</v>
      </c>
      <c r="CI149" s="57">
        <v>0.0</v>
      </c>
      <c r="CJ149" s="44">
        <f t="shared" si="213"/>
        <v>237.6</v>
      </c>
      <c r="CK149" s="44">
        <f t="shared" si="206"/>
        <v>6</v>
      </c>
      <c r="CL149" s="44" t="b">
        <f t="shared" si="207"/>
        <v>0</v>
      </c>
      <c r="CM149" s="44" t="b">
        <f t="shared" si="208"/>
        <v>0</v>
      </c>
      <c r="CN149" s="45" t="str">
        <f t="shared" si="209"/>
        <v>Nivel de actividad física bajo</v>
      </c>
      <c r="CO149" s="57">
        <v>0.0</v>
      </c>
      <c r="CP149" s="57">
        <v>15.0</v>
      </c>
      <c r="CQ149" s="44">
        <f t="shared" si="32"/>
        <v>0</v>
      </c>
      <c r="CR149" s="57">
        <v>8.0</v>
      </c>
      <c r="CS149" s="57">
        <v>0.0</v>
      </c>
      <c r="CT149" s="57">
        <v>8.0</v>
      </c>
      <c r="CU149" s="57">
        <v>7.0</v>
      </c>
      <c r="CV149" s="57">
        <v>1.0</v>
      </c>
      <c r="CW149" s="57">
        <v>3.0</v>
      </c>
      <c r="CX149" s="57">
        <v>3.0</v>
      </c>
      <c r="CY149" s="57">
        <v>0.0</v>
      </c>
      <c r="CZ149" s="57">
        <v>0.0</v>
      </c>
      <c r="DA149" s="57">
        <v>0.0</v>
      </c>
      <c r="DB149" s="57">
        <v>0.0</v>
      </c>
      <c r="DC149" s="57">
        <v>0.0</v>
      </c>
      <c r="DD149" s="57">
        <v>0.0</v>
      </c>
      <c r="DE149" s="57">
        <v>1.0</v>
      </c>
      <c r="DF149" s="57" t="s">
        <v>525</v>
      </c>
      <c r="DG149" s="53">
        <f t="shared" si="55"/>
        <v>7</v>
      </c>
      <c r="DH149" s="57">
        <v>1.0</v>
      </c>
      <c r="DI149" s="57">
        <v>3.0</v>
      </c>
      <c r="DJ149" s="57">
        <v>3.0</v>
      </c>
      <c r="DK149" s="57">
        <v>0.0</v>
      </c>
      <c r="DL149" s="46">
        <f t="shared" si="34"/>
        <v>87.5</v>
      </c>
      <c r="DM149" s="44">
        <f t="shared" si="35"/>
        <v>0</v>
      </c>
      <c r="DN149" s="44">
        <f t="shared" si="36"/>
        <v>1</v>
      </c>
      <c r="DO149" s="44">
        <f t="shared" si="37"/>
        <v>1</v>
      </c>
      <c r="DP149" s="44">
        <f t="shared" si="38"/>
        <v>2</v>
      </c>
      <c r="DQ149" s="44">
        <f t="shared" si="39"/>
        <v>0</v>
      </c>
      <c r="DR149" s="44">
        <f t="shared" ref="DR149:DS149" si="219">(DH149)</f>
        <v>1</v>
      </c>
      <c r="DS149" s="44">
        <f t="shared" si="219"/>
        <v>3</v>
      </c>
      <c r="DT149" s="44">
        <f t="shared" si="41"/>
        <v>8</v>
      </c>
      <c r="DU149" s="44" t="str">
        <f t="shared" si="42"/>
        <v>poor sleep quality</v>
      </c>
      <c r="DV149" s="57">
        <v>1.0</v>
      </c>
      <c r="DW149" s="57" t="s">
        <v>314</v>
      </c>
      <c r="DX149" s="57" t="s">
        <v>146</v>
      </c>
      <c r="DY149" s="57">
        <v>2.0</v>
      </c>
      <c r="DZ149" s="57" t="s">
        <v>131</v>
      </c>
      <c r="EA149" s="57" t="s">
        <v>138</v>
      </c>
      <c r="EB149" s="57" t="s">
        <v>219</v>
      </c>
      <c r="EC149" s="36" t="s">
        <v>133</v>
      </c>
      <c r="ED149" s="57" t="s">
        <v>131</v>
      </c>
      <c r="EE149" s="57" t="s">
        <v>141</v>
      </c>
      <c r="EF149" s="35">
        <f t="shared" si="196"/>
        <v>948</v>
      </c>
      <c r="EG149" s="35">
        <f t="shared" ref="EG149:EG151" si="221">C149-O149</f>
        <v>127</v>
      </c>
      <c r="EH149" s="47">
        <f t="shared" si="24"/>
        <v>25.53544639</v>
      </c>
    </row>
    <row r="150" ht="15.75" customHeight="1">
      <c r="A150" s="43" t="s">
        <v>526</v>
      </c>
      <c r="B150" s="36" t="s">
        <v>175</v>
      </c>
      <c r="C150" s="37">
        <v>45479.0</v>
      </c>
      <c r="D150" s="64">
        <v>51.0</v>
      </c>
      <c r="E150" s="57" t="s">
        <v>130</v>
      </c>
      <c r="F150" s="57">
        <v>150.0</v>
      </c>
      <c r="G150" s="57">
        <v>62.0</v>
      </c>
      <c r="H150" s="59" t="s">
        <v>131</v>
      </c>
      <c r="I150" s="57">
        <v>4.0</v>
      </c>
      <c r="J150" s="55">
        <v>44589.0</v>
      </c>
      <c r="K150" s="57" t="s">
        <v>131</v>
      </c>
      <c r="L150" s="57">
        <v>4.0</v>
      </c>
      <c r="M150" s="55">
        <v>43891.0</v>
      </c>
      <c r="N150" s="57">
        <v>0.0</v>
      </c>
      <c r="O150" s="55">
        <v>45292.0</v>
      </c>
      <c r="P150" s="57" t="s">
        <v>132</v>
      </c>
      <c r="Q150" s="36" t="s">
        <v>133</v>
      </c>
      <c r="R150" s="36" t="s">
        <v>133</v>
      </c>
      <c r="S150" s="36" t="s">
        <v>133</v>
      </c>
      <c r="T150" s="36" t="s">
        <v>133</v>
      </c>
      <c r="U150" s="36" t="s">
        <v>133</v>
      </c>
      <c r="V150" s="36" t="str">
        <f t="shared" si="178"/>
        <v>Paciente ambulatorio</v>
      </c>
      <c r="W150" s="57" t="s">
        <v>176</v>
      </c>
      <c r="X150" s="57" t="s">
        <v>132</v>
      </c>
      <c r="Y150" s="57">
        <v>1.0</v>
      </c>
      <c r="Z150" s="57">
        <v>1.0</v>
      </c>
      <c r="AA150" s="57">
        <v>1.0</v>
      </c>
      <c r="AB150" s="57">
        <v>1.0</v>
      </c>
      <c r="AC150" s="57">
        <v>2.0</v>
      </c>
      <c r="AD150" s="57">
        <v>1.0</v>
      </c>
      <c r="AE150" s="57">
        <v>1.0</v>
      </c>
      <c r="AF150" s="57">
        <v>1.0</v>
      </c>
      <c r="AG150" s="57">
        <v>1.0</v>
      </c>
      <c r="AH150" s="57">
        <v>1.0</v>
      </c>
      <c r="AI150" s="57">
        <v>1.0</v>
      </c>
      <c r="AJ150" s="57">
        <v>1.0</v>
      </c>
      <c r="AK150" s="36" t="s">
        <v>133</v>
      </c>
      <c r="AL150" s="57" t="s">
        <v>131</v>
      </c>
      <c r="AM150" s="57" t="s">
        <v>132</v>
      </c>
      <c r="AN150" s="57" t="s">
        <v>132</v>
      </c>
      <c r="AO150" s="57" t="s">
        <v>132</v>
      </c>
      <c r="AP150" s="57" t="s">
        <v>132</v>
      </c>
      <c r="AQ150" s="57" t="s">
        <v>132</v>
      </c>
      <c r="AR150" s="57" t="s">
        <v>132</v>
      </c>
      <c r="AS150" s="57" t="s">
        <v>131</v>
      </c>
      <c r="AT150" s="57" t="s">
        <v>131</v>
      </c>
      <c r="AU150" s="57" t="s">
        <v>132</v>
      </c>
      <c r="AV150" s="57" t="s">
        <v>131</v>
      </c>
      <c r="AW150" s="57" t="s">
        <v>522</v>
      </c>
      <c r="AX150" s="57" t="s">
        <v>132</v>
      </c>
      <c r="AY150" s="36" t="s">
        <v>133</v>
      </c>
      <c r="AZ150" s="36" t="s">
        <v>133</v>
      </c>
      <c r="BA150" s="36" t="s">
        <v>133</v>
      </c>
      <c r="BB150" s="57" t="s">
        <v>145</v>
      </c>
      <c r="BC150" s="36" t="s">
        <v>133</v>
      </c>
      <c r="BD150" s="59">
        <v>2.0</v>
      </c>
      <c r="BE150" s="57">
        <v>2.0</v>
      </c>
      <c r="BF150" s="57">
        <v>3.0</v>
      </c>
      <c r="BG150" s="57">
        <v>3.0</v>
      </c>
      <c r="BH150" s="57">
        <v>3.0</v>
      </c>
      <c r="BI150" s="44" t="str">
        <f t="shared" si="205"/>
        <v>22333</v>
      </c>
      <c r="BJ150" s="57">
        <v>60.0</v>
      </c>
      <c r="BK150" s="57">
        <v>5.0</v>
      </c>
      <c r="BL150" s="57">
        <v>5.0</v>
      </c>
      <c r="BM150" s="57">
        <v>2.0</v>
      </c>
      <c r="BN150" s="57">
        <v>3.0</v>
      </c>
      <c r="BO150" s="57">
        <v>4.0</v>
      </c>
      <c r="BP150" s="57">
        <v>2.0</v>
      </c>
      <c r="BQ150" s="57">
        <v>4.0</v>
      </c>
      <c r="BR150" s="57">
        <v>2.0</v>
      </c>
      <c r="BS150" s="57">
        <v>4.0</v>
      </c>
      <c r="BT150" s="57">
        <v>3.0</v>
      </c>
      <c r="BU150" s="44">
        <f t="shared" si="181"/>
        <v>3</v>
      </c>
      <c r="BV150" s="44">
        <f t="shared" si="182"/>
        <v>3</v>
      </c>
      <c r="BW150" s="44">
        <f t="shared" si="183"/>
        <v>34</v>
      </c>
      <c r="BX150" s="44" t="str">
        <f t="shared" si="184"/>
        <v>FATIGA</v>
      </c>
      <c r="BY150" s="57">
        <v>1.0</v>
      </c>
      <c r="BZ150" s="57">
        <v>2.0</v>
      </c>
      <c r="CA150" s="57">
        <v>0.0</v>
      </c>
      <c r="CB150" s="57">
        <v>3.0</v>
      </c>
      <c r="CC150" s="57">
        <v>3.0</v>
      </c>
      <c r="CD150" s="57">
        <v>0.0</v>
      </c>
      <c r="CE150" s="57">
        <v>3.0</v>
      </c>
      <c r="CF150" s="57">
        <v>0.0</v>
      </c>
      <c r="CG150" s="57">
        <v>0.0</v>
      </c>
      <c r="CH150" s="57">
        <v>1.0</v>
      </c>
      <c r="CI150" s="57">
        <v>0.0</v>
      </c>
      <c r="CJ150" s="44">
        <f t="shared" si="213"/>
        <v>3120</v>
      </c>
      <c r="CK150" s="44">
        <f t="shared" si="206"/>
        <v>7</v>
      </c>
      <c r="CL150" s="44" t="str">
        <f t="shared" si="207"/>
        <v>Nivel de actividad física alto</v>
      </c>
      <c r="CM150" s="44" t="str">
        <f t="shared" si="208"/>
        <v>Nivel de actividad física moderado</v>
      </c>
      <c r="CN150" s="45" t="str">
        <f t="shared" si="209"/>
        <v>Nivel de actividad física alto</v>
      </c>
      <c r="CO150" s="57">
        <v>1.0</v>
      </c>
      <c r="CP150" s="57">
        <v>120.0</v>
      </c>
      <c r="CQ150" s="44">
        <f t="shared" si="32"/>
        <v>3</v>
      </c>
      <c r="CR150" s="57">
        <v>10.0</v>
      </c>
      <c r="CS150" s="57">
        <v>20.0</v>
      </c>
      <c r="CT150" s="57">
        <v>10.2</v>
      </c>
      <c r="CU150" s="57">
        <v>1.5</v>
      </c>
      <c r="CV150" s="57">
        <v>3.0</v>
      </c>
      <c r="CW150" s="57">
        <v>3.0</v>
      </c>
      <c r="CX150" s="57">
        <v>3.0</v>
      </c>
      <c r="CY150" s="57">
        <v>2.0</v>
      </c>
      <c r="CZ150" s="57">
        <v>0.0</v>
      </c>
      <c r="DA150" s="57">
        <v>2.0</v>
      </c>
      <c r="DB150" s="57">
        <v>3.0</v>
      </c>
      <c r="DC150" s="57">
        <v>1.0</v>
      </c>
      <c r="DD150" s="57">
        <v>3.0</v>
      </c>
      <c r="DE150" s="57">
        <v>3.0</v>
      </c>
      <c r="DF150" s="57" t="s">
        <v>279</v>
      </c>
      <c r="DG150" s="53">
        <f t="shared" si="55"/>
        <v>20</v>
      </c>
      <c r="DH150" s="57">
        <v>3.0</v>
      </c>
      <c r="DI150" s="57">
        <v>0.0</v>
      </c>
      <c r="DJ150" s="57">
        <v>0.0</v>
      </c>
      <c r="DK150" s="57">
        <v>0.0</v>
      </c>
      <c r="DL150" s="46">
        <f t="shared" si="34"/>
        <v>14.70588235</v>
      </c>
      <c r="DM150" s="44">
        <f t="shared" si="35"/>
        <v>3</v>
      </c>
      <c r="DN150" s="44">
        <f t="shared" si="36"/>
        <v>3</v>
      </c>
      <c r="DO150" s="44">
        <f t="shared" si="37"/>
        <v>3</v>
      </c>
      <c r="DP150" s="44">
        <f t="shared" si="38"/>
        <v>0</v>
      </c>
      <c r="DQ150" s="44">
        <f t="shared" si="39"/>
        <v>3</v>
      </c>
      <c r="DR150" s="44">
        <f t="shared" ref="DR150:DS150" si="220">(DH150)</f>
        <v>3</v>
      </c>
      <c r="DS150" s="44">
        <f t="shared" si="220"/>
        <v>0</v>
      </c>
      <c r="DT150" s="44">
        <f t="shared" si="41"/>
        <v>15</v>
      </c>
      <c r="DU150" s="44" t="str">
        <f t="shared" si="42"/>
        <v>poor sleep quality</v>
      </c>
      <c r="DV150" s="57">
        <v>3.0</v>
      </c>
      <c r="DW150" s="35" t="s">
        <v>489</v>
      </c>
      <c r="DX150" s="57" t="s">
        <v>146</v>
      </c>
      <c r="DY150" s="57">
        <v>1.0</v>
      </c>
      <c r="DZ150" s="57" t="s">
        <v>131</v>
      </c>
      <c r="EA150" s="57" t="s">
        <v>202</v>
      </c>
      <c r="EB150" s="57" t="s">
        <v>248</v>
      </c>
      <c r="EC150" s="57" t="s">
        <v>131</v>
      </c>
      <c r="ED150" s="57" t="s">
        <v>132</v>
      </c>
      <c r="EE150" s="57" t="s">
        <v>151</v>
      </c>
      <c r="EF150" s="35">
        <f t="shared" si="196"/>
        <v>1588</v>
      </c>
      <c r="EG150" s="35">
        <f t="shared" si="221"/>
        <v>187</v>
      </c>
      <c r="EH150" s="47">
        <f t="shared" si="24"/>
        <v>27.55555556</v>
      </c>
    </row>
    <row r="151" ht="15.75" customHeight="1">
      <c r="A151" s="43" t="s">
        <v>527</v>
      </c>
      <c r="B151" s="36" t="s">
        <v>175</v>
      </c>
      <c r="C151" s="37">
        <v>45479.0</v>
      </c>
      <c r="D151" s="64">
        <v>42.0</v>
      </c>
      <c r="E151" s="57" t="s">
        <v>153</v>
      </c>
      <c r="F151" s="57">
        <v>180.0</v>
      </c>
      <c r="G151" s="57">
        <v>100.0</v>
      </c>
      <c r="H151" s="59" t="s">
        <v>131</v>
      </c>
      <c r="I151" s="57">
        <v>2.0</v>
      </c>
      <c r="J151" s="55" t="s">
        <v>133</v>
      </c>
      <c r="K151" s="57" t="s">
        <v>131</v>
      </c>
      <c r="L151" s="57">
        <v>2.0</v>
      </c>
      <c r="M151" s="55">
        <v>44228.0</v>
      </c>
      <c r="N151" s="57">
        <v>0.0</v>
      </c>
      <c r="O151" s="55">
        <v>44896.0</v>
      </c>
      <c r="P151" s="57" t="s">
        <v>132</v>
      </c>
      <c r="Q151" s="36" t="s">
        <v>133</v>
      </c>
      <c r="R151" s="36" t="s">
        <v>133</v>
      </c>
      <c r="S151" s="36" t="s">
        <v>133</v>
      </c>
      <c r="T151" s="36" t="s">
        <v>133</v>
      </c>
      <c r="U151" s="36" t="s">
        <v>133</v>
      </c>
      <c r="V151" s="36" t="str">
        <f t="shared" si="178"/>
        <v>Paciente ambulatorio</v>
      </c>
      <c r="W151" s="57" t="s">
        <v>176</v>
      </c>
      <c r="X151" s="57" t="s">
        <v>132</v>
      </c>
      <c r="Y151" s="57">
        <v>2.0</v>
      </c>
      <c r="Z151" s="57">
        <v>1.0</v>
      </c>
      <c r="AA151" s="57">
        <v>3.0</v>
      </c>
      <c r="AB151" s="57">
        <v>3.0</v>
      </c>
      <c r="AC151" s="57">
        <v>3.0</v>
      </c>
      <c r="AD151" s="57">
        <v>1.0</v>
      </c>
      <c r="AE151" s="57">
        <v>1.0</v>
      </c>
      <c r="AF151" s="57">
        <v>1.0</v>
      </c>
      <c r="AG151" s="57">
        <v>3.0</v>
      </c>
      <c r="AH151" s="57">
        <v>1.0</v>
      </c>
      <c r="AI151" s="57">
        <v>1.0</v>
      </c>
      <c r="AJ151" s="57">
        <v>1.0</v>
      </c>
      <c r="AK151" s="65" t="s">
        <v>278</v>
      </c>
      <c r="AL151" s="57" t="s">
        <v>132</v>
      </c>
      <c r="AM151" s="57" t="s">
        <v>132</v>
      </c>
      <c r="AN151" s="57" t="s">
        <v>132</v>
      </c>
      <c r="AO151" s="57" t="s">
        <v>132</v>
      </c>
      <c r="AP151" s="57" t="s">
        <v>132</v>
      </c>
      <c r="AQ151" s="57" t="s">
        <v>132</v>
      </c>
      <c r="AR151" s="57" t="s">
        <v>132</v>
      </c>
      <c r="AS151" s="57" t="s">
        <v>132</v>
      </c>
      <c r="AT151" s="57" t="s">
        <v>132</v>
      </c>
      <c r="AU151" s="57" t="s">
        <v>132</v>
      </c>
      <c r="AV151" s="57" t="s">
        <v>132</v>
      </c>
      <c r="AW151" s="36" t="s">
        <v>133</v>
      </c>
      <c r="AX151" s="57" t="s">
        <v>132</v>
      </c>
      <c r="AY151" s="36" t="s">
        <v>133</v>
      </c>
      <c r="AZ151" s="36" t="s">
        <v>133</v>
      </c>
      <c r="BA151" s="36" t="s">
        <v>133</v>
      </c>
      <c r="BB151" s="57" t="s">
        <v>135</v>
      </c>
      <c r="BC151" s="65">
        <v>1.0</v>
      </c>
      <c r="BD151" s="59">
        <v>1.0</v>
      </c>
      <c r="BE151" s="57">
        <v>1.0</v>
      </c>
      <c r="BF151" s="57">
        <v>1.0</v>
      </c>
      <c r="BG151" s="57">
        <v>3.0</v>
      </c>
      <c r="BH151" s="57">
        <v>3.0</v>
      </c>
      <c r="BI151" s="44" t="str">
        <f t="shared" si="205"/>
        <v>11133</v>
      </c>
      <c r="BJ151" s="57">
        <v>70.0</v>
      </c>
      <c r="BK151" s="57">
        <v>4.0</v>
      </c>
      <c r="BL151" s="57">
        <v>3.0</v>
      </c>
      <c r="BM151" s="57">
        <v>3.0</v>
      </c>
      <c r="BN151" s="57">
        <v>2.0</v>
      </c>
      <c r="BO151" s="57">
        <v>3.0</v>
      </c>
      <c r="BP151" s="57">
        <v>4.0</v>
      </c>
      <c r="BQ151" s="57">
        <v>2.0</v>
      </c>
      <c r="BR151" s="57">
        <v>4.0</v>
      </c>
      <c r="BS151" s="57">
        <v>2.0</v>
      </c>
      <c r="BT151" s="57">
        <v>3.0</v>
      </c>
      <c r="BU151" s="44">
        <f t="shared" si="181"/>
        <v>4</v>
      </c>
      <c r="BV151" s="44">
        <f t="shared" si="182"/>
        <v>3</v>
      </c>
      <c r="BW151" s="44">
        <f t="shared" si="183"/>
        <v>31</v>
      </c>
      <c r="BX151" s="44" t="str">
        <f t="shared" si="184"/>
        <v>FATIGA</v>
      </c>
      <c r="BY151" s="57">
        <v>0.0</v>
      </c>
      <c r="BZ151" s="57">
        <v>0.0</v>
      </c>
      <c r="CA151" s="57">
        <v>0.0</v>
      </c>
      <c r="CB151" s="57">
        <v>1.0</v>
      </c>
      <c r="CC151" s="57">
        <v>1.0</v>
      </c>
      <c r="CD151" s="57">
        <v>0.0</v>
      </c>
      <c r="CE151" s="57">
        <v>4.0</v>
      </c>
      <c r="CF151" s="57">
        <v>0.0</v>
      </c>
      <c r="CG151" s="57">
        <v>30.0</v>
      </c>
      <c r="CH151" s="57">
        <v>4.0</v>
      </c>
      <c r="CI151" s="57">
        <v>0.0</v>
      </c>
      <c r="CJ151" s="44">
        <f t="shared" si="213"/>
        <v>636</v>
      </c>
      <c r="CK151" s="44">
        <f t="shared" si="206"/>
        <v>5</v>
      </c>
      <c r="CL151" s="44" t="b">
        <f t="shared" si="207"/>
        <v>0</v>
      </c>
      <c r="CM151" s="44" t="b">
        <f t="shared" si="208"/>
        <v>0</v>
      </c>
      <c r="CN151" s="45" t="str">
        <f t="shared" si="209"/>
        <v>Nivel de actividad física bajo</v>
      </c>
      <c r="CO151" s="57">
        <v>23.0</v>
      </c>
      <c r="CP151" s="57">
        <v>30.0</v>
      </c>
      <c r="CQ151" s="44">
        <f t="shared" si="32"/>
        <v>1</v>
      </c>
      <c r="CR151" s="57">
        <v>8.0</v>
      </c>
      <c r="CS151" s="57">
        <v>30.0</v>
      </c>
      <c r="CT151" s="57">
        <v>9.0</v>
      </c>
      <c r="CU151" s="57">
        <v>5.0</v>
      </c>
      <c r="CV151" s="57">
        <v>3.0</v>
      </c>
      <c r="CW151" s="57">
        <v>3.0</v>
      </c>
      <c r="CX151" s="57">
        <v>3.0</v>
      </c>
      <c r="CY151" s="57">
        <v>2.0</v>
      </c>
      <c r="CZ151" s="57">
        <v>0.0</v>
      </c>
      <c r="DA151" s="57">
        <v>0.0</v>
      </c>
      <c r="DB151" s="57">
        <v>3.0</v>
      </c>
      <c r="DC151" s="57">
        <v>3.0</v>
      </c>
      <c r="DD151" s="57">
        <v>2.0</v>
      </c>
      <c r="DE151" s="57">
        <v>3.0</v>
      </c>
      <c r="DF151" s="57" t="s">
        <v>528</v>
      </c>
      <c r="DG151" s="53">
        <f t="shared" si="55"/>
        <v>19</v>
      </c>
      <c r="DH151" s="57">
        <v>2.0</v>
      </c>
      <c r="DI151" s="57">
        <v>0.0</v>
      </c>
      <c r="DJ151" s="57">
        <v>3.0</v>
      </c>
      <c r="DK151" s="57">
        <v>3.0</v>
      </c>
      <c r="DL151" s="46">
        <f t="shared" si="34"/>
        <v>55.55555556</v>
      </c>
      <c r="DM151" s="44">
        <f t="shared" si="35"/>
        <v>2</v>
      </c>
      <c r="DN151" s="44">
        <f t="shared" si="36"/>
        <v>3</v>
      </c>
      <c r="DO151" s="44">
        <f t="shared" si="37"/>
        <v>2</v>
      </c>
      <c r="DP151" s="44">
        <f t="shared" si="38"/>
        <v>3</v>
      </c>
      <c r="DQ151" s="44">
        <f t="shared" si="39"/>
        <v>3</v>
      </c>
      <c r="DR151" s="44">
        <f t="shared" ref="DR151:DS151" si="222">(DH151)</f>
        <v>2</v>
      </c>
      <c r="DS151" s="44">
        <f t="shared" si="222"/>
        <v>0</v>
      </c>
      <c r="DT151" s="44">
        <f t="shared" si="41"/>
        <v>15</v>
      </c>
      <c r="DU151" s="44" t="str">
        <f t="shared" si="42"/>
        <v>poor sleep quality</v>
      </c>
      <c r="DV151" s="57">
        <v>2.0</v>
      </c>
      <c r="DW151" s="35" t="s">
        <v>489</v>
      </c>
      <c r="DX151" s="57" t="s">
        <v>213</v>
      </c>
      <c r="DY151" s="57">
        <v>1.0</v>
      </c>
      <c r="DZ151" s="57" t="s">
        <v>131</v>
      </c>
      <c r="EA151" s="57" t="s">
        <v>178</v>
      </c>
      <c r="EB151" s="57" t="s">
        <v>230</v>
      </c>
      <c r="EC151" s="57" t="s">
        <v>131</v>
      </c>
      <c r="ED151" s="57" t="s">
        <v>132</v>
      </c>
      <c r="EE151" s="57" t="s">
        <v>203</v>
      </c>
      <c r="EF151" s="35">
        <f t="shared" si="196"/>
        <v>1251</v>
      </c>
      <c r="EG151" s="35">
        <f t="shared" si="221"/>
        <v>583</v>
      </c>
      <c r="EH151" s="47">
        <f t="shared" si="24"/>
        <v>30.86419753</v>
      </c>
    </row>
    <row r="152" ht="15.75" customHeight="1">
      <c r="A152" s="36" t="s">
        <v>529</v>
      </c>
      <c r="B152" s="36" t="s">
        <v>175</v>
      </c>
      <c r="C152" s="63">
        <v>45507.0</v>
      </c>
      <c r="D152" s="64">
        <v>66.0</v>
      </c>
      <c r="E152" s="35" t="s">
        <v>130</v>
      </c>
      <c r="F152" s="57">
        <v>150.0</v>
      </c>
      <c r="G152" s="57">
        <v>80.0</v>
      </c>
      <c r="H152" s="40" t="s">
        <v>131</v>
      </c>
      <c r="I152" s="57">
        <v>4.0</v>
      </c>
      <c r="J152" s="55">
        <v>45453.0</v>
      </c>
      <c r="K152" s="35" t="s">
        <v>131</v>
      </c>
      <c r="L152" s="35">
        <v>1.0</v>
      </c>
      <c r="M152" s="55">
        <v>44782.0</v>
      </c>
      <c r="N152" s="57">
        <v>3.0</v>
      </c>
      <c r="O152" s="55" t="s">
        <v>133</v>
      </c>
      <c r="P152" s="35" t="s">
        <v>132</v>
      </c>
      <c r="Q152" s="36" t="s">
        <v>133</v>
      </c>
      <c r="R152" s="36" t="s">
        <v>133</v>
      </c>
      <c r="S152" s="36" t="s">
        <v>133</v>
      </c>
      <c r="T152" s="36" t="s">
        <v>133</v>
      </c>
      <c r="U152" s="36" t="s">
        <v>133</v>
      </c>
      <c r="V152" s="36" t="str">
        <f t="shared" si="178"/>
        <v>Paciente ambulatorio</v>
      </c>
      <c r="W152" s="35" t="s">
        <v>183</v>
      </c>
      <c r="X152" s="35" t="s">
        <v>132</v>
      </c>
      <c r="Y152" s="35">
        <v>2.0</v>
      </c>
      <c r="Z152" s="35">
        <v>1.0</v>
      </c>
      <c r="AA152" s="57">
        <v>1.0</v>
      </c>
      <c r="AB152" s="57">
        <v>3.0</v>
      </c>
      <c r="AC152" s="57">
        <v>3.0</v>
      </c>
      <c r="AD152" s="57">
        <v>3.0</v>
      </c>
      <c r="AE152" s="57">
        <v>3.0</v>
      </c>
      <c r="AF152" s="35">
        <v>1.0</v>
      </c>
      <c r="AG152" s="57">
        <v>1.0</v>
      </c>
      <c r="AH152" s="35">
        <v>1.0</v>
      </c>
      <c r="AI152" s="35">
        <v>1.0</v>
      </c>
      <c r="AJ152" s="35">
        <v>1.0</v>
      </c>
      <c r="AK152" s="57" t="s">
        <v>530</v>
      </c>
      <c r="AL152" s="40" t="s">
        <v>131</v>
      </c>
      <c r="AM152" s="35" t="s">
        <v>132</v>
      </c>
      <c r="AN152" s="35" t="s">
        <v>132</v>
      </c>
      <c r="AO152" s="35" t="s">
        <v>131</v>
      </c>
      <c r="AP152" s="35" t="s">
        <v>132</v>
      </c>
      <c r="AQ152" s="35" t="s">
        <v>132</v>
      </c>
      <c r="AR152" s="35" t="s">
        <v>132</v>
      </c>
      <c r="AS152" s="57" t="s">
        <v>131</v>
      </c>
      <c r="AT152" s="57" t="s">
        <v>131</v>
      </c>
      <c r="AU152" s="35" t="s">
        <v>132</v>
      </c>
      <c r="AV152" s="35" t="s">
        <v>131</v>
      </c>
      <c r="AW152" s="57" t="s">
        <v>531</v>
      </c>
      <c r="AX152" s="35" t="s">
        <v>165</v>
      </c>
      <c r="AY152" s="36" t="s">
        <v>133</v>
      </c>
      <c r="AZ152" s="36" t="s">
        <v>133</v>
      </c>
      <c r="BA152" s="57">
        <v>36.0</v>
      </c>
      <c r="BB152" s="35" t="s">
        <v>145</v>
      </c>
      <c r="BC152" s="36" t="s">
        <v>133</v>
      </c>
      <c r="BD152" s="40">
        <v>2.0</v>
      </c>
      <c r="BE152" s="57">
        <v>3.0</v>
      </c>
      <c r="BF152" s="57">
        <v>3.0</v>
      </c>
      <c r="BG152" s="57">
        <v>3.0</v>
      </c>
      <c r="BH152" s="35">
        <v>2.0</v>
      </c>
      <c r="BI152" s="44" t="str">
        <f t="shared" si="205"/>
        <v>23332</v>
      </c>
      <c r="BJ152" s="57">
        <v>70.0</v>
      </c>
      <c r="BK152" s="57">
        <v>3.0</v>
      </c>
      <c r="BL152" s="57">
        <v>2.0</v>
      </c>
      <c r="BM152" s="57">
        <v>3.0</v>
      </c>
      <c r="BN152" s="35">
        <v>2.0</v>
      </c>
      <c r="BO152" s="57">
        <v>2.0</v>
      </c>
      <c r="BP152" s="57">
        <v>3.0</v>
      </c>
      <c r="BQ152" s="57">
        <v>2.0</v>
      </c>
      <c r="BR152" s="57">
        <v>2.0</v>
      </c>
      <c r="BS152" s="57">
        <v>2.0</v>
      </c>
      <c r="BT152" s="57">
        <v>4.0</v>
      </c>
      <c r="BU152" s="44">
        <f t="shared" si="181"/>
        <v>4</v>
      </c>
      <c r="BV152" s="44">
        <f t="shared" si="182"/>
        <v>2</v>
      </c>
      <c r="BW152" s="44">
        <f t="shared" si="183"/>
        <v>25</v>
      </c>
      <c r="BX152" s="44" t="str">
        <f t="shared" si="184"/>
        <v>FATIGA</v>
      </c>
      <c r="BY152" s="57">
        <v>2.0</v>
      </c>
      <c r="BZ152" s="35">
        <v>1.0</v>
      </c>
      <c r="CA152" s="35">
        <v>0.0</v>
      </c>
      <c r="CB152" s="35">
        <v>0.0</v>
      </c>
      <c r="CC152" s="57">
        <v>0.0</v>
      </c>
      <c r="CD152" s="35">
        <v>0.0</v>
      </c>
      <c r="CE152" s="57">
        <v>1.0</v>
      </c>
      <c r="CF152" s="57">
        <v>0.0</v>
      </c>
      <c r="CG152" s="57">
        <v>20.0</v>
      </c>
      <c r="CH152" s="57">
        <v>8.0</v>
      </c>
      <c r="CI152" s="35">
        <v>0.0</v>
      </c>
      <c r="CJ152" s="44">
        <f t="shared" si="213"/>
        <v>1026</v>
      </c>
      <c r="CK152" s="44">
        <f t="shared" si="206"/>
        <v>3</v>
      </c>
      <c r="CL152" s="44" t="b">
        <f t="shared" si="207"/>
        <v>0</v>
      </c>
      <c r="CM152" s="44" t="b">
        <f t="shared" si="208"/>
        <v>0</v>
      </c>
      <c r="CN152" s="45" t="str">
        <f t="shared" si="209"/>
        <v>Nivel de actividad física bajo</v>
      </c>
      <c r="CO152" s="57">
        <v>0.0</v>
      </c>
      <c r="CP152" s="57">
        <v>60.0</v>
      </c>
      <c r="CQ152" s="44">
        <f t="shared" si="32"/>
        <v>2</v>
      </c>
      <c r="CR152" s="57">
        <v>6.0</v>
      </c>
      <c r="CS152" s="57">
        <v>15.0</v>
      </c>
      <c r="CT152" s="57">
        <v>6.0</v>
      </c>
      <c r="CU152" s="57">
        <v>6.0</v>
      </c>
      <c r="CV152" s="57">
        <v>3.0</v>
      </c>
      <c r="CW152" s="35">
        <v>3.0</v>
      </c>
      <c r="CX152" s="35">
        <v>3.0</v>
      </c>
      <c r="CY152" s="35">
        <v>0.0</v>
      </c>
      <c r="CZ152" s="35">
        <v>0.0</v>
      </c>
      <c r="DA152" s="57">
        <v>0.0</v>
      </c>
      <c r="DB152" s="57">
        <v>0.0</v>
      </c>
      <c r="DC152" s="57">
        <v>3.0</v>
      </c>
      <c r="DD152" s="35">
        <v>3.0</v>
      </c>
      <c r="DE152" s="57">
        <v>3.0</v>
      </c>
      <c r="DF152" s="57" t="s">
        <v>279</v>
      </c>
      <c r="DG152" s="53">
        <f t="shared" si="55"/>
        <v>15</v>
      </c>
      <c r="DH152" s="57">
        <v>1.0</v>
      </c>
      <c r="DI152" s="57">
        <v>3.0</v>
      </c>
      <c r="DJ152" s="35">
        <v>3.0</v>
      </c>
      <c r="DK152" s="57">
        <v>0.0</v>
      </c>
      <c r="DL152" s="46">
        <f t="shared" si="34"/>
        <v>100</v>
      </c>
      <c r="DM152" s="44">
        <f t="shared" si="35"/>
        <v>1</v>
      </c>
      <c r="DN152" s="44">
        <f t="shared" si="36"/>
        <v>2</v>
      </c>
      <c r="DO152" s="44">
        <f t="shared" si="37"/>
        <v>3</v>
      </c>
      <c r="DP152" s="44">
        <f t="shared" si="38"/>
        <v>2</v>
      </c>
      <c r="DQ152" s="44">
        <f t="shared" si="39"/>
        <v>0</v>
      </c>
      <c r="DR152" s="44">
        <f t="shared" ref="DR152:DS152" si="223">(DH152)</f>
        <v>1</v>
      </c>
      <c r="DS152" s="44">
        <f t="shared" si="223"/>
        <v>3</v>
      </c>
      <c r="DT152" s="44">
        <f t="shared" si="41"/>
        <v>12</v>
      </c>
      <c r="DU152" s="44" t="str">
        <f t="shared" si="42"/>
        <v>poor sleep quality</v>
      </c>
      <c r="DV152" s="57">
        <v>0.0</v>
      </c>
      <c r="DW152" s="36" t="s">
        <v>133</v>
      </c>
      <c r="DX152" s="57" t="s">
        <v>146</v>
      </c>
      <c r="DY152" s="35">
        <v>1.0</v>
      </c>
      <c r="DZ152" s="35" t="s">
        <v>131</v>
      </c>
      <c r="EA152" s="57" t="s">
        <v>167</v>
      </c>
      <c r="EB152" s="57" t="s">
        <v>261</v>
      </c>
      <c r="EC152" s="57" t="s">
        <v>131</v>
      </c>
      <c r="ED152" s="35" t="s">
        <v>132</v>
      </c>
      <c r="EE152" s="57" t="s">
        <v>151</v>
      </c>
      <c r="EF152" s="35">
        <f t="shared" si="196"/>
        <v>725</v>
      </c>
      <c r="EG152" s="36" t="s">
        <v>133</v>
      </c>
      <c r="EH152" s="47">
        <f t="shared" si="24"/>
        <v>35.55555556</v>
      </c>
    </row>
    <row r="153" ht="15.75" customHeight="1">
      <c r="A153" s="36" t="s">
        <v>532</v>
      </c>
      <c r="B153" s="36" t="s">
        <v>175</v>
      </c>
      <c r="C153" s="37">
        <v>45486.0</v>
      </c>
      <c r="D153" s="64">
        <v>62.0</v>
      </c>
      <c r="E153" s="57" t="s">
        <v>130</v>
      </c>
      <c r="F153" s="57">
        <v>162.0</v>
      </c>
      <c r="G153" s="57">
        <v>52.0</v>
      </c>
      <c r="H153" s="59" t="s">
        <v>131</v>
      </c>
      <c r="I153" s="57">
        <v>3.0</v>
      </c>
      <c r="J153" s="55">
        <v>44531.0</v>
      </c>
      <c r="K153" s="57" t="s">
        <v>131</v>
      </c>
      <c r="L153" s="57">
        <v>3.0</v>
      </c>
      <c r="M153" s="55">
        <v>44256.0</v>
      </c>
      <c r="N153" s="57">
        <v>0.0</v>
      </c>
      <c r="O153" s="55">
        <v>44562.0</v>
      </c>
      <c r="P153" s="57" t="s">
        <v>132</v>
      </c>
      <c r="Q153" s="36" t="s">
        <v>133</v>
      </c>
      <c r="R153" s="36" t="s">
        <v>133</v>
      </c>
      <c r="S153" s="36" t="s">
        <v>133</v>
      </c>
      <c r="T153" s="36" t="s">
        <v>133</v>
      </c>
      <c r="U153" s="36" t="s">
        <v>133</v>
      </c>
      <c r="V153" s="36" t="str">
        <f t="shared" si="178"/>
        <v>Paciente ambulatorio</v>
      </c>
      <c r="W153" s="57" t="s">
        <v>176</v>
      </c>
      <c r="X153" s="57" t="s">
        <v>132</v>
      </c>
      <c r="Y153" s="57">
        <v>3.0</v>
      </c>
      <c r="Z153" s="57">
        <v>1.0</v>
      </c>
      <c r="AA153" s="57">
        <v>2.0</v>
      </c>
      <c r="AB153" s="57">
        <v>2.0</v>
      </c>
      <c r="AC153" s="57">
        <v>3.0</v>
      </c>
      <c r="AD153" s="57">
        <v>2.0</v>
      </c>
      <c r="AE153" s="57">
        <v>2.0</v>
      </c>
      <c r="AF153" s="57">
        <v>3.0</v>
      </c>
      <c r="AG153" s="57">
        <v>3.0</v>
      </c>
      <c r="AH153" s="57">
        <v>1.0</v>
      </c>
      <c r="AI153" s="57">
        <v>1.0</v>
      </c>
      <c r="AJ153" s="57">
        <v>1.0</v>
      </c>
      <c r="AK153" s="36" t="s">
        <v>133</v>
      </c>
      <c r="AL153" s="36" t="s">
        <v>133</v>
      </c>
      <c r="AM153" s="36" t="s">
        <v>133</v>
      </c>
      <c r="AN153" s="36" t="s">
        <v>133</v>
      </c>
      <c r="AO153" s="36" t="s">
        <v>133</v>
      </c>
      <c r="AP153" s="36" t="s">
        <v>133</v>
      </c>
      <c r="AQ153" s="36" t="s">
        <v>133</v>
      </c>
      <c r="AR153" s="36" t="s">
        <v>133</v>
      </c>
      <c r="AS153" s="36" t="s">
        <v>133</v>
      </c>
      <c r="AT153" s="36" t="s">
        <v>133</v>
      </c>
      <c r="AU153" s="36" t="s">
        <v>133</v>
      </c>
      <c r="AV153" s="36" t="s">
        <v>133</v>
      </c>
      <c r="AW153" s="36" t="s">
        <v>133</v>
      </c>
      <c r="AX153" s="36" t="s">
        <v>133</v>
      </c>
      <c r="AY153" s="36" t="s">
        <v>133</v>
      </c>
      <c r="AZ153" s="36" t="s">
        <v>133</v>
      </c>
      <c r="BA153" s="36" t="s">
        <v>133</v>
      </c>
      <c r="BB153" s="36" t="s">
        <v>133</v>
      </c>
      <c r="BC153" s="36" t="s">
        <v>133</v>
      </c>
      <c r="BD153" s="59">
        <v>3.0</v>
      </c>
      <c r="BE153" s="57">
        <v>1.0</v>
      </c>
      <c r="BF153" s="57">
        <v>3.0</v>
      </c>
      <c r="BG153" s="57">
        <v>4.0</v>
      </c>
      <c r="BH153" s="57">
        <v>3.0</v>
      </c>
      <c r="BI153" s="44" t="str">
        <f t="shared" si="205"/>
        <v>31343</v>
      </c>
      <c r="BJ153" s="57">
        <v>50.0</v>
      </c>
      <c r="BK153" s="57">
        <v>4.0</v>
      </c>
      <c r="BL153" s="57">
        <v>4.0</v>
      </c>
      <c r="BM153" s="57">
        <v>3.0</v>
      </c>
      <c r="BN153" s="57">
        <v>3.0</v>
      </c>
      <c r="BO153" s="57">
        <v>4.0</v>
      </c>
      <c r="BP153" s="57">
        <v>3.0</v>
      </c>
      <c r="BQ153" s="57">
        <v>2.0</v>
      </c>
      <c r="BR153" s="57">
        <v>3.0</v>
      </c>
      <c r="BS153" s="57">
        <v>4.0</v>
      </c>
      <c r="BT153" s="57">
        <v>3.0</v>
      </c>
      <c r="BU153" s="44">
        <f t="shared" si="181"/>
        <v>3</v>
      </c>
      <c r="BV153" s="44">
        <f t="shared" si="182"/>
        <v>3</v>
      </c>
      <c r="BW153" s="44">
        <f t="shared" si="183"/>
        <v>33</v>
      </c>
      <c r="BX153" s="44" t="str">
        <f t="shared" si="184"/>
        <v>FATIGA</v>
      </c>
      <c r="BY153" s="57">
        <v>0.0</v>
      </c>
      <c r="BZ153" s="57">
        <v>0.0</v>
      </c>
      <c r="CA153" s="57">
        <v>0.0</v>
      </c>
      <c r="CB153" s="57">
        <v>3.0</v>
      </c>
      <c r="CC153" s="57">
        <v>1.0</v>
      </c>
      <c r="CD153" s="57">
        <v>0.0</v>
      </c>
      <c r="CE153" s="57">
        <v>3.0</v>
      </c>
      <c r="CF153" s="57">
        <v>1.0</v>
      </c>
      <c r="CG153" s="57">
        <v>0.0</v>
      </c>
      <c r="CH153" s="57">
        <v>10.0</v>
      </c>
      <c r="CI153" s="57">
        <v>0.0</v>
      </c>
      <c r="CJ153" s="44">
        <f t="shared" si="213"/>
        <v>1314</v>
      </c>
      <c r="CK153" s="44">
        <f t="shared" si="206"/>
        <v>6</v>
      </c>
      <c r="CL153" s="44" t="b">
        <f t="shared" si="207"/>
        <v>0</v>
      </c>
      <c r="CM153" s="44" t="str">
        <f t="shared" si="208"/>
        <v>Nivel de actividad física moderado</v>
      </c>
      <c r="CN153" s="45" t="str">
        <f t="shared" si="209"/>
        <v>Nivel de actividad física moderado</v>
      </c>
      <c r="CO153" s="69">
        <v>0.9791666666666666</v>
      </c>
      <c r="CP153" s="57">
        <v>30.0</v>
      </c>
      <c r="CQ153" s="44">
        <f t="shared" si="32"/>
        <v>1</v>
      </c>
      <c r="CR153" s="57">
        <v>7.0</v>
      </c>
      <c r="CS153" s="57">
        <v>0.0</v>
      </c>
      <c r="CT153" s="57">
        <v>7.5</v>
      </c>
      <c r="CU153" s="57">
        <v>3.0</v>
      </c>
      <c r="CV153" s="57">
        <v>3.0</v>
      </c>
      <c r="CW153" s="57">
        <v>3.0</v>
      </c>
      <c r="CX153" s="57">
        <v>3.0</v>
      </c>
      <c r="CY153" s="57">
        <v>0.0</v>
      </c>
      <c r="CZ153" s="57">
        <v>0.0</v>
      </c>
      <c r="DA153" s="57">
        <v>3.0</v>
      </c>
      <c r="DB153" s="57">
        <v>0.0</v>
      </c>
      <c r="DC153" s="57">
        <v>0.0</v>
      </c>
      <c r="DD153" s="57">
        <v>1.0</v>
      </c>
      <c r="DE153" s="57">
        <v>2.0</v>
      </c>
      <c r="DF153" s="57" t="s">
        <v>279</v>
      </c>
      <c r="DG153" s="53">
        <f t="shared" si="55"/>
        <v>12</v>
      </c>
      <c r="DH153" s="57">
        <v>3.0</v>
      </c>
      <c r="DI153" s="57">
        <v>0.0</v>
      </c>
      <c r="DJ153" s="57">
        <v>0.0</v>
      </c>
      <c r="DK153" s="57">
        <v>0.0</v>
      </c>
      <c r="DL153" s="46">
        <f t="shared" si="34"/>
        <v>40</v>
      </c>
      <c r="DM153" s="44">
        <f t="shared" si="35"/>
        <v>3</v>
      </c>
      <c r="DN153" s="44">
        <f t="shared" si="36"/>
        <v>2</v>
      </c>
      <c r="DO153" s="44">
        <f t="shared" si="37"/>
        <v>2</v>
      </c>
      <c r="DP153" s="44">
        <f t="shared" si="38"/>
        <v>0</v>
      </c>
      <c r="DQ153" s="44">
        <f t="shared" si="39"/>
        <v>3</v>
      </c>
      <c r="DR153" s="44">
        <f t="shared" ref="DR153:DS153" si="224">(DH153)</f>
        <v>3</v>
      </c>
      <c r="DS153" s="44">
        <f t="shared" si="224"/>
        <v>0</v>
      </c>
      <c r="DT153" s="44">
        <f t="shared" si="41"/>
        <v>13</v>
      </c>
      <c r="DU153" s="44" t="str">
        <f t="shared" si="42"/>
        <v>poor sleep quality</v>
      </c>
      <c r="DV153" s="57">
        <v>1.0</v>
      </c>
      <c r="DW153" s="57" t="s">
        <v>314</v>
      </c>
      <c r="DX153" s="57" t="s">
        <v>146</v>
      </c>
      <c r="DY153" s="57">
        <v>2.0</v>
      </c>
      <c r="DZ153" s="57" t="s">
        <v>131</v>
      </c>
      <c r="EA153" s="57" t="s">
        <v>147</v>
      </c>
      <c r="EB153" s="57" t="s">
        <v>287</v>
      </c>
      <c r="EC153" s="57" t="s">
        <v>131</v>
      </c>
      <c r="ED153" s="57" t="s">
        <v>132</v>
      </c>
      <c r="EE153" s="57" t="s">
        <v>141</v>
      </c>
      <c r="EF153" s="35">
        <f t="shared" si="196"/>
        <v>1230</v>
      </c>
      <c r="EG153" s="35">
        <f t="shared" ref="EG153:EG154" si="226">C153-O153</f>
        <v>924</v>
      </c>
      <c r="EH153" s="47">
        <f t="shared" si="24"/>
        <v>19.81405274</v>
      </c>
    </row>
    <row r="154" ht="15.75" customHeight="1">
      <c r="A154" s="36" t="s">
        <v>533</v>
      </c>
      <c r="B154" s="36" t="s">
        <v>175</v>
      </c>
      <c r="C154" s="63">
        <v>45542.0</v>
      </c>
      <c r="D154" s="64">
        <v>55.0</v>
      </c>
      <c r="E154" s="57" t="s">
        <v>130</v>
      </c>
      <c r="F154" s="57">
        <v>165.0</v>
      </c>
      <c r="G154" s="57">
        <v>69.0</v>
      </c>
      <c r="H154" s="59" t="s">
        <v>131</v>
      </c>
      <c r="I154" s="57">
        <v>4.0</v>
      </c>
      <c r="J154" s="55">
        <v>45139.0</v>
      </c>
      <c r="K154" s="57" t="s">
        <v>131</v>
      </c>
      <c r="L154" s="57">
        <v>2.0</v>
      </c>
      <c r="M154" s="55">
        <v>43983.0</v>
      </c>
      <c r="N154" s="57">
        <v>0.0</v>
      </c>
      <c r="O154" s="55">
        <v>44593.0</v>
      </c>
      <c r="P154" s="57" t="s">
        <v>132</v>
      </c>
      <c r="Q154" s="36" t="s">
        <v>133</v>
      </c>
      <c r="R154" s="36" t="s">
        <v>133</v>
      </c>
      <c r="S154" s="36" t="s">
        <v>133</v>
      </c>
      <c r="T154" s="36" t="s">
        <v>133</v>
      </c>
      <c r="U154" s="36" t="s">
        <v>133</v>
      </c>
      <c r="V154" s="36" t="str">
        <f t="shared" si="178"/>
        <v>Paciente ambulatorio</v>
      </c>
      <c r="W154" s="57" t="s">
        <v>183</v>
      </c>
      <c r="X154" s="57" t="s">
        <v>132</v>
      </c>
      <c r="Y154" s="57">
        <v>2.0</v>
      </c>
      <c r="Z154" s="57">
        <v>3.0</v>
      </c>
      <c r="AA154" s="57">
        <v>3.0</v>
      </c>
      <c r="AB154" s="57">
        <v>3.0</v>
      </c>
      <c r="AC154" s="57">
        <v>3.0</v>
      </c>
      <c r="AD154" s="57">
        <v>1.0</v>
      </c>
      <c r="AE154" s="57">
        <v>3.0</v>
      </c>
      <c r="AF154" s="57">
        <v>1.0</v>
      </c>
      <c r="AG154" s="57">
        <v>3.0</v>
      </c>
      <c r="AH154" s="57">
        <v>1.0</v>
      </c>
      <c r="AI154" s="57">
        <v>1.0</v>
      </c>
      <c r="AJ154" s="57">
        <v>1.0</v>
      </c>
      <c r="AK154" s="65" t="s">
        <v>534</v>
      </c>
      <c r="AL154" s="57" t="s">
        <v>132</v>
      </c>
      <c r="AM154" s="57" t="s">
        <v>132</v>
      </c>
      <c r="AN154" s="57" t="s">
        <v>132</v>
      </c>
      <c r="AO154" s="57" t="s">
        <v>132</v>
      </c>
      <c r="AP154" s="57" t="s">
        <v>132</v>
      </c>
      <c r="AQ154" s="57" t="s">
        <v>132</v>
      </c>
      <c r="AR154" s="57" t="s">
        <v>132</v>
      </c>
      <c r="AS154" s="57" t="s">
        <v>132</v>
      </c>
      <c r="AT154" s="57" t="s">
        <v>132</v>
      </c>
      <c r="AU154" s="57" t="s">
        <v>132</v>
      </c>
      <c r="AV154" s="57" t="s">
        <v>131</v>
      </c>
      <c r="AW154" s="57" t="s">
        <v>535</v>
      </c>
      <c r="AX154" s="57" t="s">
        <v>132</v>
      </c>
      <c r="AY154" s="36" t="s">
        <v>133</v>
      </c>
      <c r="AZ154" s="36" t="s">
        <v>133</v>
      </c>
      <c r="BA154" s="36" t="s">
        <v>133</v>
      </c>
      <c r="BB154" s="57" t="s">
        <v>145</v>
      </c>
      <c r="BC154" s="36" t="s">
        <v>133</v>
      </c>
      <c r="BD154" s="59">
        <v>1.0</v>
      </c>
      <c r="BE154" s="57">
        <v>1.0</v>
      </c>
      <c r="BF154" s="57">
        <v>1.0</v>
      </c>
      <c r="BG154" s="57">
        <v>2.0</v>
      </c>
      <c r="BH154" s="57">
        <v>4.0</v>
      </c>
      <c r="BI154" s="44" t="str">
        <f t="shared" si="205"/>
        <v>11124</v>
      </c>
      <c r="BJ154" s="57">
        <v>90.0</v>
      </c>
      <c r="BK154" s="57">
        <v>2.0</v>
      </c>
      <c r="BL154" s="57">
        <v>2.0</v>
      </c>
      <c r="BM154" s="57">
        <v>2.0</v>
      </c>
      <c r="BN154" s="57">
        <v>3.0</v>
      </c>
      <c r="BO154" s="57">
        <v>2.0</v>
      </c>
      <c r="BP154" s="57">
        <v>2.0</v>
      </c>
      <c r="BQ154" s="57">
        <v>2.0</v>
      </c>
      <c r="BR154" s="57">
        <v>2.0</v>
      </c>
      <c r="BS154" s="57">
        <v>3.0</v>
      </c>
      <c r="BT154" s="57">
        <v>2.0</v>
      </c>
      <c r="BU154" s="44">
        <f t="shared" si="181"/>
        <v>3</v>
      </c>
      <c r="BV154" s="44">
        <f t="shared" si="182"/>
        <v>4</v>
      </c>
      <c r="BW154" s="44">
        <f t="shared" si="183"/>
        <v>23</v>
      </c>
      <c r="BX154" s="44" t="str">
        <f t="shared" si="184"/>
        <v>FATIGA</v>
      </c>
      <c r="BY154" s="57">
        <v>0.0</v>
      </c>
      <c r="BZ154" s="57">
        <v>0.0</v>
      </c>
      <c r="CA154" s="57">
        <v>0.0</v>
      </c>
      <c r="CB154" s="57">
        <v>0.0</v>
      </c>
      <c r="CC154" s="57">
        <v>0.0</v>
      </c>
      <c r="CD154" s="57">
        <v>0.0</v>
      </c>
      <c r="CE154" s="57">
        <v>1.0</v>
      </c>
      <c r="CF154" s="57">
        <v>0.0</v>
      </c>
      <c r="CG154" s="57">
        <v>12.0</v>
      </c>
      <c r="CH154" s="57">
        <v>12.0</v>
      </c>
      <c r="CI154" s="57">
        <v>0.0</v>
      </c>
      <c r="CJ154" s="44">
        <f t="shared" si="213"/>
        <v>39.6</v>
      </c>
      <c r="CK154" s="44">
        <f t="shared" si="206"/>
        <v>1</v>
      </c>
      <c r="CL154" s="44" t="b">
        <f t="shared" si="207"/>
        <v>0</v>
      </c>
      <c r="CM154" s="44" t="b">
        <f t="shared" si="208"/>
        <v>0</v>
      </c>
      <c r="CN154" s="45" t="str">
        <f t="shared" si="209"/>
        <v>Nivel de actividad física bajo</v>
      </c>
      <c r="CO154" s="57">
        <v>0.0</v>
      </c>
      <c r="CP154" s="57">
        <v>30.0</v>
      </c>
      <c r="CQ154" s="44">
        <f t="shared" si="32"/>
        <v>1</v>
      </c>
      <c r="CR154" s="57">
        <v>6.0</v>
      </c>
      <c r="CS154" s="57">
        <v>0.0</v>
      </c>
      <c r="CT154" s="57">
        <v>6.0</v>
      </c>
      <c r="CU154" s="57">
        <v>6.0</v>
      </c>
      <c r="CV154" s="57">
        <v>0.0</v>
      </c>
      <c r="CW154" s="57">
        <v>3.0</v>
      </c>
      <c r="CX154" s="57">
        <v>3.0</v>
      </c>
      <c r="CY154" s="57">
        <v>0.0</v>
      </c>
      <c r="CZ154" s="57">
        <v>0.0</v>
      </c>
      <c r="DA154" s="57">
        <v>0.0</v>
      </c>
      <c r="DB154" s="57">
        <v>3.0</v>
      </c>
      <c r="DC154" s="57">
        <v>0.0</v>
      </c>
      <c r="DD154" s="57">
        <v>0.0</v>
      </c>
      <c r="DE154" s="57">
        <v>3.0</v>
      </c>
      <c r="DF154" s="57" t="s">
        <v>536</v>
      </c>
      <c r="DG154" s="53">
        <f t="shared" si="55"/>
        <v>12</v>
      </c>
      <c r="DH154" s="57">
        <v>1.0</v>
      </c>
      <c r="DI154" s="57">
        <v>0.0</v>
      </c>
      <c r="DJ154" s="57">
        <v>3.0</v>
      </c>
      <c r="DK154" s="57">
        <v>2.0</v>
      </c>
      <c r="DL154" s="46">
        <f t="shared" si="34"/>
        <v>100</v>
      </c>
      <c r="DM154" s="44">
        <f t="shared" si="35"/>
        <v>1</v>
      </c>
      <c r="DN154" s="44">
        <f t="shared" si="36"/>
        <v>2</v>
      </c>
      <c r="DO154" s="44">
        <f t="shared" si="37"/>
        <v>1</v>
      </c>
      <c r="DP154" s="44">
        <f t="shared" si="38"/>
        <v>3</v>
      </c>
      <c r="DQ154" s="44">
        <f t="shared" si="39"/>
        <v>0</v>
      </c>
      <c r="DR154" s="44">
        <f t="shared" ref="DR154:DS154" si="225">(DH154)</f>
        <v>1</v>
      </c>
      <c r="DS154" s="44">
        <f t="shared" si="225"/>
        <v>0</v>
      </c>
      <c r="DT154" s="44">
        <f t="shared" si="41"/>
        <v>8</v>
      </c>
      <c r="DU154" s="44" t="str">
        <f t="shared" si="42"/>
        <v>poor sleep quality</v>
      </c>
      <c r="DV154" s="57">
        <v>4.0</v>
      </c>
      <c r="DW154" s="57" t="s">
        <v>537</v>
      </c>
      <c r="DX154" s="57" t="s">
        <v>146</v>
      </c>
      <c r="DY154" s="57">
        <v>2.0</v>
      </c>
      <c r="DZ154" s="57" t="s">
        <v>131</v>
      </c>
      <c r="EA154" s="57" t="s">
        <v>202</v>
      </c>
      <c r="EB154" s="57" t="s">
        <v>139</v>
      </c>
      <c r="EC154" s="36" t="s">
        <v>133</v>
      </c>
      <c r="ED154" s="57" t="s">
        <v>131</v>
      </c>
      <c r="EE154" s="57" t="s">
        <v>151</v>
      </c>
      <c r="EF154" s="35">
        <f t="shared" si="196"/>
        <v>1559</v>
      </c>
      <c r="EG154" s="35">
        <f t="shared" si="226"/>
        <v>949</v>
      </c>
      <c r="EH154" s="47">
        <f t="shared" si="24"/>
        <v>25.34435262</v>
      </c>
    </row>
    <row r="155" ht="15.75" customHeight="1">
      <c r="A155" s="36" t="s">
        <v>538</v>
      </c>
      <c r="B155" s="36" t="s">
        <v>175</v>
      </c>
      <c r="C155" s="37">
        <v>45486.0</v>
      </c>
      <c r="D155" s="64">
        <v>64.0</v>
      </c>
      <c r="E155" s="57" t="s">
        <v>153</v>
      </c>
      <c r="F155" s="57">
        <v>170.0</v>
      </c>
      <c r="G155" s="57">
        <v>107.0</v>
      </c>
      <c r="H155" s="59" t="s">
        <v>131</v>
      </c>
      <c r="I155" s="57">
        <v>6.0</v>
      </c>
      <c r="J155" s="55">
        <v>45413.0</v>
      </c>
      <c r="K155" s="57" t="s">
        <v>131</v>
      </c>
      <c r="L155" s="57">
        <v>1.0</v>
      </c>
      <c r="M155" s="55">
        <v>44197.0</v>
      </c>
      <c r="N155" s="57">
        <v>0.0</v>
      </c>
      <c r="O155" s="55" t="s">
        <v>133</v>
      </c>
      <c r="P155" s="57" t="s">
        <v>132</v>
      </c>
      <c r="Q155" s="36" t="s">
        <v>133</v>
      </c>
      <c r="R155" s="36" t="s">
        <v>133</v>
      </c>
      <c r="S155" s="36" t="s">
        <v>133</v>
      </c>
      <c r="T155" s="36" t="s">
        <v>133</v>
      </c>
      <c r="U155" s="36" t="s">
        <v>133</v>
      </c>
      <c r="V155" s="36" t="str">
        <f t="shared" si="178"/>
        <v>Paciente ambulatorio</v>
      </c>
      <c r="W155" s="57" t="s">
        <v>176</v>
      </c>
      <c r="X155" s="57" t="s">
        <v>132</v>
      </c>
      <c r="Y155" s="57">
        <v>3.0</v>
      </c>
      <c r="Z155" s="57">
        <v>2.0</v>
      </c>
      <c r="AA155" s="57">
        <v>3.0</v>
      </c>
      <c r="AB155" s="57">
        <v>2.0</v>
      </c>
      <c r="AC155" s="57">
        <v>1.0</v>
      </c>
      <c r="AD155" s="57">
        <v>2.0</v>
      </c>
      <c r="AE155" s="57">
        <v>3.0</v>
      </c>
      <c r="AF155" s="57">
        <v>1.0</v>
      </c>
      <c r="AG155" s="57">
        <v>1.0</v>
      </c>
      <c r="AH155" s="57">
        <v>1.0</v>
      </c>
      <c r="AI155" s="57">
        <v>3.0</v>
      </c>
      <c r="AJ155" s="57">
        <v>3.0</v>
      </c>
      <c r="AK155" s="65" t="s">
        <v>539</v>
      </c>
      <c r="AL155" s="57" t="s">
        <v>132</v>
      </c>
      <c r="AM155" s="57" t="s">
        <v>132</v>
      </c>
      <c r="AN155" s="57" t="s">
        <v>132</v>
      </c>
      <c r="AO155" s="57" t="s">
        <v>132</v>
      </c>
      <c r="AP155" s="57" t="s">
        <v>132</v>
      </c>
      <c r="AQ155" s="57" t="s">
        <v>132</v>
      </c>
      <c r="AR155" s="57" t="s">
        <v>132</v>
      </c>
      <c r="AS155" s="57" t="s">
        <v>132</v>
      </c>
      <c r="AT155" s="57" t="s">
        <v>132</v>
      </c>
      <c r="AU155" s="57" t="s">
        <v>132</v>
      </c>
      <c r="AV155" s="57" t="s">
        <v>132</v>
      </c>
      <c r="AW155" s="36" t="s">
        <v>133</v>
      </c>
      <c r="AX155" s="57" t="s">
        <v>165</v>
      </c>
      <c r="AY155" s="36" t="s">
        <v>133</v>
      </c>
      <c r="AZ155" s="36" t="s">
        <v>133</v>
      </c>
      <c r="BA155" s="57">
        <v>5.0</v>
      </c>
      <c r="BB155" s="57" t="s">
        <v>135</v>
      </c>
      <c r="BC155" s="65">
        <v>5.0</v>
      </c>
      <c r="BD155" s="59">
        <v>1.0</v>
      </c>
      <c r="BE155" s="57">
        <v>1.0</v>
      </c>
      <c r="BF155" s="57">
        <v>1.0</v>
      </c>
      <c r="BG155" s="57">
        <v>1.0</v>
      </c>
      <c r="BH155" s="57">
        <v>1.0</v>
      </c>
      <c r="BI155" s="44" t="str">
        <f t="shared" si="205"/>
        <v>11111</v>
      </c>
      <c r="BJ155" s="57">
        <v>95.0</v>
      </c>
      <c r="BK155" s="57">
        <v>2.0</v>
      </c>
      <c r="BL155" s="57">
        <v>2.0</v>
      </c>
      <c r="BM155" s="57">
        <v>4.0</v>
      </c>
      <c r="BN155" s="57">
        <v>5.0</v>
      </c>
      <c r="BO155" s="57">
        <v>2.0</v>
      </c>
      <c r="BP155" s="57">
        <v>2.0</v>
      </c>
      <c r="BQ155" s="57">
        <v>3.0</v>
      </c>
      <c r="BR155" s="57">
        <v>2.0</v>
      </c>
      <c r="BS155" s="57">
        <v>2.0</v>
      </c>
      <c r="BT155" s="57">
        <v>4.0</v>
      </c>
      <c r="BU155" s="44">
        <f t="shared" si="181"/>
        <v>1</v>
      </c>
      <c r="BV155" s="44">
        <f t="shared" si="182"/>
        <v>2</v>
      </c>
      <c r="BW155" s="44">
        <f t="shared" si="183"/>
        <v>25</v>
      </c>
      <c r="BX155" s="44" t="str">
        <f t="shared" si="184"/>
        <v>FATIGA</v>
      </c>
      <c r="BY155" s="57">
        <v>0.0</v>
      </c>
      <c r="BZ155" s="57">
        <v>0.0</v>
      </c>
      <c r="CA155" s="57">
        <v>0.0</v>
      </c>
      <c r="CB155" s="57">
        <v>0.0</v>
      </c>
      <c r="CC155" s="57">
        <v>0.0</v>
      </c>
      <c r="CD155" s="57">
        <v>0.0</v>
      </c>
      <c r="CE155" s="57">
        <v>7.0</v>
      </c>
      <c r="CF155" s="57">
        <v>0.0</v>
      </c>
      <c r="CG155" s="57">
        <v>15.0</v>
      </c>
      <c r="CH155" s="57">
        <v>8.0</v>
      </c>
      <c r="CI155" s="57">
        <v>0.0</v>
      </c>
      <c r="CJ155" s="44">
        <f t="shared" si="213"/>
        <v>346.5</v>
      </c>
      <c r="CK155" s="44">
        <f t="shared" si="206"/>
        <v>7</v>
      </c>
      <c r="CL155" s="44" t="b">
        <f t="shared" si="207"/>
        <v>0</v>
      </c>
      <c r="CM155" s="44" t="b">
        <f t="shared" si="208"/>
        <v>0</v>
      </c>
      <c r="CN155" s="45" t="str">
        <f t="shared" si="209"/>
        <v>Nivel de actividad física bajo</v>
      </c>
      <c r="CO155" s="69">
        <v>0.9375</v>
      </c>
      <c r="CP155" s="57">
        <v>5.0</v>
      </c>
      <c r="CQ155" s="44">
        <f t="shared" si="32"/>
        <v>0</v>
      </c>
      <c r="CR155" s="57">
        <v>5.0</v>
      </c>
      <c r="CS155" s="57">
        <v>30.0</v>
      </c>
      <c r="CT155" s="57">
        <v>7.0</v>
      </c>
      <c r="CU155" s="57">
        <v>6.0</v>
      </c>
      <c r="CV155" s="57">
        <v>0.0</v>
      </c>
      <c r="CW155" s="57">
        <v>0.0</v>
      </c>
      <c r="CX155" s="57">
        <v>3.0</v>
      </c>
      <c r="CY155" s="57">
        <v>0.0</v>
      </c>
      <c r="CZ155" s="57">
        <v>0.0</v>
      </c>
      <c r="DA155" s="57">
        <v>0.0</v>
      </c>
      <c r="DB155" s="57">
        <v>1.0</v>
      </c>
      <c r="DC155" s="57">
        <v>0.0</v>
      </c>
      <c r="DD155" s="57">
        <v>0.0</v>
      </c>
      <c r="DE155" s="57">
        <v>0.0</v>
      </c>
      <c r="DF155" s="36" t="s">
        <v>133</v>
      </c>
      <c r="DG155" s="53">
        <f t="shared" si="55"/>
        <v>4</v>
      </c>
      <c r="DH155" s="57">
        <v>1.0</v>
      </c>
      <c r="DI155" s="57">
        <v>0.0</v>
      </c>
      <c r="DJ155" s="57">
        <v>2.0</v>
      </c>
      <c r="DK155" s="57">
        <v>0.0</v>
      </c>
      <c r="DL155" s="46">
        <f t="shared" si="34"/>
        <v>85.71428571</v>
      </c>
      <c r="DM155" s="44">
        <f t="shared" si="35"/>
        <v>1</v>
      </c>
      <c r="DN155" s="44">
        <f t="shared" si="36"/>
        <v>1</v>
      </c>
      <c r="DO155" s="44">
        <f t="shared" si="37"/>
        <v>0</v>
      </c>
      <c r="DP155" s="44">
        <f t="shared" si="38"/>
        <v>1</v>
      </c>
      <c r="DQ155" s="44">
        <f t="shared" si="39"/>
        <v>0</v>
      </c>
      <c r="DR155" s="44">
        <f t="shared" ref="DR155:DS155" si="227">(DH155)</f>
        <v>1</v>
      </c>
      <c r="DS155" s="44">
        <f t="shared" si="227"/>
        <v>0</v>
      </c>
      <c r="DT155" s="44">
        <f t="shared" si="41"/>
        <v>4</v>
      </c>
      <c r="DU155" s="44" t="str">
        <f t="shared" si="42"/>
        <v>good sleep quality</v>
      </c>
      <c r="DV155" s="57">
        <v>2.0</v>
      </c>
      <c r="DW155" s="35" t="s">
        <v>489</v>
      </c>
      <c r="DX155" s="57" t="s">
        <v>146</v>
      </c>
      <c r="DY155" s="57">
        <v>1.0</v>
      </c>
      <c r="DZ155" s="57" t="s">
        <v>131</v>
      </c>
      <c r="EA155" s="57" t="s">
        <v>202</v>
      </c>
      <c r="EB155" s="57" t="s">
        <v>139</v>
      </c>
      <c r="EC155" s="36" t="s">
        <v>133</v>
      </c>
      <c r="ED155" s="57" t="s">
        <v>131</v>
      </c>
      <c r="EE155" s="57" t="s">
        <v>151</v>
      </c>
      <c r="EF155" s="35">
        <f t="shared" si="196"/>
        <v>1289</v>
      </c>
      <c r="EG155" s="36" t="s">
        <v>133</v>
      </c>
      <c r="EH155" s="47">
        <f t="shared" si="24"/>
        <v>37.02422145</v>
      </c>
    </row>
    <row r="156" ht="15.75" customHeight="1">
      <c r="A156" s="43" t="s">
        <v>540</v>
      </c>
      <c r="B156" s="36" t="s">
        <v>175</v>
      </c>
      <c r="C156" s="37">
        <v>45486.0</v>
      </c>
      <c r="D156" s="64">
        <v>51.0</v>
      </c>
      <c r="E156" s="57" t="s">
        <v>130</v>
      </c>
      <c r="F156" s="57">
        <v>160.0</v>
      </c>
      <c r="G156" s="57">
        <v>77.0</v>
      </c>
      <c r="H156" s="59" t="s">
        <v>131</v>
      </c>
      <c r="I156" s="57">
        <v>2.0</v>
      </c>
      <c r="J156" s="55" t="s">
        <v>133</v>
      </c>
      <c r="K156" s="57" t="s">
        <v>131</v>
      </c>
      <c r="L156" s="57">
        <v>1.0</v>
      </c>
      <c r="M156" s="55">
        <v>44196.0</v>
      </c>
      <c r="N156" s="57">
        <v>0.0</v>
      </c>
      <c r="O156" s="55" t="s">
        <v>133</v>
      </c>
      <c r="P156" s="57" t="s">
        <v>132</v>
      </c>
      <c r="Q156" s="36" t="s">
        <v>133</v>
      </c>
      <c r="R156" s="36" t="s">
        <v>133</v>
      </c>
      <c r="S156" s="36" t="s">
        <v>133</v>
      </c>
      <c r="T156" s="36" t="s">
        <v>133</v>
      </c>
      <c r="U156" s="36" t="s">
        <v>133</v>
      </c>
      <c r="V156" s="36" t="str">
        <f t="shared" si="178"/>
        <v>Paciente ambulatorio</v>
      </c>
      <c r="W156" s="57" t="s">
        <v>190</v>
      </c>
      <c r="X156" s="57" t="s">
        <v>132</v>
      </c>
      <c r="Y156" s="57">
        <v>1.0</v>
      </c>
      <c r="Z156" s="57">
        <v>1.0</v>
      </c>
      <c r="AA156" s="57">
        <v>1.0</v>
      </c>
      <c r="AB156" s="57">
        <v>1.0</v>
      </c>
      <c r="AC156" s="57">
        <v>3.0</v>
      </c>
      <c r="AD156" s="57">
        <v>1.0</v>
      </c>
      <c r="AE156" s="57">
        <v>1.0</v>
      </c>
      <c r="AF156" s="57">
        <v>1.0</v>
      </c>
      <c r="AG156" s="57">
        <v>1.0</v>
      </c>
      <c r="AH156" s="57">
        <v>1.0</v>
      </c>
      <c r="AI156" s="57">
        <v>1.0</v>
      </c>
      <c r="AJ156" s="57">
        <v>1.0</v>
      </c>
      <c r="AK156" s="36" t="s">
        <v>133</v>
      </c>
      <c r="AL156" s="57" t="s">
        <v>132</v>
      </c>
      <c r="AM156" s="57" t="s">
        <v>132</v>
      </c>
      <c r="AN156" s="57" t="s">
        <v>132</v>
      </c>
      <c r="AO156" s="57" t="s">
        <v>132</v>
      </c>
      <c r="AP156" s="57" t="s">
        <v>132</v>
      </c>
      <c r="AQ156" s="57" t="s">
        <v>132</v>
      </c>
      <c r="AR156" s="57" t="s">
        <v>132</v>
      </c>
      <c r="AS156" s="57" t="s">
        <v>132</v>
      </c>
      <c r="AT156" s="57" t="s">
        <v>132</v>
      </c>
      <c r="AU156" s="57" t="s">
        <v>132</v>
      </c>
      <c r="AV156" s="57" t="s">
        <v>131</v>
      </c>
      <c r="AW156" s="57" t="s">
        <v>541</v>
      </c>
      <c r="AX156" s="57" t="s">
        <v>132</v>
      </c>
      <c r="AY156" s="36" t="s">
        <v>133</v>
      </c>
      <c r="AZ156" s="36" t="s">
        <v>133</v>
      </c>
      <c r="BA156" s="36" t="s">
        <v>133</v>
      </c>
      <c r="BB156" s="57" t="s">
        <v>192</v>
      </c>
      <c r="BC156" s="65">
        <v>0.5</v>
      </c>
      <c r="BD156" s="59">
        <v>2.0</v>
      </c>
      <c r="BE156" s="57">
        <v>1.0</v>
      </c>
      <c r="BF156" s="57">
        <v>3.0</v>
      </c>
      <c r="BG156" s="57">
        <v>3.0</v>
      </c>
      <c r="BH156" s="57">
        <v>5.0</v>
      </c>
      <c r="BI156" s="44" t="str">
        <f t="shared" si="205"/>
        <v>21335</v>
      </c>
      <c r="BJ156" s="57">
        <v>40.0</v>
      </c>
      <c r="BK156" s="57">
        <v>4.0</v>
      </c>
      <c r="BL156" s="57">
        <v>5.0</v>
      </c>
      <c r="BM156" s="57">
        <v>3.0</v>
      </c>
      <c r="BN156" s="57">
        <v>3.0</v>
      </c>
      <c r="BO156" s="57">
        <v>4.0</v>
      </c>
      <c r="BP156" s="57">
        <v>3.0</v>
      </c>
      <c r="BQ156" s="57">
        <v>5.0</v>
      </c>
      <c r="BR156" s="57">
        <v>3.0</v>
      </c>
      <c r="BS156" s="57">
        <v>5.0</v>
      </c>
      <c r="BT156" s="57">
        <v>1.0</v>
      </c>
      <c r="BU156" s="44">
        <f t="shared" si="181"/>
        <v>3</v>
      </c>
      <c r="BV156" s="44">
        <f t="shared" si="182"/>
        <v>5</v>
      </c>
      <c r="BW156" s="44">
        <f t="shared" si="183"/>
        <v>38</v>
      </c>
      <c r="BX156" s="44" t="str">
        <f t="shared" si="184"/>
        <v>FATIGA EXTREMA</v>
      </c>
      <c r="BY156" s="57">
        <v>2.0</v>
      </c>
      <c r="BZ156" s="57">
        <v>1.0</v>
      </c>
      <c r="CA156" s="57">
        <v>0.0</v>
      </c>
      <c r="CB156" s="57">
        <v>2.0</v>
      </c>
      <c r="CC156" s="57">
        <v>1.0</v>
      </c>
      <c r="CD156" s="57">
        <v>0.0</v>
      </c>
      <c r="CE156" s="57">
        <v>0.0</v>
      </c>
      <c r="CF156" s="57">
        <v>0.0</v>
      </c>
      <c r="CG156" s="57">
        <v>0.0</v>
      </c>
      <c r="CH156" s="57">
        <v>6.0</v>
      </c>
      <c r="CI156" s="57">
        <v>0.0</v>
      </c>
      <c r="CJ156" s="44">
        <f t="shared" si="213"/>
        <v>1440</v>
      </c>
      <c r="CK156" s="44">
        <f t="shared" si="206"/>
        <v>4</v>
      </c>
      <c r="CL156" s="44" t="b">
        <f t="shared" si="207"/>
        <v>0</v>
      </c>
      <c r="CM156" s="44" t="b">
        <f t="shared" si="208"/>
        <v>0</v>
      </c>
      <c r="CN156" s="45" t="str">
        <f t="shared" si="209"/>
        <v>Nivel de actividad física bajo</v>
      </c>
      <c r="CO156" s="57">
        <v>22.0</v>
      </c>
      <c r="CP156" s="57">
        <v>15.0</v>
      </c>
      <c r="CQ156" s="44">
        <f t="shared" si="32"/>
        <v>0</v>
      </c>
      <c r="CR156" s="57">
        <v>6.0</v>
      </c>
      <c r="CS156" s="57">
        <v>0.0</v>
      </c>
      <c r="CT156" s="57">
        <v>8.0</v>
      </c>
      <c r="CU156" s="57">
        <v>4.0</v>
      </c>
      <c r="CV156" s="57">
        <v>0.0</v>
      </c>
      <c r="CW156" s="57">
        <v>3.0</v>
      </c>
      <c r="CX156" s="57">
        <v>0.0</v>
      </c>
      <c r="CY156" s="57">
        <v>0.0</v>
      </c>
      <c r="CZ156" s="57">
        <v>0.0</v>
      </c>
      <c r="DA156" s="57">
        <v>0.0</v>
      </c>
      <c r="DB156" s="57">
        <v>3.0</v>
      </c>
      <c r="DC156" s="57">
        <v>3.0</v>
      </c>
      <c r="DD156" s="57">
        <v>3.0</v>
      </c>
      <c r="DE156" s="57">
        <v>0.0</v>
      </c>
      <c r="DF156" s="36" t="s">
        <v>133</v>
      </c>
      <c r="DG156" s="53">
        <f t="shared" si="55"/>
        <v>12</v>
      </c>
      <c r="DH156" s="57">
        <v>2.0</v>
      </c>
      <c r="DI156" s="57">
        <v>3.0</v>
      </c>
      <c r="DJ156" s="57">
        <v>2.0</v>
      </c>
      <c r="DK156" s="57">
        <v>3.0</v>
      </c>
      <c r="DL156" s="46">
        <f t="shared" si="34"/>
        <v>50</v>
      </c>
      <c r="DM156" s="44">
        <f t="shared" si="35"/>
        <v>3</v>
      </c>
      <c r="DN156" s="44">
        <f t="shared" si="36"/>
        <v>2</v>
      </c>
      <c r="DO156" s="44">
        <f t="shared" si="37"/>
        <v>0</v>
      </c>
      <c r="DP156" s="44">
        <f t="shared" si="38"/>
        <v>3</v>
      </c>
      <c r="DQ156" s="44">
        <f t="shared" si="39"/>
        <v>3</v>
      </c>
      <c r="DR156" s="44">
        <f t="shared" ref="DR156:DS156" si="228">(DH156)</f>
        <v>2</v>
      </c>
      <c r="DS156" s="44">
        <f t="shared" si="228"/>
        <v>3</v>
      </c>
      <c r="DT156" s="44">
        <f t="shared" si="41"/>
        <v>16</v>
      </c>
      <c r="DU156" s="44" t="str">
        <f t="shared" si="42"/>
        <v>poor sleep quality</v>
      </c>
      <c r="DV156" s="57">
        <v>0.0</v>
      </c>
      <c r="DW156" s="35" t="s">
        <v>161</v>
      </c>
      <c r="DX156" s="57" t="s">
        <v>146</v>
      </c>
      <c r="DY156" s="57">
        <v>1.0</v>
      </c>
      <c r="DZ156" s="57" t="s">
        <v>131</v>
      </c>
      <c r="EA156" s="57" t="s">
        <v>167</v>
      </c>
      <c r="EB156" s="57" t="s">
        <v>139</v>
      </c>
      <c r="EC156" s="36" t="s">
        <v>133</v>
      </c>
      <c r="ED156" s="57" t="s">
        <v>131</v>
      </c>
      <c r="EE156" s="57" t="s">
        <v>141</v>
      </c>
      <c r="EF156" s="35">
        <f t="shared" si="196"/>
        <v>1290</v>
      </c>
      <c r="EG156" s="36" t="s">
        <v>133</v>
      </c>
      <c r="EH156" s="47">
        <f t="shared" si="24"/>
        <v>30.078125</v>
      </c>
    </row>
    <row r="157" ht="15.75" customHeight="1">
      <c r="A157" s="43" t="s">
        <v>542</v>
      </c>
      <c r="B157" s="36" t="s">
        <v>175</v>
      </c>
      <c r="C157" s="37">
        <v>45486.0</v>
      </c>
      <c r="D157" s="64">
        <v>45.0</v>
      </c>
      <c r="E157" s="57" t="s">
        <v>130</v>
      </c>
      <c r="F157" s="57">
        <v>158.0</v>
      </c>
      <c r="G157" s="57">
        <v>58.0</v>
      </c>
      <c r="H157" s="59" t="s">
        <v>131</v>
      </c>
      <c r="I157" s="57">
        <v>6.0</v>
      </c>
      <c r="J157" s="55">
        <v>45292.0</v>
      </c>
      <c r="K157" s="57" t="s">
        <v>131</v>
      </c>
      <c r="L157" s="57">
        <v>4.0</v>
      </c>
      <c r="M157" s="55">
        <v>44075.0</v>
      </c>
      <c r="N157" s="57">
        <v>0.0</v>
      </c>
      <c r="O157" s="55" t="s">
        <v>133</v>
      </c>
      <c r="P157" s="57" t="s">
        <v>132</v>
      </c>
      <c r="Q157" s="36" t="s">
        <v>133</v>
      </c>
      <c r="R157" s="36" t="s">
        <v>133</v>
      </c>
      <c r="S157" s="36" t="s">
        <v>133</v>
      </c>
      <c r="T157" s="36" t="s">
        <v>133</v>
      </c>
      <c r="U157" s="36" t="s">
        <v>133</v>
      </c>
      <c r="V157" s="36" t="str">
        <f t="shared" si="178"/>
        <v>Paciente ambulatorio</v>
      </c>
      <c r="W157" s="57" t="s">
        <v>183</v>
      </c>
      <c r="X157" s="57" t="s">
        <v>132</v>
      </c>
      <c r="Y157" s="57">
        <v>1.0</v>
      </c>
      <c r="Z157" s="57">
        <v>1.0</v>
      </c>
      <c r="AA157" s="57">
        <v>2.0</v>
      </c>
      <c r="AB157" s="57">
        <v>3.0</v>
      </c>
      <c r="AC157" s="57">
        <v>1.0</v>
      </c>
      <c r="AD157" s="57">
        <v>3.0</v>
      </c>
      <c r="AE157" s="57">
        <v>2.0</v>
      </c>
      <c r="AF157" s="57">
        <v>1.0</v>
      </c>
      <c r="AG157" s="57">
        <v>1.0</v>
      </c>
      <c r="AH157" s="57">
        <v>3.0</v>
      </c>
      <c r="AI157" s="57">
        <v>1.0</v>
      </c>
      <c r="AJ157" s="57">
        <v>1.0</v>
      </c>
      <c r="AK157" s="36" t="s">
        <v>133</v>
      </c>
      <c r="AL157" s="57" t="s">
        <v>132</v>
      </c>
      <c r="AM157" s="57" t="s">
        <v>132</v>
      </c>
      <c r="AN157" s="57" t="s">
        <v>132</v>
      </c>
      <c r="AO157" s="57" t="s">
        <v>132</v>
      </c>
      <c r="AP157" s="57" t="s">
        <v>132</v>
      </c>
      <c r="AQ157" s="57" t="s">
        <v>132</v>
      </c>
      <c r="AR157" s="57" t="s">
        <v>132</v>
      </c>
      <c r="AS157" s="57" t="s">
        <v>132</v>
      </c>
      <c r="AT157" s="57" t="s">
        <v>132</v>
      </c>
      <c r="AU157" s="57" t="s">
        <v>132</v>
      </c>
      <c r="AV157" s="57" t="s">
        <v>132</v>
      </c>
      <c r="AW157" s="36" t="s">
        <v>133</v>
      </c>
      <c r="AX157" s="57" t="s">
        <v>132</v>
      </c>
      <c r="AY157" s="36" t="s">
        <v>133</v>
      </c>
      <c r="AZ157" s="36" t="s">
        <v>133</v>
      </c>
      <c r="BA157" s="36" t="s">
        <v>133</v>
      </c>
      <c r="BB157" s="57" t="s">
        <v>145</v>
      </c>
      <c r="BC157" s="36" t="s">
        <v>133</v>
      </c>
      <c r="BD157" s="59">
        <v>1.0</v>
      </c>
      <c r="BE157" s="57">
        <v>1.0</v>
      </c>
      <c r="BF157" s="57">
        <v>1.0</v>
      </c>
      <c r="BG157" s="57">
        <v>1.0</v>
      </c>
      <c r="BH157" s="57">
        <v>2.0</v>
      </c>
      <c r="BI157" s="44" t="str">
        <f t="shared" si="205"/>
        <v>11112</v>
      </c>
      <c r="BJ157" s="57">
        <v>85.0</v>
      </c>
      <c r="BK157" s="57">
        <v>3.0</v>
      </c>
      <c r="BL157" s="57">
        <v>4.0</v>
      </c>
      <c r="BM157" s="57">
        <v>1.0</v>
      </c>
      <c r="BN157" s="57">
        <v>3.0</v>
      </c>
      <c r="BO157" s="57">
        <v>2.0</v>
      </c>
      <c r="BP157" s="57">
        <v>2.0</v>
      </c>
      <c r="BQ157" s="57">
        <v>2.0</v>
      </c>
      <c r="BR157" s="57">
        <v>1.0</v>
      </c>
      <c r="BS157" s="57">
        <v>2.0</v>
      </c>
      <c r="BT157" s="57">
        <v>2.0</v>
      </c>
      <c r="BU157" s="44">
        <f t="shared" si="181"/>
        <v>3</v>
      </c>
      <c r="BV157" s="44">
        <f t="shared" si="182"/>
        <v>4</v>
      </c>
      <c r="BW157" s="44">
        <f t="shared" si="183"/>
        <v>23</v>
      </c>
      <c r="BX157" s="44" t="str">
        <f t="shared" si="184"/>
        <v>FATIGA</v>
      </c>
      <c r="BY157" s="57">
        <v>1.0</v>
      </c>
      <c r="BZ157" s="57">
        <v>0.0</v>
      </c>
      <c r="CA157" s="57">
        <v>30.0</v>
      </c>
      <c r="CB157" s="57">
        <v>0.0</v>
      </c>
      <c r="CC157" s="57">
        <v>0.0</v>
      </c>
      <c r="CD157" s="57">
        <v>0.0</v>
      </c>
      <c r="CE157" s="57">
        <v>2.0</v>
      </c>
      <c r="CF157" s="57">
        <v>0.0</v>
      </c>
      <c r="CG157" s="57">
        <v>30.0</v>
      </c>
      <c r="CH157" s="57">
        <v>5.0</v>
      </c>
      <c r="CI157" s="57">
        <v>0.0</v>
      </c>
      <c r="CJ157" s="44">
        <f t="shared" si="213"/>
        <v>438</v>
      </c>
      <c r="CK157" s="44">
        <f t="shared" si="206"/>
        <v>3</v>
      </c>
      <c r="CL157" s="44" t="b">
        <f t="shared" si="207"/>
        <v>0</v>
      </c>
      <c r="CM157" s="44" t="b">
        <f t="shared" si="208"/>
        <v>0</v>
      </c>
      <c r="CN157" s="45" t="str">
        <f t="shared" si="209"/>
        <v>Nivel de actividad física bajo</v>
      </c>
      <c r="CO157" s="57">
        <v>0.0</v>
      </c>
      <c r="CP157" s="57">
        <v>5.0</v>
      </c>
      <c r="CQ157" s="44">
        <f t="shared" si="32"/>
        <v>0</v>
      </c>
      <c r="CR157" s="57">
        <v>4.0</v>
      </c>
      <c r="CS157" s="57">
        <v>30.0</v>
      </c>
      <c r="CT157" s="57">
        <v>4.5</v>
      </c>
      <c r="CU157" s="57">
        <v>4.0</v>
      </c>
      <c r="CV157" s="57">
        <v>0.0</v>
      </c>
      <c r="CW157" s="57">
        <v>0.0</v>
      </c>
      <c r="CX157" s="57">
        <v>0.0</v>
      </c>
      <c r="CY157" s="57">
        <v>0.0</v>
      </c>
      <c r="CZ157" s="57">
        <v>0.0</v>
      </c>
      <c r="DA157" s="57">
        <v>0.0</v>
      </c>
      <c r="DB157" s="57">
        <v>0.0</v>
      </c>
      <c r="DC157" s="57">
        <v>0.0</v>
      </c>
      <c r="DD157" s="57">
        <v>0.0</v>
      </c>
      <c r="DE157" s="57">
        <v>0.0</v>
      </c>
      <c r="DF157" s="36" t="s">
        <v>133</v>
      </c>
      <c r="DG157" s="53">
        <f t="shared" si="55"/>
        <v>0</v>
      </c>
      <c r="DH157" s="57">
        <v>1.0</v>
      </c>
      <c r="DI157" s="57">
        <v>0.0</v>
      </c>
      <c r="DJ157" s="57">
        <v>2.0</v>
      </c>
      <c r="DK157" s="57">
        <v>0.0</v>
      </c>
      <c r="DL157" s="46">
        <f t="shared" si="34"/>
        <v>88.88888889</v>
      </c>
      <c r="DM157" s="44">
        <f t="shared" si="35"/>
        <v>3</v>
      </c>
      <c r="DN157" s="44">
        <f t="shared" si="36"/>
        <v>0</v>
      </c>
      <c r="DO157" s="44">
        <f t="shared" si="37"/>
        <v>0</v>
      </c>
      <c r="DP157" s="44">
        <f t="shared" si="38"/>
        <v>1</v>
      </c>
      <c r="DQ157" s="44">
        <f t="shared" si="39"/>
        <v>0</v>
      </c>
      <c r="DR157" s="44">
        <f t="shared" ref="DR157:DS157" si="229">(DH157)</f>
        <v>1</v>
      </c>
      <c r="DS157" s="44">
        <f t="shared" si="229"/>
        <v>0</v>
      </c>
      <c r="DT157" s="44">
        <f t="shared" si="41"/>
        <v>5</v>
      </c>
      <c r="DU157" s="44" t="str">
        <f t="shared" si="42"/>
        <v>good sleep quality</v>
      </c>
      <c r="DV157" s="57">
        <v>1.0</v>
      </c>
      <c r="DW157" s="57" t="s">
        <v>314</v>
      </c>
      <c r="DX157" s="57" t="s">
        <v>137</v>
      </c>
      <c r="DY157" s="57">
        <v>1.0</v>
      </c>
      <c r="DZ157" s="57" t="s">
        <v>131</v>
      </c>
      <c r="EA157" s="57" t="s">
        <v>138</v>
      </c>
      <c r="EB157" s="57" t="s">
        <v>139</v>
      </c>
      <c r="EC157" s="36" t="s">
        <v>133</v>
      </c>
      <c r="ED157" s="57" t="s">
        <v>131</v>
      </c>
      <c r="EE157" s="57" t="s">
        <v>141</v>
      </c>
      <c r="EF157" s="35">
        <f t="shared" si="196"/>
        <v>1411</v>
      </c>
      <c r="EG157" s="36" t="s">
        <v>133</v>
      </c>
      <c r="EH157" s="47">
        <f t="shared" si="24"/>
        <v>23.23345618</v>
      </c>
    </row>
    <row r="158" ht="15.75" customHeight="1">
      <c r="A158" s="35" t="s">
        <v>543</v>
      </c>
      <c r="B158" s="36" t="s">
        <v>175</v>
      </c>
      <c r="C158" s="63">
        <v>45514.0</v>
      </c>
      <c r="D158" s="48">
        <v>63.0</v>
      </c>
      <c r="E158" s="57" t="s">
        <v>130</v>
      </c>
      <c r="F158" s="57">
        <v>158.0</v>
      </c>
      <c r="G158" s="65">
        <v>61.0</v>
      </c>
      <c r="H158" s="40" t="s">
        <v>131</v>
      </c>
      <c r="I158" s="57">
        <v>6.0</v>
      </c>
      <c r="J158" s="55">
        <v>45184.0</v>
      </c>
      <c r="K158" s="35" t="s">
        <v>131</v>
      </c>
      <c r="L158" s="57">
        <v>1.0</v>
      </c>
      <c r="M158" s="55">
        <v>44774.0</v>
      </c>
      <c r="N158" s="57">
        <v>1.0</v>
      </c>
      <c r="O158" s="55" t="s">
        <v>133</v>
      </c>
      <c r="P158" s="57" t="s">
        <v>132</v>
      </c>
      <c r="Q158" s="36" t="s">
        <v>133</v>
      </c>
      <c r="R158" s="36" t="s">
        <v>133</v>
      </c>
      <c r="S158" s="36" t="s">
        <v>133</v>
      </c>
      <c r="T158" s="36" t="s">
        <v>133</v>
      </c>
      <c r="U158" s="36" t="s">
        <v>133</v>
      </c>
      <c r="V158" s="36" t="str">
        <f t="shared" si="178"/>
        <v>Paciente ambulatorio</v>
      </c>
      <c r="W158" s="57" t="s">
        <v>183</v>
      </c>
      <c r="X158" s="35" t="s">
        <v>132</v>
      </c>
      <c r="Y158" s="57">
        <v>3.0</v>
      </c>
      <c r="Z158" s="57">
        <v>2.0</v>
      </c>
      <c r="AA158" s="35">
        <v>1.0</v>
      </c>
      <c r="AB158" s="35">
        <v>1.0</v>
      </c>
      <c r="AC158" s="57">
        <v>3.0</v>
      </c>
      <c r="AD158" s="35">
        <v>1.0</v>
      </c>
      <c r="AE158" s="57">
        <v>3.0</v>
      </c>
      <c r="AF158" s="57">
        <v>3.0</v>
      </c>
      <c r="AG158" s="57">
        <v>3.0</v>
      </c>
      <c r="AH158" s="57">
        <v>3.0</v>
      </c>
      <c r="AI158" s="35">
        <v>1.0</v>
      </c>
      <c r="AJ158" s="57">
        <v>3.0</v>
      </c>
      <c r="AK158" s="50" t="s">
        <v>544</v>
      </c>
      <c r="AL158" s="40" t="s">
        <v>132</v>
      </c>
      <c r="AM158" s="35" t="s">
        <v>132</v>
      </c>
      <c r="AN158" s="35" t="s">
        <v>132</v>
      </c>
      <c r="AO158" s="57" t="s">
        <v>131</v>
      </c>
      <c r="AP158" s="35" t="s">
        <v>132</v>
      </c>
      <c r="AQ158" s="35" t="s">
        <v>132</v>
      </c>
      <c r="AR158" s="35" t="s">
        <v>132</v>
      </c>
      <c r="AS158" s="35" t="s">
        <v>132</v>
      </c>
      <c r="AT158" s="35" t="s">
        <v>132</v>
      </c>
      <c r="AU158" s="35" t="s">
        <v>132</v>
      </c>
      <c r="AV158" s="57" t="s">
        <v>131</v>
      </c>
      <c r="AW158" s="50" t="s">
        <v>545</v>
      </c>
      <c r="AX158" s="35" t="s">
        <v>132</v>
      </c>
      <c r="AY158" s="36" t="s">
        <v>133</v>
      </c>
      <c r="AZ158" s="36" t="s">
        <v>133</v>
      </c>
      <c r="BA158" s="36" t="s">
        <v>133</v>
      </c>
      <c r="BB158" s="35" t="s">
        <v>145</v>
      </c>
      <c r="BC158" s="36" t="s">
        <v>133</v>
      </c>
      <c r="BD158" s="40">
        <v>1.0</v>
      </c>
      <c r="BE158" s="35">
        <v>1.0</v>
      </c>
      <c r="BF158" s="57">
        <v>1.0</v>
      </c>
      <c r="BG158" s="57">
        <v>3.0</v>
      </c>
      <c r="BH158" s="57">
        <v>3.0</v>
      </c>
      <c r="BI158" s="44" t="str">
        <f t="shared" si="205"/>
        <v>11133</v>
      </c>
      <c r="BJ158" s="57">
        <v>75.0</v>
      </c>
      <c r="BK158" s="57">
        <v>3.0</v>
      </c>
      <c r="BL158" s="57">
        <v>3.0</v>
      </c>
      <c r="BM158" s="57">
        <v>3.0</v>
      </c>
      <c r="BN158" s="57">
        <v>4.0</v>
      </c>
      <c r="BO158" s="57">
        <v>2.0</v>
      </c>
      <c r="BP158" s="57">
        <v>1.0</v>
      </c>
      <c r="BQ158" s="57">
        <v>1.0</v>
      </c>
      <c r="BR158" s="57">
        <v>1.0</v>
      </c>
      <c r="BS158" s="57">
        <v>2.0</v>
      </c>
      <c r="BT158" s="57">
        <v>5.0</v>
      </c>
      <c r="BU158" s="44">
        <f t="shared" si="181"/>
        <v>2</v>
      </c>
      <c r="BV158" s="44">
        <f t="shared" si="182"/>
        <v>1</v>
      </c>
      <c r="BW158" s="44">
        <f t="shared" si="183"/>
        <v>22</v>
      </c>
      <c r="BX158" s="44" t="str">
        <f t="shared" si="184"/>
        <v>FATIGA</v>
      </c>
      <c r="BY158" s="57">
        <v>0.0</v>
      </c>
      <c r="BZ158" s="57">
        <v>0.0</v>
      </c>
      <c r="CA158" s="35">
        <v>0.0</v>
      </c>
      <c r="CB158" s="57">
        <v>2.0</v>
      </c>
      <c r="CC158" s="57">
        <v>0.0</v>
      </c>
      <c r="CD158" s="57">
        <v>45.0</v>
      </c>
      <c r="CE158" s="57">
        <v>0.0</v>
      </c>
      <c r="CF158" s="35">
        <v>0.0</v>
      </c>
      <c r="CG158" s="57">
        <v>0.0</v>
      </c>
      <c r="CH158" s="57">
        <v>6.0</v>
      </c>
      <c r="CI158" s="57">
        <v>0.0</v>
      </c>
      <c r="CJ158" s="44">
        <f t="shared" si="213"/>
        <v>360</v>
      </c>
      <c r="CK158" s="44">
        <f t="shared" si="206"/>
        <v>2</v>
      </c>
      <c r="CL158" s="44" t="b">
        <f t="shared" si="207"/>
        <v>0</v>
      </c>
      <c r="CM158" s="44" t="b">
        <f t="shared" si="208"/>
        <v>0</v>
      </c>
      <c r="CN158" s="45" t="str">
        <f t="shared" si="209"/>
        <v>Nivel de actividad física bajo</v>
      </c>
      <c r="CO158" s="57">
        <v>22.0</v>
      </c>
      <c r="CP158" s="57">
        <v>120.0</v>
      </c>
      <c r="CQ158" s="44">
        <f t="shared" si="32"/>
        <v>3</v>
      </c>
      <c r="CR158" s="57">
        <v>8.0</v>
      </c>
      <c r="CS158" s="35">
        <v>0.0</v>
      </c>
      <c r="CT158" s="57">
        <v>9.0</v>
      </c>
      <c r="CU158" s="35">
        <v>6.0</v>
      </c>
      <c r="CV158" s="57">
        <v>3.0</v>
      </c>
      <c r="CW158" s="35">
        <v>2.0</v>
      </c>
      <c r="CX158" s="57">
        <v>0.0</v>
      </c>
      <c r="CY158" s="57">
        <v>0.0</v>
      </c>
      <c r="CZ158" s="57">
        <v>0.0</v>
      </c>
      <c r="DA158" s="57">
        <v>0.0</v>
      </c>
      <c r="DB158" s="35">
        <v>1.0</v>
      </c>
      <c r="DC158" s="57">
        <v>2.0</v>
      </c>
      <c r="DD158" s="57">
        <v>1.0</v>
      </c>
      <c r="DE158" s="57">
        <v>1.0</v>
      </c>
      <c r="DF158" s="50" t="s">
        <v>304</v>
      </c>
      <c r="DG158" s="53">
        <f t="shared" si="55"/>
        <v>7</v>
      </c>
      <c r="DH158" s="57">
        <v>2.0</v>
      </c>
      <c r="DI158" s="57">
        <v>3.0</v>
      </c>
      <c r="DJ158" s="57">
        <v>0.0</v>
      </c>
      <c r="DK158" s="57">
        <v>0.0</v>
      </c>
      <c r="DL158" s="46">
        <f t="shared" si="34"/>
        <v>66.66666667</v>
      </c>
      <c r="DM158" s="44">
        <f t="shared" si="35"/>
        <v>1</v>
      </c>
      <c r="DN158" s="44">
        <f t="shared" si="36"/>
        <v>1</v>
      </c>
      <c r="DO158" s="44">
        <f t="shared" si="37"/>
        <v>3</v>
      </c>
      <c r="DP158" s="44">
        <f t="shared" si="38"/>
        <v>0</v>
      </c>
      <c r="DQ158" s="44">
        <f t="shared" si="39"/>
        <v>2</v>
      </c>
      <c r="DR158" s="44">
        <f t="shared" ref="DR158:DS158" si="230">(DH158)</f>
        <v>2</v>
      </c>
      <c r="DS158" s="44">
        <f t="shared" si="230"/>
        <v>3</v>
      </c>
      <c r="DT158" s="44">
        <f t="shared" si="41"/>
        <v>12</v>
      </c>
      <c r="DU158" s="44" t="str">
        <f t="shared" si="42"/>
        <v>poor sleep quality</v>
      </c>
      <c r="DV158" s="57">
        <v>1.0</v>
      </c>
      <c r="DW158" s="57" t="s">
        <v>314</v>
      </c>
      <c r="DX158" s="57" t="s">
        <v>146</v>
      </c>
      <c r="DY158" s="35">
        <v>2.0</v>
      </c>
      <c r="DZ158" s="35" t="s">
        <v>131</v>
      </c>
      <c r="EA158" s="57" t="s">
        <v>147</v>
      </c>
      <c r="EB158" s="35" t="s">
        <v>139</v>
      </c>
      <c r="EC158" s="36" t="s">
        <v>133</v>
      </c>
      <c r="ED158" s="35" t="s">
        <v>132</v>
      </c>
      <c r="EE158" s="35" t="s">
        <v>141</v>
      </c>
      <c r="EF158" s="35">
        <f t="shared" si="196"/>
        <v>740</v>
      </c>
      <c r="EG158" s="36" t="s">
        <v>133</v>
      </c>
      <c r="EH158" s="47">
        <f t="shared" si="24"/>
        <v>24.43518667</v>
      </c>
    </row>
    <row r="159" ht="15.75" customHeight="1">
      <c r="A159" s="43" t="s">
        <v>546</v>
      </c>
      <c r="B159" s="36" t="s">
        <v>175</v>
      </c>
      <c r="C159" s="63">
        <v>45507.0</v>
      </c>
      <c r="D159" s="64">
        <v>44.0</v>
      </c>
      <c r="E159" s="50" t="s">
        <v>153</v>
      </c>
      <c r="F159" s="50">
        <v>165.0</v>
      </c>
      <c r="G159" s="50">
        <v>79.0</v>
      </c>
      <c r="H159" s="75" t="s">
        <v>131</v>
      </c>
      <c r="I159" s="36">
        <v>3.0</v>
      </c>
      <c r="J159" s="76">
        <v>44534.0</v>
      </c>
      <c r="K159" s="36" t="s">
        <v>131</v>
      </c>
      <c r="L159" s="50">
        <v>2.0</v>
      </c>
      <c r="M159" s="55" t="s">
        <v>133</v>
      </c>
      <c r="N159" s="50" t="s">
        <v>131</v>
      </c>
      <c r="O159" s="76">
        <v>44580.0</v>
      </c>
      <c r="P159" s="50" t="s">
        <v>132</v>
      </c>
      <c r="Q159" s="36" t="s">
        <v>133</v>
      </c>
      <c r="R159" s="36" t="s">
        <v>133</v>
      </c>
      <c r="S159" s="36" t="s">
        <v>133</v>
      </c>
      <c r="T159" s="36" t="s">
        <v>133</v>
      </c>
      <c r="U159" s="36" t="s">
        <v>133</v>
      </c>
      <c r="V159" s="36" t="str">
        <f t="shared" si="178"/>
        <v>Paciente ambulatorio</v>
      </c>
      <c r="W159" s="50" t="s">
        <v>183</v>
      </c>
      <c r="X159" s="36" t="s">
        <v>132</v>
      </c>
      <c r="Y159" s="50">
        <v>2.0</v>
      </c>
      <c r="Z159" s="50">
        <v>2.0</v>
      </c>
      <c r="AA159" s="50">
        <v>2.0</v>
      </c>
      <c r="AB159" s="36">
        <v>2.0</v>
      </c>
      <c r="AC159" s="50">
        <v>3.0</v>
      </c>
      <c r="AD159" s="50">
        <v>2.0</v>
      </c>
      <c r="AE159" s="50">
        <v>2.0</v>
      </c>
      <c r="AF159" s="50">
        <v>3.0</v>
      </c>
      <c r="AG159" s="36">
        <v>3.0</v>
      </c>
      <c r="AH159" s="50">
        <v>3.0</v>
      </c>
      <c r="AI159" s="36">
        <v>1.0</v>
      </c>
      <c r="AJ159" s="50">
        <v>3.0</v>
      </c>
      <c r="AK159" s="36" t="s">
        <v>133</v>
      </c>
      <c r="AL159" s="36" t="s">
        <v>132</v>
      </c>
      <c r="AM159" s="36" t="s">
        <v>132</v>
      </c>
      <c r="AN159" s="36" t="s">
        <v>132</v>
      </c>
      <c r="AO159" s="36" t="s">
        <v>132</v>
      </c>
      <c r="AP159" s="36" t="s">
        <v>132</v>
      </c>
      <c r="AQ159" s="36" t="s">
        <v>132</v>
      </c>
      <c r="AR159" s="36" t="s">
        <v>132</v>
      </c>
      <c r="AS159" s="36" t="s">
        <v>132</v>
      </c>
      <c r="AT159" s="36" t="s">
        <v>132</v>
      </c>
      <c r="AU159" s="36" t="s">
        <v>132</v>
      </c>
      <c r="AV159" s="36" t="s">
        <v>132</v>
      </c>
      <c r="AW159" s="77" t="s">
        <v>547</v>
      </c>
      <c r="AX159" s="36" t="s">
        <v>165</v>
      </c>
      <c r="AY159" s="36" t="s">
        <v>133</v>
      </c>
      <c r="AZ159" s="36" t="s">
        <v>133</v>
      </c>
      <c r="BA159" s="36" t="s">
        <v>133</v>
      </c>
      <c r="BB159" s="50" t="s">
        <v>145</v>
      </c>
      <c r="BC159" s="36" t="s">
        <v>133</v>
      </c>
      <c r="BD159" s="75">
        <v>2.0</v>
      </c>
      <c r="BE159" s="36">
        <v>1.0</v>
      </c>
      <c r="BF159" s="50">
        <v>1.0</v>
      </c>
      <c r="BG159" s="50">
        <v>2.0</v>
      </c>
      <c r="BH159" s="50">
        <v>1.0</v>
      </c>
      <c r="BI159" s="44" t="str">
        <f t="shared" si="205"/>
        <v>21121</v>
      </c>
      <c r="BJ159" s="50">
        <v>80.0</v>
      </c>
      <c r="BK159" s="50">
        <v>1.0</v>
      </c>
      <c r="BL159" s="50">
        <v>2.0</v>
      </c>
      <c r="BM159" s="50">
        <v>2.0</v>
      </c>
      <c r="BN159" s="50">
        <v>5.0</v>
      </c>
      <c r="BO159" s="50">
        <v>1.0</v>
      </c>
      <c r="BP159" s="50">
        <v>1.0</v>
      </c>
      <c r="BQ159" s="50">
        <v>1.0</v>
      </c>
      <c r="BR159" s="50">
        <v>2.0</v>
      </c>
      <c r="BS159" s="50">
        <v>1.0</v>
      </c>
      <c r="BT159" s="50">
        <v>3.0</v>
      </c>
      <c r="BU159" s="53">
        <f t="shared" ref="BU159:BU162" si="232">IF(BN159=1,5,IF(BN159=2,4,IF(BN159=3,3,IF(BN159=4,2,IF(BN159=5,1)))))</f>
        <v>1</v>
      </c>
      <c r="BV159" s="53">
        <f t="shared" ref="BV159:BV162" si="233">IF(BT159=1,5,IF(BT159=2,4,IF(BT159=3,3,IF(BT159=4,2,IF(BT159=5,1)))))</f>
        <v>3</v>
      </c>
      <c r="BW159" s="53">
        <f t="shared" si="183"/>
        <v>17</v>
      </c>
      <c r="BX159" s="53" t="str">
        <f t="shared" ref="BX159:BX162" si="234">IF(BW159&lt;22,"NO HAY FATIGA",IF(BW159&lt;35,"FATIGA","FATIGA EXTREMA"))</f>
        <v>NO HAY FATIGA</v>
      </c>
      <c r="BY159" s="50">
        <v>0.0</v>
      </c>
      <c r="BZ159" s="50">
        <v>0.0</v>
      </c>
      <c r="CA159" s="36">
        <v>0.0</v>
      </c>
      <c r="CB159" s="50">
        <v>1.0</v>
      </c>
      <c r="CC159" s="50">
        <v>3.0</v>
      </c>
      <c r="CD159" s="50">
        <v>30.0</v>
      </c>
      <c r="CE159" s="50">
        <v>0.0</v>
      </c>
      <c r="CF159" s="36">
        <v>0.0</v>
      </c>
      <c r="CG159" s="50">
        <v>0.0</v>
      </c>
      <c r="CH159" s="50">
        <v>2.0</v>
      </c>
      <c r="CI159" s="36">
        <v>0.0</v>
      </c>
      <c r="CJ159" s="53">
        <f t="shared" ref="CJ159:CJ162" si="235">(8*BY159*(BZ159*60+CA159)+4*CB159*(CC159*60+CD159)+3.3*CE159*(CF159*60+CG159))</f>
        <v>840</v>
      </c>
      <c r="CK159" s="53">
        <f t="shared" si="206"/>
        <v>1</v>
      </c>
      <c r="CL159" s="44" t="b">
        <f t="shared" si="207"/>
        <v>0</v>
      </c>
      <c r="CM159" s="44" t="b">
        <f t="shared" si="208"/>
        <v>0</v>
      </c>
      <c r="CN159" s="45" t="str">
        <f t="shared" si="209"/>
        <v>Nivel de actividad física bajo</v>
      </c>
      <c r="CO159" s="78">
        <v>0.5208333333333334</v>
      </c>
      <c r="CP159" s="50">
        <v>20.0</v>
      </c>
      <c r="CQ159" s="53">
        <f t="shared" ref="CQ159:CQ162" si="236">IF(CP159&gt;60,3,IF(CP159&gt;30,2,IF(CP159&gt;15,1,0)))</f>
        <v>1</v>
      </c>
      <c r="CR159" s="36">
        <v>6.0</v>
      </c>
      <c r="CS159" s="50">
        <v>20.0</v>
      </c>
      <c r="CT159" s="50">
        <v>6.0</v>
      </c>
      <c r="CU159" s="36">
        <v>5.0</v>
      </c>
      <c r="CV159" s="50">
        <v>0.0</v>
      </c>
      <c r="CW159" s="50">
        <v>0.0</v>
      </c>
      <c r="CX159" s="50">
        <v>0.0</v>
      </c>
      <c r="CY159" s="50">
        <v>0.0</v>
      </c>
      <c r="CZ159" s="50">
        <v>0.0</v>
      </c>
      <c r="DA159" s="50">
        <v>1.0</v>
      </c>
      <c r="DB159" s="36">
        <v>0.0</v>
      </c>
      <c r="DC159" s="36">
        <v>0.0</v>
      </c>
      <c r="DD159" s="50">
        <v>0.0</v>
      </c>
      <c r="DE159" s="50">
        <v>0.0</v>
      </c>
      <c r="DF159" s="36" t="s">
        <v>133</v>
      </c>
      <c r="DG159" s="53">
        <f t="shared" si="55"/>
        <v>1</v>
      </c>
      <c r="DH159" s="36">
        <v>2.0</v>
      </c>
      <c r="DI159" s="36">
        <v>0.0</v>
      </c>
      <c r="DJ159" s="36">
        <v>3.0</v>
      </c>
      <c r="DK159" s="50">
        <v>0.0</v>
      </c>
      <c r="DL159" s="68">
        <f t="shared" ref="DL159:DL217" si="237">((CU159/CT159)*100)</f>
        <v>83.33333333</v>
      </c>
      <c r="DM159" s="53">
        <f t="shared" ref="DM159:DM217" si="238">IF(CU159&gt;=7,0,IF(CU159&gt;=6,1,IF(CU159&gt;=5,2,IF(CU159&lt;5,3))))</f>
        <v>2</v>
      </c>
      <c r="DN159" s="53">
        <f t="shared" ref="DN159:DN217" si="239">IF(DG159&gt;18,3,IF(DG159&gt;9,2,IF(DG159&gt;=1,1,0)))</f>
        <v>1</v>
      </c>
      <c r="DO159" s="53">
        <f t="shared" ref="DO159:DO217" si="240">IF(CV159+CQ159&gt;=5,3,IF(CQ159+CV159&gt;=3,2,IF(CQ159+CV159&gt;=1,1,0)))</f>
        <v>1</v>
      </c>
      <c r="DP159" s="53">
        <f t="shared" ref="DP159:DP217" si="241">IF(DJ159+DK159&gt;=5,3,IF(DJ159+DK159&gt;=3,2,IF(DJ159+DK159&gt;=1,1,0)))</f>
        <v>2</v>
      </c>
      <c r="DQ159" s="53">
        <f t="shared" ref="DQ159:DQ217" si="242">IF(DL159&gt;85,0,IF(DL159&gt;75,1,IF(DL159&gt;65,2,3)))</f>
        <v>1</v>
      </c>
      <c r="DR159" s="53">
        <f t="shared" ref="DR159:DS159" si="231">(DH159)</f>
        <v>2</v>
      </c>
      <c r="DS159" s="53">
        <f t="shared" si="231"/>
        <v>0</v>
      </c>
      <c r="DT159" s="53">
        <f t="shared" si="41"/>
        <v>9</v>
      </c>
      <c r="DU159" s="53" t="str">
        <f t="shared" ref="DU159:DU217" si="244">IF(DT159&gt;5,"poor sleep quality","good sleep quality")</f>
        <v>poor sleep quality</v>
      </c>
      <c r="DV159" s="50">
        <v>3.0</v>
      </c>
      <c r="DW159" s="50" t="s">
        <v>149</v>
      </c>
      <c r="DX159" s="36" t="s">
        <v>146</v>
      </c>
      <c r="DY159" s="50">
        <v>2.0</v>
      </c>
      <c r="DZ159" s="36" t="s">
        <v>131</v>
      </c>
      <c r="EA159" s="50" t="s">
        <v>167</v>
      </c>
      <c r="EB159" s="50" t="s">
        <v>139</v>
      </c>
      <c r="EC159" s="36" t="s">
        <v>133</v>
      </c>
      <c r="ED159" s="36" t="s">
        <v>131</v>
      </c>
      <c r="EE159" s="50" t="s">
        <v>141</v>
      </c>
      <c r="EF159" s="36" t="s">
        <v>133</v>
      </c>
      <c r="EG159" s="35">
        <f t="shared" ref="EG159:EG161" si="245">C159-O159</f>
        <v>927</v>
      </c>
      <c r="EH159" s="47">
        <f t="shared" si="24"/>
        <v>29.0174472</v>
      </c>
    </row>
    <row r="160" ht="15.75" customHeight="1">
      <c r="A160" s="43" t="s">
        <v>548</v>
      </c>
      <c r="B160" s="36" t="s">
        <v>175</v>
      </c>
      <c r="C160" s="63">
        <v>45514.0</v>
      </c>
      <c r="D160" s="48">
        <v>47.0</v>
      </c>
      <c r="E160" s="36" t="s">
        <v>153</v>
      </c>
      <c r="F160" s="50">
        <v>164.0</v>
      </c>
      <c r="G160" s="50">
        <v>70.0</v>
      </c>
      <c r="H160" s="75" t="s">
        <v>131</v>
      </c>
      <c r="I160" s="50">
        <v>4.0</v>
      </c>
      <c r="J160" s="55" t="s">
        <v>133</v>
      </c>
      <c r="K160" s="36" t="s">
        <v>131</v>
      </c>
      <c r="L160" s="50">
        <v>2.0</v>
      </c>
      <c r="M160" s="76">
        <v>44317.0</v>
      </c>
      <c r="N160" s="50">
        <v>0.0</v>
      </c>
      <c r="O160" s="76">
        <v>44562.0</v>
      </c>
      <c r="P160" s="36" t="s">
        <v>132</v>
      </c>
      <c r="Q160" s="36" t="s">
        <v>133</v>
      </c>
      <c r="R160" s="36" t="s">
        <v>133</v>
      </c>
      <c r="S160" s="36" t="s">
        <v>133</v>
      </c>
      <c r="T160" s="36" t="s">
        <v>133</v>
      </c>
      <c r="U160" s="36" t="s">
        <v>133</v>
      </c>
      <c r="V160" s="36" t="str">
        <f t="shared" si="178"/>
        <v>Paciente ambulatorio</v>
      </c>
      <c r="W160" s="50" t="s">
        <v>183</v>
      </c>
      <c r="X160" s="36" t="s">
        <v>132</v>
      </c>
      <c r="Y160" s="50">
        <v>1.0</v>
      </c>
      <c r="Z160" s="36">
        <v>1.0</v>
      </c>
      <c r="AA160" s="50">
        <v>2.0</v>
      </c>
      <c r="AB160" s="50">
        <v>2.0</v>
      </c>
      <c r="AC160" s="50">
        <v>2.0</v>
      </c>
      <c r="AD160" s="36">
        <v>2.0</v>
      </c>
      <c r="AE160" s="36">
        <v>2.0</v>
      </c>
      <c r="AF160" s="50">
        <v>1.0</v>
      </c>
      <c r="AG160" s="50">
        <v>1.0</v>
      </c>
      <c r="AH160" s="50">
        <v>1.0</v>
      </c>
      <c r="AI160" s="36">
        <v>1.0</v>
      </c>
      <c r="AJ160" s="50">
        <v>1.0</v>
      </c>
      <c r="AK160" s="50" t="s">
        <v>549</v>
      </c>
      <c r="AL160" s="36" t="s">
        <v>132</v>
      </c>
      <c r="AM160" s="36" t="s">
        <v>132</v>
      </c>
      <c r="AN160" s="36" t="s">
        <v>132</v>
      </c>
      <c r="AO160" s="50" t="s">
        <v>131</v>
      </c>
      <c r="AP160" s="36" t="s">
        <v>132</v>
      </c>
      <c r="AQ160" s="36" t="s">
        <v>132</v>
      </c>
      <c r="AR160" s="36" t="s">
        <v>132</v>
      </c>
      <c r="AS160" s="36" t="s">
        <v>132</v>
      </c>
      <c r="AT160" s="36" t="s">
        <v>132</v>
      </c>
      <c r="AU160" s="36" t="s">
        <v>132</v>
      </c>
      <c r="AV160" s="36" t="s">
        <v>132</v>
      </c>
      <c r="AW160" s="36"/>
      <c r="AX160" s="36" t="s">
        <v>132</v>
      </c>
      <c r="AY160" s="36" t="s">
        <v>133</v>
      </c>
      <c r="AZ160" s="36" t="s">
        <v>133</v>
      </c>
      <c r="BA160" s="36" t="s">
        <v>133</v>
      </c>
      <c r="BB160" s="36" t="s">
        <v>145</v>
      </c>
      <c r="BC160" s="36" t="s">
        <v>133</v>
      </c>
      <c r="BD160" s="79">
        <v>1.0</v>
      </c>
      <c r="BE160" s="36">
        <v>1.0</v>
      </c>
      <c r="BF160" s="36">
        <v>1.0</v>
      </c>
      <c r="BG160" s="50">
        <v>1.0</v>
      </c>
      <c r="BH160" s="36">
        <v>2.0</v>
      </c>
      <c r="BI160" s="44" t="str">
        <f t="shared" si="205"/>
        <v>11112</v>
      </c>
      <c r="BJ160" s="50">
        <v>80.0</v>
      </c>
      <c r="BK160" s="50">
        <v>2.0</v>
      </c>
      <c r="BL160" s="50">
        <v>2.0</v>
      </c>
      <c r="BM160" s="50">
        <v>2.0</v>
      </c>
      <c r="BN160" s="36">
        <v>3.0</v>
      </c>
      <c r="BO160" s="50">
        <v>2.0</v>
      </c>
      <c r="BP160" s="36">
        <v>2.0</v>
      </c>
      <c r="BQ160" s="50">
        <v>3.0</v>
      </c>
      <c r="BR160" s="36">
        <v>2.0</v>
      </c>
      <c r="BS160" s="50">
        <v>4.0</v>
      </c>
      <c r="BT160" s="50">
        <v>3.0</v>
      </c>
      <c r="BU160" s="53">
        <f t="shared" si="232"/>
        <v>3</v>
      </c>
      <c r="BV160" s="53">
        <f t="shared" si="233"/>
        <v>3</v>
      </c>
      <c r="BW160" s="53">
        <f t="shared" si="183"/>
        <v>25</v>
      </c>
      <c r="BX160" s="53" t="str">
        <f t="shared" si="234"/>
        <v>FATIGA</v>
      </c>
      <c r="BY160" s="50">
        <v>1.0</v>
      </c>
      <c r="BZ160" s="50">
        <v>1.0</v>
      </c>
      <c r="CA160" s="36">
        <v>0.0</v>
      </c>
      <c r="CB160" s="50">
        <v>2.0</v>
      </c>
      <c r="CC160" s="36">
        <v>0.0</v>
      </c>
      <c r="CD160" s="50">
        <v>40.0</v>
      </c>
      <c r="CE160" s="50">
        <v>7.0</v>
      </c>
      <c r="CF160" s="36">
        <v>0.0</v>
      </c>
      <c r="CG160" s="50">
        <v>30.0</v>
      </c>
      <c r="CH160" s="50">
        <v>3.0</v>
      </c>
      <c r="CI160" s="36">
        <v>0.0</v>
      </c>
      <c r="CJ160" s="53">
        <f t="shared" si="235"/>
        <v>1493</v>
      </c>
      <c r="CK160" s="53">
        <f t="shared" si="206"/>
        <v>10</v>
      </c>
      <c r="CL160" s="44" t="b">
        <f t="shared" si="207"/>
        <v>0</v>
      </c>
      <c r="CM160" s="44" t="str">
        <f t="shared" si="208"/>
        <v>Nivel de actividad física moderado</v>
      </c>
      <c r="CN160" s="45" t="str">
        <f t="shared" si="209"/>
        <v>Nivel de actividad física moderado</v>
      </c>
      <c r="CO160" s="50">
        <v>23.0</v>
      </c>
      <c r="CP160" s="50">
        <v>80.0</v>
      </c>
      <c r="CQ160" s="53">
        <f t="shared" si="236"/>
        <v>3</v>
      </c>
      <c r="CR160" s="36">
        <v>8.0</v>
      </c>
      <c r="CS160" s="36">
        <v>0.0</v>
      </c>
      <c r="CT160" s="50">
        <v>9.0</v>
      </c>
      <c r="CU160" s="50">
        <v>4.0</v>
      </c>
      <c r="CV160" s="50">
        <v>3.0</v>
      </c>
      <c r="CW160" s="36">
        <v>3.0</v>
      </c>
      <c r="CX160" s="50">
        <v>2.0</v>
      </c>
      <c r="CY160" s="36">
        <v>0.0</v>
      </c>
      <c r="CZ160" s="50">
        <v>2.0</v>
      </c>
      <c r="DA160" s="36">
        <v>0.0</v>
      </c>
      <c r="DB160" s="50">
        <v>3.0</v>
      </c>
      <c r="DC160" s="36">
        <v>0.0</v>
      </c>
      <c r="DD160" s="36">
        <v>0.0</v>
      </c>
      <c r="DE160" s="50">
        <v>3.0</v>
      </c>
      <c r="DF160" s="50" t="s">
        <v>536</v>
      </c>
      <c r="DG160" s="53">
        <f t="shared" si="55"/>
        <v>13</v>
      </c>
      <c r="DH160" s="50">
        <v>2.0</v>
      </c>
      <c r="DI160" s="50">
        <v>0.0</v>
      </c>
      <c r="DJ160" s="36">
        <v>3.0</v>
      </c>
      <c r="DK160" s="50">
        <v>2.0</v>
      </c>
      <c r="DL160" s="68">
        <f t="shared" si="237"/>
        <v>44.44444444</v>
      </c>
      <c r="DM160" s="53">
        <f t="shared" si="238"/>
        <v>3</v>
      </c>
      <c r="DN160" s="53">
        <f t="shared" si="239"/>
        <v>2</v>
      </c>
      <c r="DO160" s="53">
        <f t="shared" si="240"/>
        <v>3</v>
      </c>
      <c r="DP160" s="53">
        <f t="shared" si="241"/>
        <v>3</v>
      </c>
      <c r="DQ160" s="53">
        <f t="shared" si="242"/>
        <v>3</v>
      </c>
      <c r="DR160" s="53">
        <f t="shared" ref="DR160:DS160" si="243">(DH160)</f>
        <v>2</v>
      </c>
      <c r="DS160" s="53">
        <f t="shared" si="243"/>
        <v>0</v>
      </c>
      <c r="DT160" s="53">
        <f t="shared" si="41"/>
        <v>16</v>
      </c>
      <c r="DU160" s="53" t="str">
        <f t="shared" si="244"/>
        <v>poor sleep quality</v>
      </c>
      <c r="DV160" s="50">
        <v>3.0</v>
      </c>
      <c r="DW160" s="50" t="s">
        <v>149</v>
      </c>
      <c r="DX160" s="36" t="s">
        <v>146</v>
      </c>
      <c r="DY160" s="50">
        <v>1.0</v>
      </c>
      <c r="DZ160" s="36" t="s">
        <v>131</v>
      </c>
      <c r="EA160" s="50" t="s">
        <v>147</v>
      </c>
      <c r="EB160" s="50" t="s">
        <v>139</v>
      </c>
      <c r="EC160" s="36" t="s">
        <v>133</v>
      </c>
      <c r="ED160" s="36" t="s">
        <v>131</v>
      </c>
      <c r="EE160" s="36" t="s">
        <v>141</v>
      </c>
      <c r="EF160" s="35">
        <f t="shared" ref="EF160:EF164" si="247">C160-M160</f>
        <v>1197</v>
      </c>
      <c r="EG160" s="35">
        <f t="shared" si="245"/>
        <v>952</v>
      </c>
      <c r="EH160" s="47">
        <f t="shared" si="24"/>
        <v>26.0261749</v>
      </c>
    </row>
    <row r="161" ht="15.75" customHeight="1">
      <c r="A161" s="43" t="s">
        <v>550</v>
      </c>
      <c r="B161" s="36" t="s">
        <v>175</v>
      </c>
      <c r="C161" s="63">
        <v>45514.0</v>
      </c>
      <c r="D161" s="48">
        <v>63.0</v>
      </c>
      <c r="E161" s="50" t="s">
        <v>153</v>
      </c>
      <c r="F161" s="50">
        <v>169.0</v>
      </c>
      <c r="G161" s="50">
        <v>90.0</v>
      </c>
      <c r="H161" s="75" t="s">
        <v>131</v>
      </c>
      <c r="I161" s="36">
        <v>4.0</v>
      </c>
      <c r="J161" s="42">
        <v>44589.0</v>
      </c>
      <c r="K161" s="36" t="s">
        <v>131</v>
      </c>
      <c r="L161" s="36">
        <v>4.0</v>
      </c>
      <c r="M161" s="76">
        <v>43831.0</v>
      </c>
      <c r="N161" s="36">
        <v>0.0</v>
      </c>
      <c r="O161" s="80">
        <v>44197.0</v>
      </c>
      <c r="P161" s="36" t="s">
        <v>132</v>
      </c>
      <c r="Q161" s="36" t="s">
        <v>133</v>
      </c>
      <c r="R161" s="36" t="s">
        <v>133</v>
      </c>
      <c r="S161" s="36" t="s">
        <v>133</v>
      </c>
      <c r="T161" s="36" t="s">
        <v>133</v>
      </c>
      <c r="U161" s="36" t="s">
        <v>133</v>
      </c>
      <c r="V161" s="36" t="str">
        <f t="shared" si="178"/>
        <v>Paciente ambulatorio</v>
      </c>
      <c r="W161" s="36" t="s">
        <v>176</v>
      </c>
      <c r="X161" s="36" t="s">
        <v>132</v>
      </c>
      <c r="Y161" s="36">
        <v>1.0</v>
      </c>
      <c r="Z161" s="36">
        <v>1.0</v>
      </c>
      <c r="AA161" s="36">
        <v>1.0</v>
      </c>
      <c r="AB161" s="36">
        <v>1.0</v>
      </c>
      <c r="AC161" s="36">
        <v>2.0</v>
      </c>
      <c r="AD161" s="36">
        <v>1.0</v>
      </c>
      <c r="AE161" s="36">
        <v>1.0</v>
      </c>
      <c r="AF161" s="36">
        <v>1.0</v>
      </c>
      <c r="AG161" s="36">
        <v>1.0</v>
      </c>
      <c r="AH161" s="36">
        <v>1.0</v>
      </c>
      <c r="AI161" s="36">
        <v>1.0</v>
      </c>
      <c r="AJ161" s="36">
        <v>1.0</v>
      </c>
      <c r="AK161" s="50" t="s">
        <v>551</v>
      </c>
      <c r="AL161" s="36" t="s">
        <v>131</v>
      </c>
      <c r="AM161" s="36" t="s">
        <v>132</v>
      </c>
      <c r="AN161" s="36" t="s">
        <v>132</v>
      </c>
      <c r="AO161" s="50" t="s">
        <v>131</v>
      </c>
      <c r="AP161" s="50" t="s">
        <v>131</v>
      </c>
      <c r="AQ161" s="50" t="s">
        <v>131</v>
      </c>
      <c r="AR161" s="36" t="s">
        <v>132</v>
      </c>
      <c r="AS161" s="36" t="s">
        <v>131</v>
      </c>
      <c r="AT161" s="36" t="s">
        <v>131</v>
      </c>
      <c r="AU161" s="36" t="s">
        <v>132</v>
      </c>
      <c r="AV161" s="50" t="s">
        <v>131</v>
      </c>
      <c r="AW161" s="50" t="s">
        <v>552</v>
      </c>
      <c r="AX161" s="50" t="s">
        <v>165</v>
      </c>
      <c r="AY161" s="36" t="s">
        <v>133</v>
      </c>
      <c r="AZ161" s="36" t="s">
        <v>133</v>
      </c>
      <c r="BA161" s="50">
        <v>20.0</v>
      </c>
      <c r="BB161" s="50" t="s">
        <v>192</v>
      </c>
      <c r="BC161" s="50">
        <v>2.0</v>
      </c>
      <c r="BD161" s="75">
        <v>2.0</v>
      </c>
      <c r="BE161" s="50">
        <v>1.0</v>
      </c>
      <c r="BF161" s="50">
        <v>2.0</v>
      </c>
      <c r="BG161" s="50">
        <v>2.0</v>
      </c>
      <c r="BH161" s="50">
        <v>2.0</v>
      </c>
      <c r="BI161" s="44" t="str">
        <f t="shared" si="205"/>
        <v>21222</v>
      </c>
      <c r="BJ161" s="50">
        <v>80.0</v>
      </c>
      <c r="BK161" s="50">
        <v>3.0</v>
      </c>
      <c r="BL161" s="50">
        <v>2.0</v>
      </c>
      <c r="BM161" s="50">
        <v>4.0</v>
      </c>
      <c r="BN161" s="50">
        <v>2.0</v>
      </c>
      <c r="BO161" s="50">
        <v>2.0</v>
      </c>
      <c r="BP161" s="36">
        <v>2.0</v>
      </c>
      <c r="BQ161" s="50">
        <v>3.0</v>
      </c>
      <c r="BR161" s="36">
        <v>2.0</v>
      </c>
      <c r="BS161" s="50">
        <v>2.0</v>
      </c>
      <c r="BT161" s="50">
        <v>2.0</v>
      </c>
      <c r="BU161" s="53">
        <f t="shared" si="232"/>
        <v>4</v>
      </c>
      <c r="BV161" s="53">
        <f t="shared" si="233"/>
        <v>4</v>
      </c>
      <c r="BW161" s="53">
        <f t="shared" si="183"/>
        <v>26</v>
      </c>
      <c r="BX161" s="53" t="str">
        <f t="shared" si="234"/>
        <v>FATIGA</v>
      </c>
      <c r="BY161" s="50">
        <v>0.0</v>
      </c>
      <c r="BZ161" s="50">
        <v>0.0</v>
      </c>
      <c r="CA161" s="36">
        <v>0.0</v>
      </c>
      <c r="CB161" s="50">
        <v>0.0</v>
      </c>
      <c r="CC161" s="50">
        <v>0.0</v>
      </c>
      <c r="CD161" s="36">
        <v>0.0</v>
      </c>
      <c r="CE161" s="50">
        <v>0.0</v>
      </c>
      <c r="CF161" s="36">
        <v>0.0</v>
      </c>
      <c r="CG161" s="36">
        <v>0.0</v>
      </c>
      <c r="CH161" s="50">
        <v>8.0</v>
      </c>
      <c r="CI161" s="36">
        <v>0.0</v>
      </c>
      <c r="CJ161" s="53">
        <f t="shared" si="235"/>
        <v>0</v>
      </c>
      <c r="CK161" s="53">
        <f t="shared" si="206"/>
        <v>0</v>
      </c>
      <c r="CL161" s="44" t="b">
        <f t="shared" si="207"/>
        <v>0</v>
      </c>
      <c r="CM161" s="44" t="b">
        <f t="shared" si="208"/>
        <v>0</v>
      </c>
      <c r="CN161" s="45" t="str">
        <f t="shared" si="209"/>
        <v>Nivel de actividad física bajo</v>
      </c>
      <c r="CO161" s="36">
        <v>1.0</v>
      </c>
      <c r="CP161" s="36">
        <v>120.0</v>
      </c>
      <c r="CQ161" s="53">
        <f t="shared" si="236"/>
        <v>3</v>
      </c>
      <c r="CR161" s="50">
        <v>7.0</v>
      </c>
      <c r="CS161" s="50">
        <v>0.0</v>
      </c>
      <c r="CT161" s="50">
        <v>6.0</v>
      </c>
      <c r="CU161" s="36">
        <v>1.5</v>
      </c>
      <c r="CV161" s="50">
        <v>2.0</v>
      </c>
      <c r="CW161" s="50">
        <v>2.0</v>
      </c>
      <c r="CX161" s="36">
        <v>3.0</v>
      </c>
      <c r="CY161" s="50">
        <v>1.0</v>
      </c>
      <c r="CZ161" s="36">
        <v>0.0</v>
      </c>
      <c r="DA161" s="50">
        <v>1.0</v>
      </c>
      <c r="DB161" s="50">
        <v>1.0</v>
      </c>
      <c r="DC161" s="50">
        <v>0.0</v>
      </c>
      <c r="DD161" s="50">
        <v>3.0</v>
      </c>
      <c r="DE161" s="50">
        <v>0.0</v>
      </c>
      <c r="DF161" s="36"/>
      <c r="DG161" s="53">
        <f t="shared" si="55"/>
        <v>11</v>
      </c>
      <c r="DH161" s="36">
        <v>3.0</v>
      </c>
      <c r="DI161" s="36">
        <v>0.0</v>
      </c>
      <c r="DJ161" s="36">
        <v>0.0</v>
      </c>
      <c r="DK161" s="36">
        <v>0.0</v>
      </c>
      <c r="DL161" s="68">
        <f t="shared" si="237"/>
        <v>25</v>
      </c>
      <c r="DM161" s="53">
        <f t="shared" si="238"/>
        <v>3</v>
      </c>
      <c r="DN161" s="53">
        <f t="shared" si="239"/>
        <v>2</v>
      </c>
      <c r="DO161" s="53">
        <f t="shared" si="240"/>
        <v>3</v>
      </c>
      <c r="DP161" s="53">
        <f t="shared" si="241"/>
        <v>0</v>
      </c>
      <c r="DQ161" s="53">
        <f t="shared" si="242"/>
        <v>3</v>
      </c>
      <c r="DR161" s="53">
        <f t="shared" ref="DR161:DS161" si="246">(DH161)</f>
        <v>3</v>
      </c>
      <c r="DS161" s="53">
        <f t="shared" si="246"/>
        <v>0</v>
      </c>
      <c r="DT161" s="53">
        <f t="shared" si="41"/>
        <v>14</v>
      </c>
      <c r="DU161" s="53" t="str">
        <f t="shared" si="244"/>
        <v>poor sleep quality</v>
      </c>
      <c r="DV161" s="50">
        <v>0.0</v>
      </c>
      <c r="DW161" s="36" t="s">
        <v>133</v>
      </c>
      <c r="DX161" s="50" t="s">
        <v>213</v>
      </c>
      <c r="DY161" s="36">
        <v>1.0</v>
      </c>
      <c r="DZ161" s="36" t="s">
        <v>131</v>
      </c>
      <c r="EA161" s="36" t="s">
        <v>202</v>
      </c>
      <c r="EB161" s="36" t="s">
        <v>248</v>
      </c>
      <c r="EC161" s="36" t="s">
        <v>131</v>
      </c>
      <c r="ED161" s="36" t="s">
        <v>132</v>
      </c>
      <c r="EE161" s="50" t="s">
        <v>203</v>
      </c>
      <c r="EF161" s="35">
        <f t="shared" si="247"/>
        <v>1683</v>
      </c>
      <c r="EG161" s="35">
        <f t="shared" si="245"/>
        <v>1317</v>
      </c>
      <c r="EH161" s="47">
        <f t="shared" si="24"/>
        <v>31.5115017</v>
      </c>
    </row>
    <row r="162" ht="15.75" customHeight="1">
      <c r="A162" s="43" t="s">
        <v>553</v>
      </c>
      <c r="B162" s="36" t="s">
        <v>175</v>
      </c>
      <c r="C162" s="63">
        <v>45514.0</v>
      </c>
      <c r="D162" s="48">
        <v>49.0</v>
      </c>
      <c r="E162" s="36" t="s">
        <v>153</v>
      </c>
      <c r="F162" s="50">
        <v>175.0</v>
      </c>
      <c r="G162" s="50">
        <v>85.0</v>
      </c>
      <c r="H162" s="75" t="s">
        <v>131</v>
      </c>
      <c r="I162" s="50">
        <v>3.0</v>
      </c>
      <c r="J162" s="55">
        <v>44614.0</v>
      </c>
      <c r="K162" s="36" t="s">
        <v>131</v>
      </c>
      <c r="L162" s="50">
        <v>1.0</v>
      </c>
      <c r="M162" s="76">
        <v>43952.0</v>
      </c>
      <c r="N162" s="36">
        <v>0.0</v>
      </c>
      <c r="O162" s="50" t="s">
        <v>133</v>
      </c>
      <c r="P162" s="36" t="s">
        <v>132</v>
      </c>
      <c r="Q162" s="36" t="s">
        <v>133</v>
      </c>
      <c r="R162" s="36" t="s">
        <v>133</v>
      </c>
      <c r="S162" s="36" t="s">
        <v>133</v>
      </c>
      <c r="T162" s="36" t="s">
        <v>133</v>
      </c>
      <c r="U162" s="36" t="s">
        <v>133</v>
      </c>
      <c r="V162" s="36" t="str">
        <f t="shared" si="178"/>
        <v>Paciente ambulatorio</v>
      </c>
      <c r="W162" s="50" t="s">
        <v>183</v>
      </c>
      <c r="X162" s="36" t="s">
        <v>132</v>
      </c>
      <c r="Y162" s="36">
        <v>2.0</v>
      </c>
      <c r="Z162" s="36">
        <v>1.0</v>
      </c>
      <c r="AA162" s="36">
        <v>3.0</v>
      </c>
      <c r="AB162" s="36">
        <v>3.0</v>
      </c>
      <c r="AC162" s="50">
        <v>1.0</v>
      </c>
      <c r="AD162" s="50">
        <v>2.0</v>
      </c>
      <c r="AE162" s="50">
        <v>3.0</v>
      </c>
      <c r="AF162" s="36">
        <v>1.0</v>
      </c>
      <c r="AG162" s="50">
        <v>1.0</v>
      </c>
      <c r="AH162" s="50">
        <v>3.0</v>
      </c>
      <c r="AI162" s="36">
        <v>1.0</v>
      </c>
      <c r="AJ162" s="50">
        <v>3.0</v>
      </c>
      <c r="AK162" s="81" t="s">
        <v>552</v>
      </c>
      <c r="AL162" s="36" t="s">
        <v>132</v>
      </c>
      <c r="AM162" s="36" t="s">
        <v>132</v>
      </c>
      <c r="AN162" s="36" t="s">
        <v>132</v>
      </c>
      <c r="AO162" s="36" t="s">
        <v>132</v>
      </c>
      <c r="AP162" s="36" t="s">
        <v>132</v>
      </c>
      <c r="AQ162" s="36" t="s">
        <v>132</v>
      </c>
      <c r="AR162" s="36" t="s">
        <v>132</v>
      </c>
      <c r="AS162" s="36" t="s">
        <v>132</v>
      </c>
      <c r="AT162" s="36" t="s">
        <v>132</v>
      </c>
      <c r="AU162" s="36" t="s">
        <v>132</v>
      </c>
      <c r="AV162" s="36" t="s">
        <v>132</v>
      </c>
      <c r="AW162" s="36" t="s">
        <v>133</v>
      </c>
      <c r="AX162" s="36" t="s">
        <v>132</v>
      </c>
      <c r="AY162" s="36" t="s">
        <v>133</v>
      </c>
      <c r="AZ162" s="36" t="s">
        <v>133</v>
      </c>
      <c r="BA162" s="36" t="s">
        <v>133</v>
      </c>
      <c r="BB162" s="50" t="s">
        <v>145</v>
      </c>
      <c r="BC162" s="81" t="s">
        <v>133</v>
      </c>
      <c r="BD162" s="75">
        <v>1.0</v>
      </c>
      <c r="BE162" s="36">
        <v>1.0</v>
      </c>
      <c r="BF162" s="36">
        <v>1.0</v>
      </c>
      <c r="BG162" s="50">
        <v>1.0</v>
      </c>
      <c r="BH162" s="50">
        <v>1.0</v>
      </c>
      <c r="BI162" s="44" t="str">
        <f t="shared" si="205"/>
        <v>11111</v>
      </c>
      <c r="BJ162" s="50">
        <v>80.0</v>
      </c>
      <c r="BK162" s="50">
        <v>2.0</v>
      </c>
      <c r="BL162" s="50">
        <v>1.0</v>
      </c>
      <c r="BM162" s="50">
        <v>1.0</v>
      </c>
      <c r="BN162" s="50">
        <v>4.0</v>
      </c>
      <c r="BO162" s="50">
        <v>2.0</v>
      </c>
      <c r="BP162" s="50">
        <v>2.0</v>
      </c>
      <c r="BQ162" s="36">
        <v>2.0</v>
      </c>
      <c r="BR162" s="50">
        <v>2.0</v>
      </c>
      <c r="BS162" s="36">
        <v>2.0</v>
      </c>
      <c r="BT162" s="50">
        <v>2.0</v>
      </c>
      <c r="BU162" s="53">
        <f t="shared" si="232"/>
        <v>2</v>
      </c>
      <c r="BV162" s="53">
        <f t="shared" si="233"/>
        <v>4</v>
      </c>
      <c r="BW162" s="53">
        <f t="shared" si="183"/>
        <v>20</v>
      </c>
      <c r="BX162" s="53" t="str">
        <f t="shared" si="234"/>
        <v>NO HAY FATIGA</v>
      </c>
      <c r="BY162" s="36">
        <v>0.0</v>
      </c>
      <c r="BZ162" s="36">
        <v>0.0</v>
      </c>
      <c r="CA162" s="36">
        <v>0.0</v>
      </c>
      <c r="CB162" s="50">
        <v>5.0</v>
      </c>
      <c r="CC162" s="50">
        <v>6.0</v>
      </c>
      <c r="CD162" s="36">
        <v>0.0</v>
      </c>
      <c r="CE162" s="50">
        <v>7.0</v>
      </c>
      <c r="CF162" s="50">
        <v>0.0</v>
      </c>
      <c r="CG162" s="36">
        <v>30.0</v>
      </c>
      <c r="CH162" s="50">
        <v>8.0</v>
      </c>
      <c r="CI162" s="36">
        <v>0.0</v>
      </c>
      <c r="CJ162" s="53">
        <f t="shared" si="235"/>
        <v>7893</v>
      </c>
      <c r="CK162" s="53">
        <f t="shared" si="206"/>
        <v>12</v>
      </c>
      <c r="CL162" s="44" t="str">
        <f t="shared" si="207"/>
        <v>Nivel de actividad física alto</v>
      </c>
      <c r="CM162" s="44" t="str">
        <f t="shared" si="208"/>
        <v>Nivel de actividad física moderado</v>
      </c>
      <c r="CN162" s="45" t="str">
        <f t="shared" si="209"/>
        <v>Nivel de actividad física alto</v>
      </c>
      <c r="CO162" s="36">
        <v>23.0</v>
      </c>
      <c r="CP162" s="50">
        <v>15.0</v>
      </c>
      <c r="CQ162" s="53">
        <f t="shared" si="236"/>
        <v>0</v>
      </c>
      <c r="CR162" s="50">
        <v>6.0</v>
      </c>
      <c r="CS162" s="50">
        <v>0.0</v>
      </c>
      <c r="CT162" s="50">
        <v>7.0</v>
      </c>
      <c r="CU162" s="50">
        <v>6.0</v>
      </c>
      <c r="CV162" s="50">
        <v>0.0</v>
      </c>
      <c r="CW162" s="50">
        <v>2.0</v>
      </c>
      <c r="CX162" s="50">
        <v>0.0</v>
      </c>
      <c r="CY162" s="50">
        <v>1.0</v>
      </c>
      <c r="CZ162" s="50">
        <v>1.0</v>
      </c>
      <c r="DA162" s="36">
        <v>0.0</v>
      </c>
      <c r="DB162" s="50">
        <v>1.0</v>
      </c>
      <c r="DC162" s="50">
        <v>0.0</v>
      </c>
      <c r="DD162" s="50">
        <v>0.0</v>
      </c>
      <c r="DE162" s="50">
        <v>1.0</v>
      </c>
      <c r="DF162" s="50" t="s">
        <v>554</v>
      </c>
      <c r="DG162" s="53">
        <f t="shared" si="55"/>
        <v>6</v>
      </c>
      <c r="DH162" s="50">
        <v>1.0</v>
      </c>
      <c r="DI162" s="36">
        <v>0.0</v>
      </c>
      <c r="DJ162" s="36">
        <v>3.0</v>
      </c>
      <c r="DK162" s="50">
        <v>0.0</v>
      </c>
      <c r="DL162" s="68">
        <f t="shared" si="237"/>
        <v>85.71428571</v>
      </c>
      <c r="DM162" s="53">
        <f t="shared" si="238"/>
        <v>1</v>
      </c>
      <c r="DN162" s="53">
        <f t="shared" si="239"/>
        <v>1</v>
      </c>
      <c r="DO162" s="53">
        <f t="shared" si="240"/>
        <v>0</v>
      </c>
      <c r="DP162" s="53">
        <f t="shared" si="241"/>
        <v>2</v>
      </c>
      <c r="DQ162" s="53">
        <f t="shared" si="242"/>
        <v>0</v>
      </c>
      <c r="DR162" s="53">
        <f t="shared" ref="DR162:DS162" si="248">(DH162)</f>
        <v>1</v>
      </c>
      <c r="DS162" s="53">
        <f t="shared" si="248"/>
        <v>0</v>
      </c>
      <c r="DT162" s="53">
        <f t="shared" si="41"/>
        <v>5</v>
      </c>
      <c r="DU162" s="53" t="str">
        <f t="shared" si="244"/>
        <v>good sleep quality</v>
      </c>
      <c r="DV162" s="50">
        <v>4.0</v>
      </c>
      <c r="DW162" s="50" t="s">
        <v>149</v>
      </c>
      <c r="DX162" s="36" t="s">
        <v>213</v>
      </c>
      <c r="DY162" s="36">
        <v>1.0</v>
      </c>
      <c r="DZ162" s="36" t="s">
        <v>131</v>
      </c>
      <c r="EA162" s="50" t="s">
        <v>202</v>
      </c>
      <c r="EB162" s="50" t="s">
        <v>139</v>
      </c>
      <c r="EC162" s="36" t="s">
        <v>131</v>
      </c>
      <c r="ED162" s="36" t="s">
        <v>132</v>
      </c>
      <c r="EE162" s="36" t="s">
        <v>141</v>
      </c>
      <c r="EF162" s="35">
        <f t="shared" si="247"/>
        <v>1562</v>
      </c>
      <c r="EG162" s="57" t="s">
        <v>133</v>
      </c>
      <c r="EH162" s="47">
        <f t="shared" si="24"/>
        <v>27.75510204</v>
      </c>
    </row>
    <row r="163" ht="15.75" customHeight="1">
      <c r="A163" s="43" t="s">
        <v>555</v>
      </c>
      <c r="B163" s="36" t="s">
        <v>175</v>
      </c>
      <c r="C163" s="63">
        <v>45528.0</v>
      </c>
      <c r="D163" s="64">
        <v>39.0</v>
      </c>
      <c r="E163" s="57" t="s">
        <v>130</v>
      </c>
      <c r="F163" s="57">
        <v>159.0</v>
      </c>
      <c r="G163" s="65">
        <v>72.0</v>
      </c>
      <c r="H163" s="59" t="s">
        <v>131</v>
      </c>
      <c r="I163" s="57">
        <v>3.0</v>
      </c>
      <c r="J163" s="55">
        <v>44958.0</v>
      </c>
      <c r="K163" s="57" t="s">
        <v>131</v>
      </c>
      <c r="L163" s="57">
        <v>2.0</v>
      </c>
      <c r="M163" s="55">
        <v>44774.0</v>
      </c>
      <c r="N163" s="57" t="s">
        <v>133</v>
      </c>
      <c r="O163" s="55">
        <v>45170.0</v>
      </c>
      <c r="P163" s="57" t="s">
        <v>132</v>
      </c>
      <c r="Q163" s="36" t="s">
        <v>133</v>
      </c>
      <c r="R163" s="36" t="s">
        <v>133</v>
      </c>
      <c r="S163" s="36" t="s">
        <v>133</v>
      </c>
      <c r="T163" s="36" t="s">
        <v>133</v>
      </c>
      <c r="U163" s="36" t="s">
        <v>133</v>
      </c>
      <c r="V163" s="36" t="str">
        <f t="shared" si="178"/>
        <v>Paciente ambulatorio</v>
      </c>
      <c r="W163" s="57" t="s">
        <v>183</v>
      </c>
      <c r="X163" s="57" t="s">
        <v>132</v>
      </c>
      <c r="Y163" s="57">
        <v>1.0</v>
      </c>
      <c r="Z163" s="57">
        <v>1.0</v>
      </c>
      <c r="AA163" s="57">
        <v>2.0</v>
      </c>
      <c r="AB163" s="57">
        <v>2.0</v>
      </c>
      <c r="AC163" s="57">
        <v>1.0</v>
      </c>
      <c r="AD163" s="57">
        <v>1.0</v>
      </c>
      <c r="AE163" s="57">
        <v>1.0</v>
      </c>
      <c r="AF163" s="57">
        <v>1.0</v>
      </c>
      <c r="AG163" s="57">
        <v>3.0</v>
      </c>
      <c r="AH163" s="57">
        <v>1.0</v>
      </c>
      <c r="AI163" s="57">
        <v>3.0</v>
      </c>
      <c r="AJ163" s="57">
        <v>1.0</v>
      </c>
      <c r="AK163" s="65" t="s">
        <v>278</v>
      </c>
      <c r="AL163" s="59" t="s">
        <v>132</v>
      </c>
      <c r="AM163" s="57" t="s">
        <v>132</v>
      </c>
      <c r="AN163" s="57" t="s">
        <v>132</v>
      </c>
      <c r="AO163" s="57" t="s">
        <v>132</v>
      </c>
      <c r="AP163" s="57" t="s">
        <v>132</v>
      </c>
      <c r="AQ163" s="57" t="s">
        <v>132</v>
      </c>
      <c r="AR163" s="57" t="s">
        <v>132</v>
      </c>
      <c r="AS163" s="57" t="s">
        <v>132</v>
      </c>
      <c r="AT163" s="57" t="s">
        <v>132</v>
      </c>
      <c r="AU163" s="57" t="s">
        <v>132</v>
      </c>
      <c r="AV163" s="57" t="s">
        <v>131</v>
      </c>
      <c r="AW163" s="57" t="s">
        <v>556</v>
      </c>
      <c r="AX163" s="57" t="s">
        <v>131</v>
      </c>
      <c r="AY163" s="57">
        <v>6.0</v>
      </c>
      <c r="AZ163" s="57">
        <v>10.0</v>
      </c>
      <c r="BA163" s="36" t="s">
        <v>133</v>
      </c>
      <c r="BB163" s="57" t="s">
        <v>145</v>
      </c>
      <c r="BC163" s="36" t="s">
        <v>133</v>
      </c>
      <c r="BD163" s="59">
        <v>2.0</v>
      </c>
      <c r="BE163" s="35"/>
      <c r="BF163" s="35"/>
      <c r="BG163" s="57">
        <v>2.0</v>
      </c>
      <c r="BH163" s="57">
        <v>2.0</v>
      </c>
      <c r="BI163" s="44" t="str">
        <f t="shared" si="205"/>
        <v>222</v>
      </c>
      <c r="BJ163" s="57">
        <v>55.0</v>
      </c>
      <c r="BK163" s="57">
        <v>3.0</v>
      </c>
      <c r="BL163" s="57">
        <v>3.0</v>
      </c>
      <c r="BM163" s="57">
        <v>3.0</v>
      </c>
      <c r="BN163" s="57">
        <v>1.0</v>
      </c>
      <c r="BO163" s="57">
        <v>4.0</v>
      </c>
      <c r="BP163" s="57">
        <v>5.0</v>
      </c>
      <c r="BQ163" s="57">
        <v>2.0</v>
      </c>
      <c r="BR163" s="57">
        <v>4.0</v>
      </c>
      <c r="BS163" s="57">
        <v>4.0</v>
      </c>
      <c r="BT163" s="57">
        <v>3.0</v>
      </c>
      <c r="BU163" s="44">
        <f>IF(BN163=1,5,IF(BN163=2,4,IF(BN163=3,3,IF(BN163=4,2,IF(BN163=5,1)))))</f>
        <v>5</v>
      </c>
      <c r="BV163" s="44">
        <f>IF(BT163=1,5,IF(BT163=2,4,IF(BT163=3,3,IF(BT163=4,2,IF(BT163=5,1)))))</f>
        <v>3</v>
      </c>
      <c r="BW163" s="44">
        <f t="shared" si="183"/>
        <v>34</v>
      </c>
      <c r="BX163" s="44" t="str">
        <f>IF(BW163&lt;22,"NO HAY FATIGA",IF(BW163&lt;35,"FATIGA","FATIGA EXTREMA"))</f>
        <v>FATIGA</v>
      </c>
      <c r="BY163" s="57">
        <v>0.0</v>
      </c>
      <c r="BZ163" s="57">
        <v>0.0</v>
      </c>
      <c r="CA163" s="57">
        <v>0.0</v>
      </c>
      <c r="CB163" s="57">
        <v>0.0</v>
      </c>
      <c r="CC163" s="57">
        <v>0.0</v>
      </c>
      <c r="CD163" s="57">
        <v>0.0</v>
      </c>
      <c r="CE163" s="57">
        <v>0.0</v>
      </c>
      <c r="CF163" s="57">
        <v>0.0</v>
      </c>
      <c r="CG163" s="57">
        <v>0.0</v>
      </c>
      <c r="CH163" s="57">
        <v>8.0</v>
      </c>
      <c r="CI163" s="57">
        <v>0.0</v>
      </c>
      <c r="CJ163" s="44">
        <f>(8*BY163*(BZ163*60+CA163)+4*CB163*(CC163*60+CD163)+3.3*CE163*(CF163*60+CG163))</f>
        <v>0</v>
      </c>
      <c r="CK163" s="44">
        <f t="shared" si="206"/>
        <v>0</v>
      </c>
      <c r="CL163" s="44" t="b">
        <f t="shared" si="207"/>
        <v>0</v>
      </c>
      <c r="CM163" s="44" t="b">
        <f t="shared" si="208"/>
        <v>0</v>
      </c>
      <c r="CN163" s="45" t="str">
        <f t="shared" si="209"/>
        <v>Nivel de actividad física bajo</v>
      </c>
      <c r="CO163" s="69">
        <v>0.9791666666666666</v>
      </c>
      <c r="CP163" s="57">
        <v>60.0</v>
      </c>
      <c r="CQ163" s="44">
        <f>IF(CP163&gt;60,3,IF(CP163&gt;30,2,IF(CP163&gt;15,1,0)))</f>
        <v>2</v>
      </c>
      <c r="CR163" s="57">
        <v>7.0</v>
      </c>
      <c r="CS163" s="57">
        <v>0.0</v>
      </c>
      <c r="CT163" s="57">
        <v>7.5</v>
      </c>
      <c r="CU163" s="57">
        <v>4.0</v>
      </c>
      <c r="CV163" s="57">
        <v>3.0</v>
      </c>
      <c r="CW163" s="57">
        <v>3.0</v>
      </c>
      <c r="CX163" s="57">
        <v>3.0</v>
      </c>
      <c r="CY163" s="57">
        <v>0.0</v>
      </c>
      <c r="CZ163" s="57">
        <v>3.0</v>
      </c>
      <c r="DA163" s="57">
        <v>0.0</v>
      </c>
      <c r="DB163" s="57">
        <v>3.0</v>
      </c>
      <c r="DC163" s="57">
        <v>0.0</v>
      </c>
      <c r="DD163" s="57">
        <v>3.0</v>
      </c>
      <c r="DE163" s="57">
        <v>3.0</v>
      </c>
      <c r="DF163" s="57" t="s">
        <v>405</v>
      </c>
      <c r="DG163" s="53">
        <f t="shared" si="55"/>
        <v>18</v>
      </c>
      <c r="DH163" s="57">
        <v>2.0</v>
      </c>
      <c r="DI163" s="57">
        <v>0.0</v>
      </c>
      <c r="DJ163" s="57">
        <v>2.0</v>
      </c>
      <c r="DK163" s="57">
        <v>3.0</v>
      </c>
      <c r="DL163" s="68">
        <f t="shared" si="237"/>
        <v>53.33333333</v>
      </c>
      <c r="DM163" s="53">
        <f t="shared" si="238"/>
        <v>3</v>
      </c>
      <c r="DN163" s="53">
        <f t="shared" si="239"/>
        <v>2</v>
      </c>
      <c r="DO163" s="53">
        <f t="shared" si="240"/>
        <v>3</v>
      </c>
      <c r="DP163" s="53">
        <f t="shared" si="241"/>
        <v>3</v>
      </c>
      <c r="DQ163" s="53">
        <f t="shared" si="242"/>
        <v>3</v>
      </c>
      <c r="DR163" s="53">
        <f t="shared" ref="DR163:DS163" si="249">(DH163)</f>
        <v>2</v>
      </c>
      <c r="DS163" s="53">
        <f t="shared" si="249"/>
        <v>0</v>
      </c>
      <c r="DT163" s="53">
        <f t="shared" si="41"/>
        <v>16</v>
      </c>
      <c r="DU163" s="53" t="str">
        <f t="shared" si="244"/>
        <v>poor sleep quality</v>
      </c>
      <c r="DV163" s="57">
        <v>1.0</v>
      </c>
      <c r="DW163" s="57" t="s">
        <v>136</v>
      </c>
      <c r="DX163" s="57" t="s">
        <v>137</v>
      </c>
      <c r="DY163" s="57">
        <v>1.0</v>
      </c>
      <c r="DZ163" s="57" t="s">
        <v>131</v>
      </c>
      <c r="EA163" s="57" t="s">
        <v>167</v>
      </c>
      <c r="EB163" s="57" t="s">
        <v>139</v>
      </c>
      <c r="EC163" s="36" t="s">
        <v>133</v>
      </c>
      <c r="ED163" s="57" t="s">
        <v>132</v>
      </c>
      <c r="EE163" s="57" t="s">
        <v>141</v>
      </c>
      <c r="EF163" s="35">
        <f t="shared" si="247"/>
        <v>754</v>
      </c>
      <c r="EG163" s="35">
        <f>C163-O163</f>
        <v>358</v>
      </c>
      <c r="EH163" s="47">
        <f t="shared" si="24"/>
        <v>28.47988608</v>
      </c>
    </row>
    <row r="164" ht="15.75" customHeight="1">
      <c r="A164" s="43" t="s">
        <v>557</v>
      </c>
      <c r="B164" s="57" t="s">
        <v>175</v>
      </c>
      <c r="C164" s="63">
        <v>45528.0</v>
      </c>
      <c r="D164" s="64">
        <v>46.0</v>
      </c>
      <c r="E164" s="50" t="s">
        <v>130</v>
      </c>
      <c r="F164" s="50">
        <v>170.0</v>
      </c>
      <c r="G164" s="50">
        <v>90.0</v>
      </c>
      <c r="H164" s="79" t="s">
        <v>131</v>
      </c>
      <c r="I164" s="50">
        <v>4.0</v>
      </c>
      <c r="J164" s="55" t="s">
        <v>133</v>
      </c>
      <c r="K164" s="50" t="s">
        <v>131</v>
      </c>
      <c r="L164" s="50">
        <v>1.0</v>
      </c>
      <c r="M164" s="76">
        <v>44562.0</v>
      </c>
      <c r="N164" s="50" t="s">
        <v>131</v>
      </c>
      <c r="O164" s="55" t="s">
        <v>133</v>
      </c>
      <c r="P164" s="50" t="s">
        <v>132</v>
      </c>
      <c r="Q164" s="36" t="s">
        <v>133</v>
      </c>
      <c r="R164" s="36" t="s">
        <v>133</v>
      </c>
      <c r="S164" s="36" t="s">
        <v>133</v>
      </c>
      <c r="T164" s="36" t="s">
        <v>133</v>
      </c>
      <c r="U164" s="36" t="s">
        <v>133</v>
      </c>
      <c r="V164" s="36" t="str">
        <f t="shared" si="178"/>
        <v>Paciente ambulatorio</v>
      </c>
      <c r="W164" s="50" t="s">
        <v>183</v>
      </c>
      <c r="X164" s="50" t="s">
        <v>132</v>
      </c>
      <c r="Y164" s="50">
        <v>3.0</v>
      </c>
      <c r="Z164" s="50">
        <v>1.0</v>
      </c>
      <c r="AA164" s="50">
        <v>2.0</v>
      </c>
      <c r="AB164" s="50">
        <v>2.0</v>
      </c>
      <c r="AC164" s="50">
        <v>1.0</v>
      </c>
      <c r="AD164" s="50">
        <v>3.0</v>
      </c>
      <c r="AE164" s="50">
        <v>1.0</v>
      </c>
      <c r="AF164" s="50">
        <v>1.0</v>
      </c>
      <c r="AG164" s="50">
        <v>3.0</v>
      </c>
      <c r="AH164" s="50">
        <v>3.0</v>
      </c>
      <c r="AI164" s="50">
        <v>1.0</v>
      </c>
      <c r="AJ164" s="50">
        <v>1.0</v>
      </c>
      <c r="AK164" s="36" t="s">
        <v>133</v>
      </c>
      <c r="AL164" s="50" t="s">
        <v>132</v>
      </c>
      <c r="AM164" s="50" t="s">
        <v>132</v>
      </c>
      <c r="AN164" s="50" t="s">
        <v>132</v>
      </c>
      <c r="AO164" s="50" t="s">
        <v>132</v>
      </c>
      <c r="AP164" s="50" t="s">
        <v>132</v>
      </c>
      <c r="AQ164" s="50" t="s">
        <v>132</v>
      </c>
      <c r="AR164" s="50" t="s">
        <v>132</v>
      </c>
      <c r="AS164" s="50" t="s">
        <v>132</v>
      </c>
      <c r="AT164" s="50" t="s">
        <v>132</v>
      </c>
      <c r="AU164" s="50" t="s">
        <v>132</v>
      </c>
      <c r="AV164" s="50" t="s">
        <v>131</v>
      </c>
      <c r="AW164" s="50" t="s">
        <v>558</v>
      </c>
      <c r="AX164" s="50" t="s">
        <v>132</v>
      </c>
      <c r="AY164" s="36" t="s">
        <v>133</v>
      </c>
      <c r="AZ164" s="36" t="s">
        <v>133</v>
      </c>
      <c r="BA164" s="36" t="s">
        <v>133</v>
      </c>
      <c r="BB164" s="50" t="s">
        <v>145</v>
      </c>
      <c r="BC164" s="36" t="s">
        <v>133</v>
      </c>
      <c r="BD164" s="75">
        <v>1.0</v>
      </c>
      <c r="BE164" s="36">
        <v>1.0</v>
      </c>
      <c r="BF164" s="36">
        <v>1.0</v>
      </c>
      <c r="BG164" s="36">
        <v>2.0</v>
      </c>
      <c r="BH164" s="36">
        <v>1.0</v>
      </c>
      <c r="BI164" s="44" t="str">
        <f t="shared" si="205"/>
        <v>11121</v>
      </c>
      <c r="BJ164" s="82">
        <v>80.0</v>
      </c>
      <c r="BK164" s="82">
        <v>3.0</v>
      </c>
      <c r="BL164" s="82">
        <v>2.0</v>
      </c>
      <c r="BM164" s="82">
        <v>4.0</v>
      </c>
      <c r="BN164" s="82">
        <v>3.0</v>
      </c>
      <c r="BO164" s="82">
        <v>4.0</v>
      </c>
      <c r="BP164" s="82">
        <v>2.0</v>
      </c>
      <c r="BQ164" s="82">
        <v>2.0</v>
      </c>
      <c r="BR164" s="82">
        <v>2.0</v>
      </c>
      <c r="BS164" s="82">
        <v>3.0</v>
      </c>
      <c r="BT164" s="82">
        <v>4.0</v>
      </c>
      <c r="BU164" s="53">
        <f t="shared" ref="BU164:BU170" si="251">IF(BN164=1,5,IF(BN164=2,4,IF(BN164=3,3,IF(BN164=4,2,IF(BN164=5,1)))))</f>
        <v>3</v>
      </c>
      <c r="BV164" s="53">
        <f t="shared" ref="BV164:BV170" si="252">IF(BT164=1,5,IF(BT164=2,4,IF(BT164=3,3,IF(BT164=4,2,IF(BT164=5,1)))))</f>
        <v>2</v>
      </c>
      <c r="BW164" s="53">
        <f t="shared" si="183"/>
        <v>28</v>
      </c>
      <c r="BX164" s="53" t="str">
        <f t="shared" ref="BX164:BX170" si="253">IF(BW164&lt;22,"NO HAY FATIGA",IF(BW164&lt;35,"FATIGA","FATIGA EXTREMA"))</f>
        <v>FATIGA</v>
      </c>
      <c r="BY164" s="36">
        <v>2.0</v>
      </c>
      <c r="BZ164" s="36">
        <v>1.0</v>
      </c>
      <c r="CA164" s="36">
        <v>15.0</v>
      </c>
      <c r="CB164" s="36">
        <v>0.0</v>
      </c>
      <c r="CC164" s="36">
        <v>0.0</v>
      </c>
      <c r="CD164" s="36">
        <v>0.0</v>
      </c>
      <c r="CE164" s="36">
        <v>2.0</v>
      </c>
      <c r="CF164" s="36">
        <v>0.0</v>
      </c>
      <c r="CG164" s="36">
        <v>30.0</v>
      </c>
      <c r="CH164" s="36">
        <v>3.0</v>
      </c>
      <c r="CI164" s="36">
        <v>0.0</v>
      </c>
      <c r="CJ164" s="53">
        <f t="shared" ref="CJ164:CJ217" si="254">(8*BY164*(BZ164*60+CA164)+4*CB164*(CC164*60+CD164)+3.3*CE164*(CF164*60+CG164))</f>
        <v>1398</v>
      </c>
      <c r="CK164" s="53">
        <f t="shared" si="206"/>
        <v>4</v>
      </c>
      <c r="CL164" s="44" t="b">
        <f t="shared" si="207"/>
        <v>0</v>
      </c>
      <c r="CM164" s="44" t="b">
        <f t="shared" si="208"/>
        <v>0</v>
      </c>
      <c r="CN164" s="45" t="str">
        <f t="shared" si="209"/>
        <v>Nivel de actividad física bajo</v>
      </c>
      <c r="CO164" s="67">
        <v>0.020833333333333332</v>
      </c>
      <c r="CP164" s="82">
        <v>5.0</v>
      </c>
      <c r="CQ164" s="53">
        <f t="shared" ref="CQ164:CQ166" si="255">IF(CP164&gt;60,3,IF(CP164&gt;30,2,IF(CP164&gt;15,1,0)))</f>
        <v>0</v>
      </c>
      <c r="CR164" s="82">
        <v>6.0</v>
      </c>
      <c r="CS164" s="82">
        <v>15.0</v>
      </c>
      <c r="CT164" s="82">
        <v>5.75</v>
      </c>
      <c r="CU164" s="82">
        <v>5.0</v>
      </c>
      <c r="CV164" s="82">
        <v>0.0</v>
      </c>
      <c r="CW164" s="82">
        <v>2.0</v>
      </c>
      <c r="CX164" s="82">
        <v>0.0</v>
      </c>
      <c r="CY164" s="82">
        <v>0.0</v>
      </c>
      <c r="CZ164" s="82">
        <v>2.0</v>
      </c>
      <c r="DA164" s="82">
        <v>0.0</v>
      </c>
      <c r="DB164" s="82">
        <v>2.0</v>
      </c>
      <c r="DC164" s="82">
        <v>0.0</v>
      </c>
      <c r="DD164" s="82">
        <v>2.0</v>
      </c>
      <c r="DE164" s="82">
        <v>0.0</v>
      </c>
      <c r="DF164" s="36" t="s">
        <v>133</v>
      </c>
      <c r="DG164" s="53">
        <f t="shared" si="55"/>
        <v>8</v>
      </c>
      <c r="DH164" s="82">
        <v>1.0</v>
      </c>
      <c r="DI164" s="82">
        <v>0.0</v>
      </c>
      <c r="DJ164" s="82">
        <v>3.0</v>
      </c>
      <c r="DK164" s="82">
        <v>0.0</v>
      </c>
      <c r="DL164" s="68">
        <f t="shared" si="237"/>
        <v>86.95652174</v>
      </c>
      <c r="DM164" s="53">
        <f t="shared" si="238"/>
        <v>2</v>
      </c>
      <c r="DN164" s="53">
        <f t="shared" si="239"/>
        <v>1</v>
      </c>
      <c r="DO164" s="53">
        <f t="shared" si="240"/>
        <v>0</v>
      </c>
      <c r="DP164" s="53">
        <f t="shared" si="241"/>
        <v>2</v>
      </c>
      <c r="DQ164" s="53">
        <f t="shared" si="242"/>
        <v>0</v>
      </c>
      <c r="DR164" s="53">
        <f t="shared" ref="DR164:DS164" si="250">(DH164)</f>
        <v>1</v>
      </c>
      <c r="DS164" s="53">
        <f t="shared" si="250"/>
        <v>0</v>
      </c>
      <c r="DT164" s="53">
        <f t="shared" si="41"/>
        <v>6</v>
      </c>
      <c r="DU164" s="53" t="str">
        <f t="shared" si="244"/>
        <v>poor sleep quality</v>
      </c>
      <c r="DV164" s="36">
        <v>3.0</v>
      </c>
      <c r="DW164" s="36" t="s">
        <v>149</v>
      </c>
      <c r="DX164" s="36" t="s">
        <v>146</v>
      </c>
      <c r="DY164" s="36">
        <v>2.0</v>
      </c>
      <c r="DZ164" s="36" t="s">
        <v>131</v>
      </c>
      <c r="EA164" s="36" t="s">
        <v>147</v>
      </c>
      <c r="EB164" s="36" t="s">
        <v>172</v>
      </c>
      <c r="EC164" s="36" t="s">
        <v>133</v>
      </c>
      <c r="ED164" s="36" t="s">
        <v>133</v>
      </c>
      <c r="EE164" s="36" t="s">
        <v>141</v>
      </c>
      <c r="EF164" s="35">
        <f t="shared" si="247"/>
        <v>966</v>
      </c>
      <c r="EG164" s="36" t="s">
        <v>133</v>
      </c>
      <c r="EH164" s="47">
        <f t="shared" si="24"/>
        <v>31.14186851</v>
      </c>
    </row>
    <row r="165" ht="15.75" customHeight="1">
      <c r="A165" s="43" t="s">
        <v>559</v>
      </c>
      <c r="B165" s="50" t="s">
        <v>129</v>
      </c>
      <c r="C165" s="63">
        <v>45528.0</v>
      </c>
      <c r="D165" s="64">
        <v>53.0</v>
      </c>
      <c r="E165" s="50" t="s">
        <v>153</v>
      </c>
      <c r="F165" s="50">
        <v>161.0</v>
      </c>
      <c r="G165" s="50">
        <v>79.0</v>
      </c>
      <c r="H165" s="79" t="s">
        <v>131</v>
      </c>
      <c r="I165" s="50">
        <v>4.0</v>
      </c>
      <c r="J165" s="55" t="s">
        <v>133</v>
      </c>
      <c r="K165" s="50" t="s">
        <v>132</v>
      </c>
      <c r="L165" s="57" t="s">
        <v>133</v>
      </c>
      <c r="M165" s="55" t="s">
        <v>133</v>
      </c>
      <c r="N165" s="57" t="s">
        <v>133</v>
      </c>
      <c r="O165" s="55" t="s">
        <v>133</v>
      </c>
      <c r="P165" s="57" t="s">
        <v>133</v>
      </c>
      <c r="Q165" s="36" t="s">
        <v>133</v>
      </c>
      <c r="R165" s="36" t="s">
        <v>133</v>
      </c>
      <c r="S165" s="36" t="s">
        <v>133</v>
      </c>
      <c r="T165" s="36" t="s">
        <v>133</v>
      </c>
      <c r="U165" s="36" t="s">
        <v>133</v>
      </c>
      <c r="V165" s="36" t="str">
        <f t="shared" si="178"/>
        <v>No infectado</v>
      </c>
      <c r="W165" s="36" t="s">
        <v>133</v>
      </c>
      <c r="X165" s="36" t="s">
        <v>133</v>
      </c>
      <c r="Y165" s="36" t="s">
        <v>133</v>
      </c>
      <c r="Z165" s="36" t="s">
        <v>133</v>
      </c>
      <c r="AA165" s="36" t="s">
        <v>133</v>
      </c>
      <c r="AB165" s="36" t="s">
        <v>133</v>
      </c>
      <c r="AC165" s="36" t="s">
        <v>133</v>
      </c>
      <c r="AD165" s="36" t="s">
        <v>133</v>
      </c>
      <c r="AE165" s="36" t="s">
        <v>133</v>
      </c>
      <c r="AF165" s="36" t="s">
        <v>133</v>
      </c>
      <c r="AG165" s="36" t="s">
        <v>133</v>
      </c>
      <c r="AH165" s="36" t="s">
        <v>133</v>
      </c>
      <c r="AI165" s="36" t="s">
        <v>133</v>
      </c>
      <c r="AJ165" s="36" t="s">
        <v>133</v>
      </c>
      <c r="AK165" s="36" t="s">
        <v>133</v>
      </c>
      <c r="AL165" s="50" t="s">
        <v>132</v>
      </c>
      <c r="AM165" s="50" t="s">
        <v>132</v>
      </c>
      <c r="AN165" s="50" t="s">
        <v>132</v>
      </c>
      <c r="AO165" s="50" t="s">
        <v>132</v>
      </c>
      <c r="AP165" s="50" t="s">
        <v>132</v>
      </c>
      <c r="AQ165" s="50" t="s">
        <v>132</v>
      </c>
      <c r="AR165" s="50" t="s">
        <v>132</v>
      </c>
      <c r="AS165" s="50" t="s">
        <v>132</v>
      </c>
      <c r="AT165" s="50" t="s">
        <v>132</v>
      </c>
      <c r="AU165" s="50" t="s">
        <v>132</v>
      </c>
      <c r="AV165" s="50" t="s">
        <v>132</v>
      </c>
      <c r="AW165" s="36" t="s">
        <v>133</v>
      </c>
      <c r="AX165" s="50" t="s">
        <v>131</v>
      </c>
      <c r="AY165" s="77">
        <v>3.0</v>
      </c>
      <c r="AZ165" s="77" t="s">
        <v>560</v>
      </c>
      <c r="BA165" s="36" t="s">
        <v>133</v>
      </c>
      <c r="BB165" s="50" t="s">
        <v>135</v>
      </c>
      <c r="BC165" s="83">
        <v>3.0</v>
      </c>
      <c r="BD165" s="79">
        <v>1.0</v>
      </c>
      <c r="BE165" s="50">
        <v>1.0</v>
      </c>
      <c r="BF165" s="50">
        <v>1.0</v>
      </c>
      <c r="BG165" s="50">
        <v>1.0</v>
      </c>
      <c r="BH165" s="50">
        <v>1.0</v>
      </c>
      <c r="BI165" s="44" t="str">
        <f t="shared" si="205"/>
        <v>11111</v>
      </c>
      <c r="BJ165" s="50">
        <v>65.0</v>
      </c>
      <c r="BK165" s="50">
        <v>2.0</v>
      </c>
      <c r="BL165" s="50">
        <v>1.0</v>
      </c>
      <c r="BM165" s="50">
        <v>2.0</v>
      </c>
      <c r="BN165" s="50">
        <v>5.0</v>
      </c>
      <c r="BO165" s="50">
        <v>2.0</v>
      </c>
      <c r="BP165" s="50">
        <v>1.0</v>
      </c>
      <c r="BQ165" s="50">
        <v>2.0</v>
      </c>
      <c r="BR165" s="50">
        <v>1.0</v>
      </c>
      <c r="BS165" s="50">
        <v>2.0</v>
      </c>
      <c r="BT165" s="50">
        <v>5.0</v>
      </c>
      <c r="BU165" s="53">
        <f t="shared" si="251"/>
        <v>1</v>
      </c>
      <c r="BV165" s="53">
        <f t="shared" si="252"/>
        <v>1</v>
      </c>
      <c r="BW165" s="53">
        <f t="shared" si="183"/>
        <v>19</v>
      </c>
      <c r="BX165" s="53" t="str">
        <f t="shared" si="253"/>
        <v>NO HAY FATIGA</v>
      </c>
      <c r="BY165" s="50">
        <v>0.0</v>
      </c>
      <c r="BZ165" s="50">
        <v>0.0</v>
      </c>
      <c r="CA165" s="50">
        <v>0.0</v>
      </c>
      <c r="CB165" s="50">
        <v>0.0</v>
      </c>
      <c r="CC165" s="50">
        <v>0.0</v>
      </c>
      <c r="CD165" s="50">
        <v>0.0</v>
      </c>
      <c r="CE165" s="50">
        <v>7.0</v>
      </c>
      <c r="CF165" s="50">
        <v>0.0</v>
      </c>
      <c r="CG165" s="50">
        <v>40.0</v>
      </c>
      <c r="CH165" s="50">
        <v>2.0</v>
      </c>
      <c r="CI165" s="50">
        <v>0.0</v>
      </c>
      <c r="CJ165" s="53">
        <f t="shared" si="254"/>
        <v>924</v>
      </c>
      <c r="CK165" s="53">
        <f t="shared" si="206"/>
        <v>7</v>
      </c>
      <c r="CL165" s="44" t="b">
        <f t="shared" si="207"/>
        <v>0</v>
      </c>
      <c r="CM165" s="44" t="str">
        <f t="shared" si="208"/>
        <v>Nivel de actividad física moderado</v>
      </c>
      <c r="CN165" s="45" t="str">
        <f t="shared" si="209"/>
        <v>Nivel de actividad física moderado</v>
      </c>
      <c r="CO165" s="78">
        <v>0.9791666666666666</v>
      </c>
      <c r="CP165" s="50">
        <v>5.0</v>
      </c>
      <c r="CQ165" s="53">
        <f t="shared" si="255"/>
        <v>0</v>
      </c>
      <c r="CR165" s="50">
        <v>5.0</v>
      </c>
      <c r="CS165" s="50">
        <v>0.0</v>
      </c>
      <c r="CT165" s="50">
        <v>5.5</v>
      </c>
      <c r="CU165" s="50">
        <v>5.0</v>
      </c>
      <c r="CV165" s="50">
        <v>0.0</v>
      </c>
      <c r="CW165" s="50">
        <v>3.0</v>
      </c>
      <c r="CX165" s="50">
        <v>3.0</v>
      </c>
      <c r="CY165" s="50">
        <v>0.0</v>
      </c>
      <c r="CZ165" s="50">
        <v>0.0</v>
      </c>
      <c r="DA165" s="50">
        <v>1.0</v>
      </c>
      <c r="DB165" s="50">
        <v>0.0</v>
      </c>
      <c r="DC165" s="50">
        <v>1.0</v>
      </c>
      <c r="DD165" s="50">
        <v>1.0</v>
      </c>
      <c r="DE165" s="50">
        <v>1.0</v>
      </c>
      <c r="DF165" s="77" t="s">
        <v>304</v>
      </c>
      <c r="DG165" s="53">
        <f t="shared" si="55"/>
        <v>10</v>
      </c>
      <c r="DH165" s="50">
        <v>1.0</v>
      </c>
      <c r="DI165" s="50">
        <v>0.0</v>
      </c>
      <c r="DJ165" s="50">
        <v>3.0</v>
      </c>
      <c r="DK165" s="50">
        <v>1.0</v>
      </c>
      <c r="DL165" s="68">
        <f t="shared" si="237"/>
        <v>90.90909091</v>
      </c>
      <c r="DM165" s="53">
        <f t="shared" si="238"/>
        <v>2</v>
      </c>
      <c r="DN165" s="53">
        <f t="shared" si="239"/>
        <v>2</v>
      </c>
      <c r="DO165" s="53">
        <f t="shared" si="240"/>
        <v>0</v>
      </c>
      <c r="DP165" s="53">
        <f t="shared" si="241"/>
        <v>2</v>
      </c>
      <c r="DQ165" s="53">
        <f t="shared" si="242"/>
        <v>0</v>
      </c>
      <c r="DR165" s="53">
        <f t="shared" ref="DR165:DS165" si="256">(DH165)</f>
        <v>1</v>
      </c>
      <c r="DS165" s="53">
        <f t="shared" si="256"/>
        <v>0</v>
      </c>
      <c r="DT165" s="53">
        <f t="shared" si="41"/>
        <v>7</v>
      </c>
      <c r="DU165" s="53" t="str">
        <f t="shared" si="244"/>
        <v>poor sleep quality</v>
      </c>
      <c r="DV165" s="50">
        <v>2.0</v>
      </c>
      <c r="DW165" s="50" t="s">
        <v>149</v>
      </c>
      <c r="DX165" s="50" t="s">
        <v>146</v>
      </c>
      <c r="DY165" s="50">
        <v>1.0</v>
      </c>
      <c r="DZ165" s="50" t="s">
        <v>131</v>
      </c>
      <c r="EA165" s="50" t="s">
        <v>147</v>
      </c>
      <c r="EB165" s="50" t="s">
        <v>139</v>
      </c>
      <c r="EC165" s="36" t="s">
        <v>133</v>
      </c>
      <c r="ED165" s="36" t="s">
        <v>133</v>
      </c>
      <c r="EE165" s="50" t="s">
        <v>141</v>
      </c>
      <c r="EF165" s="36" t="s">
        <v>133</v>
      </c>
      <c r="EG165" s="36" t="s">
        <v>133</v>
      </c>
      <c r="EH165" s="47">
        <f t="shared" si="24"/>
        <v>30.47721924</v>
      </c>
    </row>
    <row r="166" ht="15.75" customHeight="1">
      <c r="A166" s="43" t="s">
        <v>561</v>
      </c>
      <c r="B166" s="57" t="s">
        <v>175</v>
      </c>
      <c r="C166" s="63">
        <v>45528.0</v>
      </c>
      <c r="D166" s="84">
        <v>43.0</v>
      </c>
      <c r="E166" s="36" t="s">
        <v>130</v>
      </c>
      <c r="F166" s="50">
        <v>173.0</v>
      </c>
      <c r="G166" s="50">
        <v>80.0</v>
      </c>
      <c r="H166" s="75" t="s">
        <v>131</v>
      </c>
      <c r="I166" s="50">
        <v>5.0</v>
      </c>
      <c r="J166" s="76">
        <v>45435.0</v>
      </c>
      <c r="K166" s="36" t="s">
        <v>131</v>
      </c>
      <c r="L166" s="50">
        <v>5.0</v>
      </c>
      <c r="M166" s="76">
        <v>45435.0</v>
      </c>
      <c r="N166" s="50">
        <v>1.0</v>
      </c>
      <c r="O166" s="76">
        <v>44682.0</v>
      </c>
      <c r="P166" s="82" t="s">
        <v>132</v>
      </c>
      <c r="Q166" s="36" t="s">
        <v>133</v>
      </c>
      <c r="R166" s="36" t="s">
        <v>133</v>
      </c>
      <c r="S166" s="36" t="s">
        <v>133</v>
      </c>
      <c r="T166" s="36" t="s">
        <v>133</v>
      </c>
      <c r="U166" s="36" t="s">
        <v>133</v>
      </c>
      <c r="V166" s="36" t="str">
        <f t="shared" si="178"/>
        <v>Paciente ambulatorio</v>
      </c>
      <c r="W166" s="50" t="s">
        <v>183</v>
      </c>
      <c r="X166" s="82" t="s">
        <v>132</v>
      </c>
      <c r="Y166" s="82">
        <v>1.0</v>
      </c>
      <c r="Z166" s="82">
        <v>1.0</v>
      </c>
      <c r="AA166" s="82">
        <v>2.0</v>
      </c>
      <c r="AB166" s="82">
        <v>2.0</v>
      </c>
      <c r="AC166" s="50">
        <v>1.0</v>
      </c>
      <c r="AD166" s="82">
        <v>1.0</v>
      </c>
      <c r="AE166" s="50">
        <v>2.0</v>
      </c>
      <c r="AF166" s="50">
        <v>1.0</v>
      </c>
      <c r="AG166" s="50">
        <v>1.0</v>
      </c>
      <c r="AH166" s="50">
        <v>1.0</v>
      </c>
      <c r="AI166" s="82">
        <v>1.0</v>
      </c>
      <c r="AJ166" s="82">
        <v>1.0</v>
      </c>
      <c r="AK166" s="50" t="s">
        <v>562</v>
      </c>
      <c r="AL166" s="50" t="s">
        <v>132</v>
      </c>
      <c r="AM166" s="36" t="s">
        <v>132</v>
      </c>
      <c r="AN166" s="36" t="s">
        <v>132</v>
      </c>
      <c r="AO166" s="36" t="s">
        <v>132</v>
      </c>
      <c r="AP166" s="36" t="s">
        <v>132</v>
      </c>
      <c r="AQ166" s="36" t="s">
        <v>132</v>
      </c>
      <c r="AR166" s="36" t="s">
        <v>132</v>
      </c>
      <c r="AS166" s="36" t="s">
        <v>132</v>
      </c>
      <c r="AT166" s="36" t="s">
        <v>132</v>
      </c>
      <c r="AU166" s="36" t="s">
        <v>132</v>
      </c>
      <c r="AV166" s="50" t="s">
        <v>131</v>
      </c>
      <c r="AW166" s="50" t="s">
        <v>556</v>
      </c>
      <c r="AX166" s="50" t="s">
        <v>132</v>
      </c>
      <c r="AY166" s="36" t="s">
        <v>133</v>
      </c>
      <c r="AZ166" s="36" t="s">
        <v>133</v>
      </c>
      <c r="BA166" s="36" t="s">
        <v>133</v>
      </c>
      <c r="BB166" s="36" t="s">
        <v>145</v>
      </c>
      <c r="BC166" s="36" t="s">
        <v>133</v>
      </c>
      <c r="BD166" s="75">
        <v>4.0</v>
      </c>
      <c r="BE166" s="36">
        <v>1.0</v>
      </c>
      <c r="BF166" s="36">
        <v>2.0</v>
      </c>
      <c r="BG166" s="36">
        <v>4.0</v>
      </c>
      <c r="BH166" s="36">
        <v>4.0</v>
      </c>
      <c r="BI166" s="44" t="str">
        <f t="shared" si="205"/>
        <v>41244</v>
      </c>
      <c r="BJ166" s="50">
        <v>70.0</v>
      </c>
      <c r="BK166" s="50">
        <v>3.0</v>
      </c>
      <c r="BL166" s="50">
        <v>3.0</v>
      </c>
      <c r="BM166" s="50">
        <v>2.0</v>
      </c>
      <c r="BN166" s="82">
        <v>2.0</v>
      </c>
      <c r="BO166" s="82">
        <v>4.0</v>
      </c>
      <c r="BP166" s="82">
        <v>4.0</v>
      </c>
      <c r="BQ166" s="82">
        <v>2.0</v>
      </c>
      <c r="BR166" s="82">
        <v>3.0</v>
      </c>
      <c r="BS166" s="82">
        <v>3.0</v>
      </c>
      <c r="BT166" s="82">
        <v>2.0</v>
      </c>
      <c r="BU166" s="53">
        <f t="shared" si="251"/>
        <v>4</v>
      </c>
      <c r="BV166" s="53">
        <f t="shared" si="252"/>
        <v>4</v>
      </c>
      <c r="BW166" s="53">
        <f t="shared" si="183"/>
        <v>30</v>
      </c>
      <c r="BX166" s="53" t="str">
        <f t="shared" si="253"/>
        <v>FATIGA</v>
      </c>
      <c r="BY166" s="36">
        <v>0.0</v>
      </c>
      <c r="BZ166" s="36">
        <v>0.0</v>
      </c>
      <c r="CA166" s="36">
        <v>0.0</v>
      </c>
      <c r="CB166" s="36">
        <v>0.0</v>
      </c>
      <c r="CC166" s="36">
        <v>0.0</v>
      </c>
      <c r="CD166" s="36">
        <v>0.0</v>
      </c>
      <c r="CE166" s="36">
        <v>0.0</v>
      </c>
      <c r="CF166" s="50">
        <v>4.0</v>
      </c>
      <c r="CG166" s="50">
        <v>15.0</v>
      </c>
      <c r="CH166" s="50">
        <v>0.0</v>
      </c>
      <c r="CI166" s="50">
        <v>30.0</v>
      </c>
      <c r="CJ166" s="53">
        <f t="shared" si="254"/>
        <v>0</v>
      </c>
      <c r="CK166" s="53">
        <f t="shared" si="206"/>
        <v>0</v>
      </c>
      <c r="CL166" s="44" t="b">
        <f t="shared" si="207"/>
        <v>0</v>
      </c>
      <c r="CM166" s="44" t="b">
        <f t="shared" si="208"/>
        <v>0</v>
      </c>
      <c r="CN166" s="45" t="str">
        <f t="shared" si="209"/>
        <v>Nivel de actividad física bajo</v>
      </c>
      <c r="CO166" s="82">
        <v>21.0</v>
      </c>
      <c r="CP166" s="50">
        <v>60.0</v>
      </c>
      <c r="CQ166" s="53">
        <f t="shared" si="255"/>
        <v>2</v>
      </c>
      <c r="CR166" s="82">
        <v>8.0</v>
      </c>
      <c r="CS166" s="82">
        <v>0.0</v>
      </c>
      <c r="CT166" s="82">
        <v>11.0</v>
      </c>
      <c r="CU166" s="82">
        <v>5.0</v>
      </c>
      <c r="CV166" s="82">
        <v>3.0</v>
      </c>
      <c r="CW166" s="50">
        <v>0.0</v>
      </c>
      <c r="CX166" s="50">
        <v>0.0</v>
      </c>
      <c r="CY166" s="50">
        <v>0.0</v>
      </c>
      <c r="CZ166" s="50">
        <v>3.0</v>
      </c>
      <c r="DA166" s="82">
        <v>2.0</v>
      </c>
      <c r="DB166" s="82">
        <v>3.0</v>
      </c>
      <c r="DC166" s="82">
        <v>0.0</v>
      </c>
      <c r="DD166" s="82">
        <v>3.0</v>
      </c>
      <c r="DE166" s="82">
        <v>0.0</v>
      </c>
      <c r="DF166" s="36" t="s">
        <v>133</v>
      </c>
      <c r="DG166" s="53">
        <f t="shared" si="55"/>
        <v>11</v>
      </c>
      <c r="DH166" s="82">
        <v>2.0</v>
      </c>
      <c r="DI166" s="82">
        <v>0.0</v>
      </c>
      <c r="DJ166" s="82">
        <v>0.0</v>
      </c>
      <c r="DK166" s="82">
        <v>3.0</v>
      </c>
      <c r="DL166" s="68">
        <f t="shared" si="237"/>
        <v>45.45454545</v>
      </c>
      <c r="DM166" s="53">
        <f t="shared" si="238"/>
        <v>2</v>
      </c>
      <c r="DN166" s="53">
        <f t="shared" si="239"/>
        <v>2</v>
      </c>
      <c r="DO166" s="53">
        <f t="shared" si="240"/>
        <v>3</v>
      </c>
      <c r="DP166" s="53">
        <f t="shared" si="241"/>
        <v>2</v>
      </c>
      <c r="DQ166" s="53">
        <f t="shared" si="242"/>
        <v>3</v>
      </c>
      <c r="DR166" s="53">
        <f t="shared" ref="DR166:DS166" si="257">(DH166)</f>
        <v>2</v>
      </c>
      <c r="DS166" s="53">
        <f t="shared" si="257"/>
        <v>0</v>
      </c>
      <c r="DT166" s="53">
        <f t="shared" si="41"/>
        <v>14</v>
      </c>
      <c r="DU166" s="53" t="str">
        <f t="shared" si="244"/>
        <v>poor sleep quality</v>
      </c>
      <c r="DV166" s="77">
        <v>3.0</v>
      </c>
      <c r="DW166" s="50" t="s">
        <v>149</v>
      </c>
      <c r="DX166" s="36" t="s">
        <v>146</v>
      </c>
      <c r="DY166" s="50">
        <v>1.0</v>
      </c>
      <c r="DZ166" s="36" t="s">
        <v>131</v>
      </c>
      <c r="EA166" s="50" t="s">
        <v>167</v>
      </c>
      <c r="EB166" s="50" t="s">
        <v>139</v>
      </c>
      <c r="EC166" s="36" t="s">
        <v>133</v>
      </c>
      <c r="ED166" s="50" t="s">
        <v>131</v>
      </c>
      <c r="EE166" s="50" t="s">
        <v>141</v>
      </c>
      <c r="EF166" s="35">
        <f>C166-M166</f>
        <v>93</v>
      </c>
      <c r="EG166" s="35">
        <f>C166-O166</f>
        <v>846</v>
      </c>
      <c r="EH166" s="47">
        <f t="shared" si="24"/>
        <v>26.7299275</v>
      </c>
    </row>
    <row r="167" ht="15.75" customHeight="1">
      <c r="A167" s="43" t="s">
        <v>563</v>
      </c>
      <c r="B167" s="50" t="s">
        <v>129</v>
      </c>
      <c r="C167" s="37">
        <v>45535.0</v>
      </c>
      <c r="D167" s="38">
        <v>56.0</v>
      </c>
      <c r="E167" s="36" t="s">
        <v>153</v>
      </c>
      <c r="F167" s="50">
        <v>165.0</v>
      </c>
      <c r="G167" s="50">
        <v>80.0</v>
      </c>
      <c r="H167" s="75" t="s">
        <v>131</v>
      </c>
      <c r="I167" s="85">
        <v>3.0</v>
      </c>
      <c r="J167" s="55" t="s">
        <v>133</v>
      </c>
      <c r="K167" s="36" t="s">
        <v>132</v>
      </c>
      <c r="L167" s="57" t="s">
        <v>133</v>
      </c>
      <c r="M167" s="55" t="s">
        <v>133</v>
      </c>
      <c r="N167" s="57" t="s">
        <v>133</v>
      </c>
      <c r="O167" s="55" t="s">
        <v>133</v>
      </c>
      <c r="P167" s="57" t="s">
        <v>133</v>
      </c>
      <c r="Q167" s="36" t="s">
        <v>133</v>
      </c>
      <c r="R167" s="36" t="s">
        <v>133</v>
      </c>
      <c r="S167" s="36" t="s">
        <v>133</v>
      </c>
      <c r="T167" s="36" t="s">
        <v>133</v>
      </c>
      <c r="U167" s="36" t="s">
        <v>133</v>
      </c>
      <c r="V167" s="36" t="str">
        <f t="shared" si="178"/>
        <v>No infectado</v>
      </c>
      <c r="W167" s="36" t="s">
        <v>133</v>
      </c>
      <c r="X167" s="36" t="s">
        <v>133</v>
      </c>
      <c r="Y167" s="36" t="s">
        <v>133</v>
      </c>
      <c r="Z167" s="36" t="s">
        <v>133</v>
      </c>
      <c r="AA167" s="36" t="s">
        <v>133</v>
      </c>
      <c r="AB167" s="36" t="s">
        <v>133</v>
      </c>
      <c r="AC167" s="36" t="s">
        <v>133</v>
      </c>
      <c r="AD167" s="36" t="s">
        <v>133</v>
      </c>
      <c r="AE167" s="36" t="s">
        <v>133</v>
      </c>
      <c r="AF167" s="36" t="s">
        <v>133</v>
      </c>
      <c r="AG167" s="36" t="s">
        <v>133</v>
      </c>
      <c r="AH167" s="36" t="s">
        <v>133</v>
      </c>
      <c r="AI167" s="36" t="s">
        <v>133</v>
      </c>
      <c r="AJ167" s="36" t="s">
        <v>133</v>
      </c>
      <c r="AK167" s="36" t="s">
        <v>133</v>
      </c>
      <c r="AL167" s="36" t="s">
        <v>132</v>
      </c>
      <c r="AM167" s="36" t="s">
        <v>132</v>
      </c>
      <c r="AN167" s="36" t="s">
        <v>132</v>
      </c>
      <c r="AO167" s="36" t="s">
        <v>132</v>
      </c>
      <c r="AP167" s="36" t="s">
        <v>132</v>
      </c>
      <c r="AQ167" s="36" t="s">
        <v>132</v>
      </c>
      <c r="AR167" s="36" t="s">
        <v>132</v>
      </c>
      <c r="AS167" s="36" t="s">
        <v>132</v>
      </c>
      <c r="AT167" s="36" t="s">
        <v>132</v>
      </c>
      <c r="AU167" s="36" t="s">
        <v>132</v>
      </c>
      <c r="AV167" s="36" t="s">
        <v>131</v>
      </c>
      <c r="AW167" s="36"/>
      <c r="AX167" s="50" t="s">
        <v>132</v>
      </c>
      <c r="AY167" s="36" t="s">
        <v>133</v>
      </c>
      <c r="AZ167" s="36" t="s">
        <v>133</v>
      </c>
      <c r="BA167" s="36" t="s">
        <v>133</v>
      </c>
      <c r="BB167" s="50" t="s">
        <v>145</v>
      </c>
      <c r="BC167" s="58"/>
      <c r="BD167" s="79">
        <v>1.0</v>
      </c>
      <c r="BE167" s="36">
        <v>1.0</v>
      </c>
      <c r="BF167" s="50">
        <v>1.0</v>
      </c>
      <c r="BG167" s="36">
        <v>2.0</v>
      </c>
      <c r="BH167" s="50">
        <v>1.0</v>
      </c>
      <c r="BI167" s="44" t="str">
        <f t="shared" si="205"/>
        <v>11121</v>
      </c>
      <c r="BJ167" s="50">
        <v>100.0</v>
      </c>
      <c r="BK167" s="82">
        <v>1.0</v>
      </c>
      <c r="BL167" s="82">
        <v>1.0</v>
      </c>
      <c r="BM167" s="82">
        <v>1.0</v>
      </c>
      <c r="BN167" s="82">
        <v>5.0</v>
      </c>
      <c r="BO167" s="82">
        <v>1.0</v>
      </c>
      <c r="BP167" s="82">
        <v>1.0</v>
      </c>
      <c r="BQ167" s="50">
        <v>2.0</v>
      </c>
      <c r="BR167" s="82">
        <v>1.0</v>
      </c>
      <c r="BS167" s="50">
        <v>2.0</v>
      </c>
      <c r="BT167" s="82">
        <v>5.0</v>
      </c>
      <c r="BU167" s="53">
        <f t="shared" si="251"/>
        <v>1</v>
      </c>
      <c r="BV167" s="53">
        <f t="shared" si="252"/>
        <v>1</v>
      </c>
      <c r="BW167" s="53">
        <f t="shared" si="183"/>
        <v>16</v>
      </c>
      <c r="BX167" s="53" t="str">
        <f t="shared" si="253"/>
        <v>NO HAY FATIGA</v>
      </c>
      <c r="BY167" s="36">
        <v>0.0</v>
      </c>
      <c r="BZ167" s="36">
        <v>0.0</v>
      </c>
      <c r="CA167" s="36">
        <v>0.0</v>
      </c>
      <c r="CB167" s="36">
        <v>0.0</v>
      </c>
      <c r="CC167" s="36">
        <v>0.0</v>
      </c>
      <c r="CD167" s="36">
        <v>0.0</v>
      </c>
      <c r="CE167" s="50">
        <v>7.0</v>
      </c>
      <c r="CF167" s="50">
        <v>3.0</v>
      </c>
      <c r="CG167" s="36">
        <v>0.0</v>
      </c>
      <c r="CH167" s="50">
        <v>3.0</v>
      </c>
      <c r="CI167" s="50">
        <v>0.0</v>
      </c>
      <c r="CJ167" s="53">
        <f t="shared" si="254"/>
        <v>4158</v>
      </c>
      <c r="CK167" s="53">
        <f t="shared" si="206"/>
        <v>7</v>
      </c>
      <c r="CL167" s="44" t="str">
        <f t="shared" si="207"/>
        <v>Nivel de actividad física alto</v>
      </c>
      <c r="CM167" s="44" t="str">
        <f t="shared" si="208"/>
        <v>Nivel de actividad física moderado</v>
      </c>
      <c r="CN167" s="45" t="str">
        <f t="shared" si="209"/>
        <v>Nivel de actividad física alto</v>
      </c>
      <c r="CO167" s="50">
        <v>23.0</v>
      </c>
      <c r="CP167" s="50">
        <v>1.0</v>
      </c>
      <c r="CQ167" s="44">
        <f>IF(CP167&gt;60,3,IF(CP167&gt;30,2,IF(CP167&gt;15,1,0)))</f>
        <v>0</v>
      </c>
      <c r="CR167" s="50">
        <v>4.0</v>
      </c>
      <c r="CS167" s="50">
        <v>0.0</v>
      </c>
      <c r="CT167" s="50">
        <v>5.0</v>
      </c>
      <c r="CU167" s="50">
        <v>4.0</v>
      </c>
      <c r="CV167" s="82">
        <v>0.0</v>
      </c>
      <c r="CW167" s="50">
        <v>1.0</v>
      </c>
      <c r="CX167" s="50">
        <v>2.0</v>
      </c>
      <c r="CY167" s="50">
        <v>2.0</v>
      </c>
      <c r="CZ167" s="82">
        <v>0.0</v>
      </c>
      <c r="DA167" s="82">
        <v>0.0</v>
      </c>
      <c r="DB167" s="82">
        <v>0.0</v>
      </c>
      <c r="DC167" s="50">
        <v>0.0</v>
      </c>
      <c r="DD167" s="50">
        <v>2.0</v>
      </c>
      <c r="DE167" s="50">
        <v>0.0</v>
      </c>
      <c r="DF167" s="36" t="s">
        <v>133</v>
      </c>
      <c r="DG167" s="53">
        <f t="shared" si="55"/>
        <v>7</v>
      </c>
      <c r="DH167" s="82">
        <v>1.0</v>
      </c>
      <c r="DI167" s="82">
        <v>0.0</v>
      </c>
      <c r="DJ167" s="50">
        <v>3.0</v>
      </c>
      <c r="DK167" s="82">
        <v>0.0</v>
      </c>
      <c r="DL167" s="68">
        <f t="shared" si="237"/>
        <v>80</v>
      </c>
      <c r="DM167" s="53">
        <f t="shared" si="238"/>
        <v>3</v>
      </c>
      <c r="DN167" s="53">
        <f t="shared" si="239"/>
        <v>1</v>
      </c>
      <c r="DO167" s="53">
        <f t="shared" si="240"/>
        <v>0</v>
      </c>
      <c r="DP167" s="53">
        <f t="shared" si="241"/>
        <v>2</v>
      </c>
      <c r="DQ167" s="53">
        <f t="shared" si="242"/>
        <v>1</v>
      </c>
      <c r="DR167" s="53">
        <f t="shared" ref="DR167:DS167" si="258">(DH167)</f>
        <v>1</v>
      </c>
      <c r="DS167" s="53">
        <f t="shared" si="258"/>
        <v>0</v>
      </c>
      <c r="DT167" s="53">
        <f t="shared" si="41"/>
        <v>8</v>
      </c>
      <c r="DU167" s="53" t="str">
        <f t="shared" si="244"/>
        <v>poor sleep quality</v>
      </c>
      <c r="DV167" s="50">
        <v>2.0</v>
      </c>
      <c r="DW167" s="50" t="s">
        <v>149</v>
      </c>
      <c r="DX167" s="36" t="s">
        <v>146</v>
      </c>
      <c r="DY167" s="36">
        <v>1.0</v>
      </c>
      <c r="DZ167" s="36" t="s">
        <v>131</v>
      </c>
      <c r="EA167" s="50" t="s">
        <v>202</v>
      </c>
      <c r="EB167" s="50" t="s">
        <v>139</v>
      </c>
      <c r="EC167" s="36" t="s">
        <v>131</v>
      </c>
      <c r="ED167" s="36" t="s">
        <v>132</v>
      </c>
      <c r="EE167" s="50" t="s">
        <v>141</v>
      </c>
      <c r="EF167" s="36" t="s">
        <v>133</v>
      </c>
      <c r="EG167" s="36" t="s">
        <v>133</v>
      </c>
      <c r="EH167" s="47">
        <f t="shared" si="24"/>
        <v>29.38475666</v>
      </c>
    </row>
    <row r="168" ht="15.75" customHeight="1">
      <c r="A168" s="43" t="s">
        <v>564</v>
      </c>
      <c r="B168" s="57" t="s">
        <v>175</v>
      </c>
      <c r="C168" s="86">
        <v>45528.0</v>
      </c>
      <c r="D168" s="87">
        <v>61.0</v>
      </c>
      <c r="E168" s="36" t="s">
        <v>130</v>
      </c>
      <c r="F168" s="50">
        <v>162.5</v>
      </c>
      <c r="G168" s="50">
        <v>96.0</v>
      </c>
      <c r="H168" s="75" t="s">
        <v>131</v>
      </c>
      <c r="I168" s="50">
        <v>6.0</v>
      </c>
      <c r="J168" s="55" t="s">
        <v>133</v>
      </c>
      <c r="K168" s="36" t="s">
        <v>131</v>
      </c>
      <c r="L168" s="85">
        <v>3.0</v>
      </c>
      <c r="M168" s="42">
        <v>43952.0</v>
      </c>
      <c r="N168" s="36">
        <v>0.0</v>
      </c>
      <c r="O168" s="76">
        <v>44896.0</v>
      </c>
      <c r="P168" s="82" t="s">
        <v>132</v>
      </c>
      <c r="Q168" s="36" t="s">
        <v>133</v>
      </c>
      <c r="R168" s="36" t="s">
        <v>133</v>
      </c>
      <c r="S168" s="36" t="s">
        <v>133</v>
      </c>
      <c r="T168" s="36" t="s">
        <v>133</v>
      </c>
      <c r="U168" s="36" t="s">
        <v>133</v>
      </c>
      <c r="V168" s="36" t="str">
        <f t="shared" si="178"/>
        <v>Paciente ambulatorio</v>
      </c>
      <c r="W168" s="50" t="s">
        <v>143</v>
      </c>
      <c r="X168" s="82" t="s">
        <v>132</v>
      </c>
      <c r="Y168" s="50">
        <v>3.0</v>
      </c>
      <c r="Z168" s="85">
        <v>1.0</v>
      </c>
      <c r="AA168" s="50">
        <v>3.0</v>
      </c>
      <c r="AB168" s="50">
        <v>3.0</v>
      </c>
      <c r="AC168" s="50">
        <v>1.0</v>
      </c>
      <c r="AD168" s="85">
        <v>1.0</v>
      </c>
      <c r="AE168" s="50">
        <v>3.0</v>
      </c>
      <c r="AF168" s="50">
        <v>1.0</v>
      </c>
      <c r="AG168" s="85">
        <v>1.0</v>
      </c>
      <c r="AH168" s="50">
        <v>3.0</v>
      </c>
      <c r="AI168" s="50">
        <v>1.0</v>
      </c>
      <c r="AJ168" s="50">
        <v>1.0</v>
      </c>
      <c r="AK168" s="85"/>
      <c r="AL168" s="36" t="s">
        <v>132</v>
      </c>
      <c r="AM168" s="36" t="s">
        <v>132</v>
      </c>
      <c r="AN168" s="50" t="s">
        <v>131</v>
      </c>
      <c r="AO168" s="36" t="s">
        <v>132</v>
      </c>
      <c r="AP168" s="36" t="s">
        <v>132</v>
      </c>
      <c r="AQ168" s="36" t="s">
        <v>132</v>
      </c>
      <c r="AR168" s="36" t="s">
        <v>132</v>
      </c>
      <c r="AS168" s="36" t="s">
        <v>132</v>
      </c>
      <c r="AT168" s="36" t="s">
        <v>132</v>
      </c>
      <c r="AU168" s="36" t="s">
        <v>132</v>
      </c>
      <c r="AV168" s="36" t="s">
        <v>131</v>
      </c>
      <c r="AW168" s="50" t="s">
        <v>565</v>
      </c>
      <c r="AX168" s="50" t="s">
        <v>165</v>
      </c>
      <c r="AY168" s="36" t="s">
        <v>133</v>
      </c>
      <c r="AZ168" s="36" t="s">
        <v>133</v>
      </c>
      <c r="BA168" s="50">
        <v>20.0</v>
      </c>
      <c r="BB168" s="50" t="s">
        <v>145</v>
      </c>
      <c r="BC168" s="36" t="s">
        <v>133</v>
      </c>
      <c r="BD168" s="79">
        <v>2.0</v>
      </c>
      <c r="BE168" s="50">
        <v>2.0</v>
      </c>
      <c r="BF168" s="50">
        <v>3.0</v>
      </c>
      <c r="BG168" s="36">
        <v>3.0</v>
      </c>
      <c r="BH168" s="50">
        <v>2.0</v>
      </c>
      <c r="BI168" s="44" t="str">
        <f t="shared" si="205"/>
        <v>22332</v>
      </c>
      <c r="BJ168" s="50">
        <v>70.0</v>
      </c>
      <c r="BK168" s="50">
        <v>4.0</v>
      </c>
      <c r="BL168" s="50">
        <v>3.0</v>
      </c>
      <c r="BM168" s="50">
        <v>5.0</v>
      </c>
      <c r="BN168" s="82">
        <v>4.0</v>
      </c>
      <c r="BO168" s="50">
        <v>1.0</v>
      </c>
      <c r="BP168" s="50">
        <v>3.0</v>
      </c>
      <c r="BQ168" s="50">
        <v>2.0</v>
      </c>
      <c r="BR168" s="50">
        <v>4.0</v>
      </c>
      <c r="BS168" s="50">
        <v>3.0</v>
      </c>
      <c r="BT168" s="82">
        <v>3.0</v>
      </c>
      <c r="BU168" s="53">
        <f t="shared" si="251"/>
        <v>2</v>
      </c>
      <c r="BV168" s="53">
        <f t="shared" si="252"/>
        <v>3</v>
      </c>
      <c r="BW168" s="53">
        <f t="shared" si="183"/>
        <v>31</v>
      </c>
      <c r="BX168" s="53" t="str">
        <f t="shared" si="253"/>
        <v>FATIGA</v>
      </c>
      <c r="BY168" s="36">
        <v>0.0</v>
      </c>
      <c r="BZ168" s="36">
        <v>0.0</v>
      </c>
      <c r="CA168" s="36">
        <v>0.0</v>
      </c>
      <c r="CB168" s="36">
        <v>0.0</v>
      </c>
      <c r="CC168" s="36">
        <v>0.0</v>
      </c>
      <c r="CD168" s="36">
        <v>0.0</v>
      </c>
      <c r="CE168" s="50">
        <v>0.0</v>
      </c>
      <c r="CF168" s="36">
        <v>0.0</v>
      </c>
      <c r="CG168" s="50">
        <v>0.0</v>
      </c>
      <c r="CH168" s="50">
        <v>9.0</v>
      </c>
      <c r="CI168" s="36">
        <v>0.0</v>
      </c>
      <c r="CJ168" s="53">
        <f t="shared" si="254"/>
        <v>0</v>
      </c>
      <c r="CK168" s="53">
        <f t="shared" si="206"/>
        <v>0</v>
      </c>
      <c r="CL168" s="44" t="b">
        <f t="shared" si="207"/>
        <v>0</v>
      </c>
      <c r="CM168" s="44" t="b">
        <f t="shared" si="208"/>
        <v>0</v>
      </c>
      <c r="CN168" s="45" t="str">
        <f t="shared" si="209"/>
        <v>Nivel de actividad física bajo</v>
      </c>
      <c r="CO168" s="50">
        <v>0.0</v>
      </c>
      <c r="CP168" s="50">
        <v>5.0</v>
      </c>
      <c r="CQ168" s="53">
        <f t="shared" ref="CQ168:CQ171" si="260">IF(CP168&gt;60,3,IF(CP168&gt;30,2,IF(CP168&gt;15,1,0)))</f>
        <v>0</v>
      </c>
      <c r="CR168" s="50">
        <v>9.0</v>
      </c>
      <c r="CS168" s="50">
        <v>0.0</v>
      </c>
      <c r="CT168" s="50">
        <v>9.0</v>
      </c>
      <c r="CU168" s="50">
        <v>7.5</v>
      </c>
      <c r="CV168" s="50">
        <v>0.0</v>
      </c>
      <c r="CW168" s="50">
        <v>2.0</v>
      </c>
      <c r="CX168" s="82">
        <v>0.0</v>
      </c>
      <c r="CY168" s="82">
        <v>0.0</v>
      </c>
      <c r="CZ168" s="82">
        <v>0.0</v>
      </c>
      <c r="DA168" s="50">
        <v>0.0</v>
      </c>
      <c r="DB168" s="82">
        <v>1.0</v>
      </c>
      <c r="DC168" s="50">
        <v>0.0</v>
      </c>
      <c r="DD168" s="82">
        <v>0.0</v>
      </c>
      <c r="DE168" s="50">
        <v>1.0</v>
      </c>
      <c r="DF168" s="50" t="s">
        <v>304</v>
      </c>
      <c r="DG168" s="53">
        <f t="shared" si="55"/>
        <v>4</v>
      </c>
      <c r="DH168" s="50">
        <v>1.0</v>
      </c>
      <c r="DI168" s="50">
        <v>0.0</v>
      </c>
      <c r="DJ168" s="82">
        <v>1.0</v>
      </c>
      <c r="DK168" s="50">
        <v>1.0</v>
      </c>
      <c r="DL168" s="68">
        <f t="shared" si="237"/>
        <v>83.33333333</v>
      </c>
      <c r="DM168" s="53">
        <f t="shared" si="238"/>
        <v>0</v>
      </c>
      <c r="DN168" s="53">
        <f t="shared" si="239"/>
        <v>1</v>
      </c>
      <c r="DO168" s="53">
        <f t="shared" si="240"/>
        <v>0</v>
      </c>
      <c r="DP168" s="53">
        <f t="shared" si="241"/>
        <v>1</v>
      </c>
      <c r="DQ168" s="53">
        <f t="shared" si="242"/>
        <v>1</v>
      </c>
      <c r="DR168" s="53">
        <f t="shared" ref="DR168:DS168" si="259">(DH168)</f>
        <v>1</v>
      </c>
      <c r="DS168" s="53">
        <f t="shared" si="259"/>
        <v>0</v>
      </c>
      <c r="DT168" s="53">
        <f t="shared" si="41"/>
        <v>4</v>
      </c>
      <c r="DU168" s="53" t="str">
        <f t="shared" si="244"/>
        <v>good sleep quality</v>
      </c>
      <c r="DV168" s="50">
        <v>3.0</v>
      </c>
      <c r="DW168" s="36" t="s">
        <v>566</v>
      </c>
      <c r="DX168" s="50" t="s">
        <v>146</v>
      </c>
      <c r="DY168" s="36" t="s">
        <v>156</v>
      </c>
      <c r="DZ168" s="36" t="s">
        <v>131</v>
      </c>
      <c r="EA168" s="50" t="s">
        <v>157</v>
      </c>
      <c r="EB168" s="50" t="s">
        <v>139</v>
      </c>
      <c r="EC168" s="36" t="s">
        <v>133</v>
      </c>
      <c r="ED168" s="50" t="s">
        <v>131</v>
      </c>
      <c r="EE168" s="36" t="s">
        <v>141</v>
      </c>
      <c r="EF168" s="35">
        <f t="shared" ref="EF168:EF171" si="262">C168-M168</f>
        <v>1576</v>
      </c>
      <c r="EG168" s="35">
        <f>C168-O168</f>
        <v>632</v>
      </c>
      <c r="EH168" s="47">
        <f t="shared" si="24"/>
        <v>36.35502959</v>
      </c>
    </row>
    <row r="169" ht="15.75" customHeight="1">
      <c r="A169" s="35" t="s">
        <v>567</v>
      </c>
      <c r="B169" s="57" t="s">
        <v>175</v>
      </c>
      <c r="C169" s="86">
        <v>45528.0</v>
      </c>
      <c r="D169" s="87">
        <v>63.0</v>
      </c>
      <c r="E169" s="50" t="s">
        <v>153</v>
      </c>
      <c r="F169" s="50">
        <v>175.0</v>
      </c>
      <c r="G169" s="50">
        <v>77.0</v>
      </c>
      <c r="H169" s="75" t="s">
        <v>131</v>
      </c>
      <c r="I169" s="85">
        <v>3.0</v>
      </c>
      <c r="J169" s="76">
        <v>44593.0</v>
      </c>
      <c r="K169" s="36" t="s">
        <v>131</v>
      </c>
      <c r="L169" s="85">
        <v>1.0</v>
      </c>
      <c r="M169" s="42"/>
      <c r="N169" s="50">
        <v>1.0</v>
      </c>
      <c r="O169" s="55" t="s">
        <v>133</v>
      </c>
      <c r="P169" s="82" t="s">
        <v>132</v>
      </c>
      <c r="Q169" s="36" t="s">
        <v>133</v>
      </c>
      <c r="R169" s="36" t="s">
        <v>133</v>
      </c>
      <c r="S169" s="36" t="s">
        <v>133</v>
      </c>
      <c r="T169" s="36" t="s">
        <v>133</v>
      </c>
      <c r="U169" s="36" t="s">
        <v>133</v>
      </c>
      <c r="V169" s="36" t="str">
        <f t="shared" si="178"/>
        <v>Paciente ambulatorio</v>
      </c>
      <c r="W169" s="50" t="s">
        <v>143</v>
      </c>
      <c r="X169" s="82" t="s">
        <v>132</v>
      </c>
      <c r="Y169" s="85">
        <v>3.0</v>
      </c>
      <c r="Z169" s="85">
        <v>2.0</v>
      </c>
      <c r="AA169" s="50">
        <v>2.0</v>
      </c>
      <c r="AB169" s="50">
        <v>2.0</v>
      </c>
      <c r="AC169" s="50">
        <v>3.0</v>
      </c>
      <c r="AD169" s="85">
        <v>2.0</v>
      </c>
      <c r="AE169" s="85">
        <v>2.0</v>
      </c>
      <c r="AF169" s="85">
        <v>1.0</v>
      </c>
      <c r="AG169" s="50">
        <v>3.0</v>
      </c>
      <c r="AH169" s="50">
        <v>3.0</v>
      </c>
      <c r="AI169" s="85">
        <v>1.0</v>
      </c>
      <c r="AJ169" s="85">
        <v>1.0</v>
      </c>
      <c r="AK169" s="50" t="s">
        <v>568</v>
      </c>
      <c r="AL169" s="36" t="s">
        <v>132</v>
      </c>
      <c r="AM169" s="36" t="s">
        <v>132</v>
      </c>
      <c r="AN169" s="36" t="s">
        <v>132</v>
      </c>
      <c r="AO169" s="36" t="s">
        <v>132</v>
      </c>
      <c r="AP169" s="36" t="s">
        <v>132</v>
      </c>
      <c r="AQ169" s="36" t="s">
        <v>132</v>
      </c>
      <c r="AR169" s="36" t="s">
        <v>132</v>
      </c>
      <c r="AS169" s="36" t="s">
        <v>132</v>
      </c>
      <c r="AT169" s="36" t="s">
        <v>132</v>
      </c>
      <c r="AU169" s="36" t="s">
        <v>132</v>
      </c>
      <c r="AV169" s="36" t="s">
        <v>132</v>
      </c>
      <c r="AW169" s="36" t="s">
        <v>133</v>
      </c>
      <c r="AX169" s="50" t="s">
        <v>131</v>
      </c>
      <c r="AY169" s="50">
        <v>5.0</v>
      </c>
      <c r="AZ169" s="50">
        <v>40.0</v>
      </c>
      <c r="BA169" s="36" t="s">
        <v>133</v>
      </c>
      <c r="BB169" s="50" t="s">
        <v>569</v>
      </c>
      <c r="BC169" s="50">
        <v>4.0</v>
      </c>
      <c r="BD169" s="75">
        <v>1.0</v>
      </c>
      <c r="BE169" s="36">
        <v>1.0</v>
      </c>
      <c r="BF169" s="36">
        <v>1.0</v>
      </c>
      <c r="BG169" s="36">
        <v>1.0</v>
      </c>
      <c r="BH169" s="36">
        <v>2.0</v>
      </c>
      <c r="BI169" s="44" t="str">
        <f t="shared" si="205"/>
        <v>11112</v>
      </c>
      <c r="BJ169" s="50">
        <v>50.0</v>
      </c>
      <c r="BK169" s="50">
        <v>4.0</v>
      </c>
      <c r="BL169" s="50">
        <v>4.0</v>
      </c>
      <c r="BM169" s="50">
        <v>4.0</v>
      </c>
      <c r="BN169" s="82">
        <v>2.0</v>
      </c>
      <c r="BO169" s="50">
        <v>4.0</v>
      </c>
      <c r="BP169" s="50">
        <v>3.0</v>
      </c>
      <c r="BQ169" s="82">
        <v>3.0</v>
      </c>
      <c r="BR169" s="50">
        <v>2.0</v>
      </c>
      <c r="BS169" s="50">
        <v>4.0</v>
      </c>
      <c r="BT169" s="50">
        <v>4.0</v>
      </c>
      <c r="BU169" s="53">
        <f t="shared" si="251"/>
        <v>4</v>
      </c>
      <c r="BV169" s="53">
        <f t="shared" si="252"/>
        <v>2</v>
      </c>
      <c r="BW169" s="53">
        <f t="shared" si="183"/>
        <v>34</v>
      </c>
      <c r="BX169" s="53" t="str">
        <f t="shared" si="253"/>
        <v>FATIGA</v>
      </c>
      <c r="BY169" s="50">
        <v>0.0</v>
      </c>
      <c r="BZ169" s="50">
        <v>0.0</v>
      </c>
      <c r="CA169" s="36">
        <v>0.0</v>
      </c>
      <c r="CB169" s="50">
        <v>0.0</v>
      </c>
      <c r="CC169" s="50">
        <v>0.0</v>
      </c>
      <c r="CD169" s="36">
        <v>0.0</v>
      </c>
      <c r="CE169" s="50">
        <v>0.0</v>
      </c>
      <c r="CF169" s="50">
        <v>0.0</v>
      </c>
      <c r="CG169" s="36">
        <v>0.0</v>
      </c>
      <c r="CH169" s="50">
        <v>11.0</v>
      </c>
      <c r="CI169" s="36">
        <v>0.0</v>
      </c>
      <c r="CJ169" s="53">
        <f t="shared" si="254"/>
        <v>0</v>
      </c>
      <c r="CK169" s="53">
        <f t="shared" si="206"/>
        <v>0</v>
      </c>
      <c r="CL169" s="44" t="b">
        <f t="shared" si="207"/>
        <v>0</v>
      </c>
      <c r="CM169" s="44" t="b">
        <f t="shared" si="208"/>
        <v>0</v>
      </c>
      <c r="CN169" s="45" t="str">
        <f t="shared" si="209"/>
        <v>Nivel de actividad física bajo</v>
      </c>
      <c r="CO169" s="50">
        <v>23.0</v>
      </c>
      <c r="CP169" s="50">
        <v>30.0</v>
      </c>
      <c r="CQ169" s="53">
        <f t="shared" si="260"/>
        <v>1</v>
      </c>
      <c r="CR169" s="50">
        <v>5.0</v>
      </c>
      <c r="CS169" s="82">
        <v>0.0</v>
      </c>
      <c r="CT169" s="82">
        <v>6.0</v>
      </c>
      <c r="CU169" s="50">
        <v>5.0</v>
      </c>
      <c r="CV169" s="50">
        <v>2.0</v>
      </c>
      <c r="CW169" s="50">
        <v>0.0</v>
      </c>
      <c r="CX169" s="50">
        <v>2.0</v>
      </c>
      <c r="CY169" s="82">
        <v>0.0</v>
      </c>
      <c r="CZ169" s="82">
        <v>1.0</v>
      </c>
      <c r="DA169" s="50">
        <v>2.0</v>
      </c>
      <c r="DB169" s="82">
        <v>0.0</v>
      </c>
      <c r="DC169" s="82">
        <v>0.0</v>
      </c>
      <c r="DD169" s="50">
        <v>3.0</v>
      </c>
      <c r="DE169" s="82">
        <v>0.0</v>
      </c>
      <c r="DF169" s="36" t="s">
        <v>133</v>
      </c>
      <c r="DG169" s="53">
        <f t="shared" si="55"/>
        <v>8</v>
      </c>
      <c r="DH169" s="50">
        <v>2.0</v>
      </c>
      <c r="DI169" s="82">
        <v>0.0</v>
      </c>
      <c r="DJ169" s="82">
        <v>3.0</v>
      </c>
      <c r="DK169" s="50">
        <v>3.0</v>
      </c>
      <c r="DL169" s="68">
        <f t="shared" si="237"/>
        <v>83.33333333</v>
      </c>
      <c r="DM169" s="53">
        <f t="shared" si="238"/>
        <v>2</v>
      </c>
      <c r="DN169" s="53">
        <f t="shared" si="239"/>
        <v>1</v>
      </c>
      <c r="DO169" s="53">
        <f t="shared" si="240"/>
        <v>2</v>
      </c>
      <c r="DP169" s="53">
        <f t="shared" si="241"/>
        <v>3</v>
      </c>
      <c r="DQ169" s="53">
        <f t="shared" si="242"/>
        <v>1</v>
      </c>
      <c r="DR169" s="53">
        <f t="shared" ref="DR169:DS169" si="261">(DH169)</f>
        <v>2</v>
      </c>
      <c r="DS169" s="53">
        <f t="shared" si="261"/>
        <v>0</v>
      </c>
      <c r="DT169" s="53">
        <f t="shared" si="41"/>
        <v>11</v>
      </c>
      <c r="DU169" s="53" t="str">
        <f t="shared" si="244"/>
        <v>poor sleep quality</v>
      </c>
      <c r="DV169" s="50">
        <v>3.0</v>
      </c>
      <c r="DW169" s="50" t="s">
        <v>149</v>
      </c>
      <c r="DX169" s="36" t="s">
        <v>146</v>
      </c>
      <c r="DY169" s="50">
        <v>1.0</v>
      </c>
      <c r="DZ169" s="36" t="s">
        <v>131</v>
      </c>
      <c r="EA169" s="50" t="s">
        <v>202</v>
      </c>
      <c r="EB169" s="36" t="s">
        <v>139</v>
      </c>
      <c r="EC169" s="36" t="s">
        <v>133</v>
      </c>
      <c r="ED169" s="50" t="s">
        <v>131</v>
      </c>
      <c r="EE169" s="50" t="s">
        <v>151</v>
      </c>
      <c r="EF169" s="35">
        <f t="shared" si="262"/>
        <v>45528</v>
      </c>
      <c r="EG169" s="36" t="s">
        <v>133</v>
      </c>
      <c r="EH169" s="47">
        <f t="shared" si="24"/>
        <v>25.14285714</v>
      </c>
    </row>
    <row r="170" ht="15.75" customHeight="1">
      <c r="A170" s="57" t="s">
        <v>570</v>
      </c>
      <c r="B170" s="57" t="s">
        <v>129</v>
      </c>
      <c r="C170" s="37">
        <v>45556.0</v>
      </c>
      <c r="D170" s="64">
        <v>64.0</v>
      </c>
      <c r="E170" s="50" t="s">
        <v>130</v>
      </c>
      <c r="F170" s="50">
        <v>157.0</v>
      </c>
      <c r="G170" s="88">
        <v>67.0</v>
      </c>
      <c r="H170" s="36" t="s">
        <v>131</v>
      </c>
      <c r="I170" s="50">
        <v>3.0</v>
      </c>
      <c r="J170" s="42">
        <v>44501.0</v>
      </c>
      <c r="K170" s="36" t="s">
        <v>131</v>
      </c>
      <c r="L170" s="85">
        <v>1.0</v>
      </c>
      <c r="M170" s="76">
        <v>44256.0</v>
      </c>
      <c r="N170" s="36">
        <v>0.0</v>
      </c>
      <c r="O170" s="55" t="s">
        <v>133</v>
      </c>
      <c r="P170" s="82" t="s">
        <v>132</v>
      </c>
      <c r="Q170" s="36" t="s">
        <v>133</v>
      </c>
      <c r="R170" s="36" t="s">
        <v>133</v>
      </c>
      <c r="S170" s="36" t="s">
        <v>133</v>
      </c>
      <c r="T170" s="36" t="s">
        <v>133</v>
      </c>
      <c r="U170" s="36" t="s">
        <v>133</v>
      </c>
      <c r="V170" s="36" t="str">
        <f t="shared" si="178"/>
        <v>Paciente ambulatorio</v>
      </c>
      <c r="W170" s="50" t="s">
        <v>143</v>
      </c>
      <c r="X170" s="82" t="s">
        <v>132</v>
      </c>
      <c r="Y170" s="50">
        <v>3.0</v>
      </c>
      <c r="Z170" s="50">
        <v>2.0</v>
      </c>
      <c r="AA170" s="50">
        <v>2.0</v>
      </c>
      <c r="AB170" s="50">
        <v>2.0</v>
      </c>
      <c r="AC170" s="50">
        <v>3.0</v>
      </c>
      <c r="AD170" s="50">
        <v>2.0</v>
      </c>
      <c r="AE170" s="50">
        <v>3.0</v>
      </c>
      <c r="AF170" s="85">
        <v>1.0</v>
      </c>
      <c r="AG170" s="85">
        <v>1.0</v>
      </c>
      <c r="AH170" s="50">
        <v>1.0</v>
      </c>
      <c r="AI170" s="85">
        <v>1.0</v>
      </c>
      <c r="AJ170" s="50">
        <v>3.0</v>
      </c>
      <c r="AK170" s="36" t="s">
        <v>133</v>
      </c>
      <c r="AL170" s="75" t="s">
        <v>132</v>
      </c>
      <c r="AM170" s="36" t="s">
        <v>132</v>
      </c>
      <c r="AN170" s="36" t="s">
        <v>132</v>
      </c>
      <c r="AO170" s="36" t="s">
        <v>132</v>
      </c>
      <c r="AP170" s="36" t="s">
        <v>132</v>
      </c>
      <c r="AQ170" s="36" t="s">
        <v>132</v>
      </c>
      <c r="AR170" s="36" t="s">
        <v>132</v>
      </c>
      <c r="AS170" s="36" t="s">
        <v>132</v>
      </c>
      <c r="AT170" s="36" t="s">
        <v>132</v>
      </c>
      <c r="AU170" s="36" t="s">
        <v>132</v>
      </c>
      <c r="AV170" s="36" t="s">
        <v>132</v>
      </c>
      <c r="AW170" s="36" t="s">
        <v>133</v>
      </c>
      <c r="AX170" s="50" t="s">
        <v>165</v>
      </c>
      <c r="AY170" s="36" t="s">
        <v>133</v>
      </c>
      <c r="AZ170" s="36" t="s">
        <v>133</v>
      </c>
      <c r="BA170" s="50">
        <v>13.0</v>
      </c>
      <c r="BB170" s="36" t="s">
        <v>145</v>
      </c>
      <c r="BC170" s="36" t="s">
        <v>133</v>
      </c>
      <c r="BD170" s="36">
        <v>1.0</v>
      </c>
      <c r="BE170" s="36">
        <v>1.0</v>
      </c>
      <c r="BF170" s="50">
        <v>1.0</v>
      </c>
      <c r="BG170" s="50">
        <v>2.0</v>
      </c>
      <c r="BH170" s="50">
        <v>1.0</v>
      </c>
      <c r="BI170" s="44" t="str">
        <f t="shared" si="205"/>
        <v>11121</v>
      </c>
      <c r="BJ170" s="50">
        <v>70.0</v>
      </c>
      <c r="BK170" s="50">
        <v>2.0</v>
      </c>
      <c r="BL170" s="50">
        <v>2.0</v>
      </c>
      <c r="BM170" s="50">
        <v>4.0</v>
      </c>
      <c r="BN170" s="50">
        <v>4.0</v>
      </c>
      <c r="BO170" s="50">
        <v>2.0</v>
      </c>
      <c r="BP170" s="50">
        <v>2.0</v>
      </c>
      <c r="BQ170" s="50">
        <v>2.0</v>
      </c>
      <c r="BR170" s="50">
        <v>3.0</v>
      </c>
      <c r="BS170" s="50">
        <v>2.0</v>
      </c>
      <c r="BT170" s="50">
        <v>4.0</v>
      </c>
      <c r="BU170" s="53">
        <f t="shared" si="251"/>
        <v>2</v>
      </c>
      <c r="BV170" s="53">
        <f t="shared" si="252"/>
        <v>2</v>
      </c>
      <c r="BW170" s="53">
        <f t="shared" si="183"/>
        <v>25</v>
      </c>
      <c r="BX170" s="53" t="str">
        <f t="shared" si="253"/>
        <v>FATIGA</v>
      </c>
      <c r="BY170" s="36">
        <v>0.0</v>
      </c>
      <c r="BZ170" s="36">
        <v>0.0</v>
      </c>
      <c r="CA170" s="36">
        <v>0.0</v>
      </c>
      <c r="CB170" s="36">
        <v>0.0</v>
      </c>
      <c r="CC170" s="36">
        <v>0.0</v>
      </c>
      <c r="CD170" s="36">
        <v>0.0</v>
      </c>
      <c r="CE170" s="50">
        <v>1.0</v>
      </c>
      <c r="CF170" s="36">
        <v>0.0</v>
      </c>
      <c r="CG170" s="50">
        <v>15.0</v>
      </c>
      <c r="CH170" s="50">
        <v>2.0</v>
      </c>
      <c r="CI170" s="36">
        <v>0.0</v>
      </c>
      <c r="CJ170" s="53">
        <f t="shared" si="254"/>
        <v>49.5</v>
      </c>
      <c r="CK170" s="53">
        <f t="shared" si="206"/>
        <v>1</v>
      </c>
      <c r="CL170" s="44" t="b">
        <f t="shared" si="207"/>
        <v>0</v>
      </c>
      <c r="CM170" s="44" t="b">
        <f t="shared" si="208"/>
        <v>0</v>
      </c>
      <c r="CN170" s="45" t="str">
        <f t="shared" si="209"/>
        <v>Nivel de actividad física bajo</v>
      </c>
      <c r="CO170" s="67">
        <v>22.0</v>
      </c>
      <c r="CP170" s="50">
        <v>180.0</v>
      </c>
      <c r="CQ170" s="53">
        <f t="shared" si="260"/>
        <v>3</v>
      </c>
      <c r="CR170" s="50">
        <v>6.0</v>
      </c>
      <c r="CS170" s="82">
        <v>0.0</v>
      </c>
      <c r="CT170" s="50">
        <v>5.5</v>
      </c>
      <c r="CU170" s="50">
        <v>3.5</v>
      </c>
      <c r="CV170" s="50">
        <v>3.0</v>
      </c>
      <c r="CW170" s="50">
        <v>3.0</v>
      </c>
      <c r="CX170" s="82">
        <v>0.0</v>
      </c>
      <c r="CY170" s="50">
        <v>0.0</v>
      </c>
      <c r="CZ170" s="50">
        <v>0.0</v>
      </c>
      <c r="DA170" s="82">
        <v>0.0</v>
      </c>
      <c r="DB170" s="82">
        <v>0.0</v>
      </c>
      <c r="DC170" s="82">
        <v>0.0</v>
      </c>
      <c r="DD170" s="82">
        <v>0.0</v>
      </c>
      <c r="DE170" s="50">
        <v>0.0</v>
      </c>
      <c r="DF170" s="36" t="s">
        <v>133</v>
      </c>
      <c r="DG170" s="53">
        <f t="shared" si="55"/>
        <v>3</v>
      </c>
      <c r="DH170" s="50">
        <v>3.0</v>
      </c>
      <c r="DI170" s="82">
        <v>0.0</v>
      </c>
      <c r="DJ170" s="82">
        <v>3.0</v>
      </c>
      <c r="DK170" s="50">
        <v>3.0</v>
      </c>
      <c r="DL170" s="68">
        <f t="shared" si="237"/>
        <v>63.63636364</v>
      </c>
      <c r="DM170" s="53">
        <f t="shared" si="238"/>
        <v>3</v>
      </c>
      <c r="DN170" s="53">
        <f t="shared" si="239"/>
        <v>1</v>
      </c>
      <c r="DO170" s="53">
        <f t="shared" si="240"/>
        <v>3</v>
      </c>
      <c r="DP170" s="53">
        <f t="shared" si="241"/>
        <v>3</v>
      </c>
      <c r="DQ170" s="53">
        <f t="shared" si="242"/>
        <v>3</v>
      </c>
      <c r="DR170" s="53">
        <f t="shared" ref="DR170:DS170" si="263">(DH170)</f>
        <v>3</v>
      </c>
      <c r="DS170" s="53">
        <f t="shared" si="263"/>
        <v>0</v>
      </c>
      <c r="DT170" s="53">
        <f t="shared" si="41"/>
        <v>16</v>
      </c>
      <c r="DU170" s="53" t="str">
        <f t="shared" si="244"/>
        <v>poor sleep quality</v>
      </c>
      <c r="DV170" s="36">
        <v>3.0</v>
      </c>
      <c r="DW170" s="36" t="s">
        <v>314</v>
      </c>
      <c r="DX170" s="36" t="s">
        <v>146</v>
      </c>
      <c r="DY170" s="36">
        <v>1.0</v>
      </c>
      <c r="DZ170" s="36" t="s">
        <v>131</v>
      </c>
      <c r="EA170" s="50" t="s">
        <v>178</v>
      </c>
      <c r="EB170" s="50" t="s">
        <v>219</v>
      </c>
      <c r="EC170" s="57" t="s">
        <v>131</v>
      </c>
      <c r="ED170" s="36" t="s">
        <v>133</v>
      </c>
      <c r="EE170" s="50" t="s">
        <v>203</v>
      </c>
      <c r="EF170" s="35">
        <f t="shared" si="262"/>
        <v>1300</v>
      </c>
      <c r="EG170" s="36" t="s">
        <v>133</v>
      </c>
      <c r="EH170" s="47">
        <f t="shared" si="24"/>
        <v>27.18163009</v>
      </c>
    </row>
    <row r="171" ht="15.75" customHeight="1">
      <c r="A171" s="35" t="s">
        <v>571</v>
      </c>
      <c r="B171" s="57" t="s">
        <v>175</v>
      </c>
      <c r="C171" s="37">
        <v>45535.0</v>
      </c>
      <c r="D171" s="64">
        <v>54.0</v>
      </c>
      <c r="E171" s="57" t="s">
        <v>130</v>
      </c>
      <c r="F171" s="57">
        <v>162.0</v>
      </c>
      <c r="G171" s="57">
        <v>105.0</v>
      </c>
      <c r="H171" s="59" t="s">
        <v>131</v>
      </c>
      <c r="I171" s="57">
        <v>2.0</v>
      </c>
      <c r="J171" s="55">
        <v>44228.0</v>
      </c>
      <c r="K171" s="57" t="s">
        <v>131</v>
      </c>
      <c r="L171" s="57">
        <v>2.0</v>
      </c>
      <c r="M171" s="55">
        <v>44348.0</v>
      </c>
      <c r="N171" s="57">
        <v>0.0</v>
      </c>
      <c r="O171" s="55">
        <v>44501.0</v>
      </c>
      <c r="P171" s="57" t="s">
        <v>132</v>
      </c>
      <c r="Q171" s="36" t="s">
        <v>133</v>
      </c>
      <c r="R171" s="36" t="s">
        <v>133</v>
      </c>
      <c r="S171" s="36" t="s">
        <v>133</v>
      </c>
      <c r="T171" s="36" t="s">
        <v>133</v>
      </c>
      <c r="U171" s="36" t="s">
        <v>133</v>
      </c>
      <c r="V171" s="36" t="str">
        <f t="shared" si="178"/>
        <v>Paciente ambulatorio</v>
      </c>
      <c r="W171" s="57" t="s">
        <v>176</v>
      </c>
      <c r="X171" s="57" t="s">
        <v>132</v>
      </c>
      <c r="Y171" s="57">
        <v>1.0</v>
      </c>
      <c r="Z171" s="57">
        <v>1.0</v>
      </c>
      <c r="AA171" s="57">
        <v>2.0</v>
      </c>
      <c r="AB171" s="57">
        <v>2.0</v>
      </c>
      <c r="AC171" s="36" t="s">
        <v>133</v>
      </c>
      <c r="AD171" s="57">
        <v>1.0</v>
      </c>
      <c r="AE171" s="57">
        <v>1.0</v>
      </c>
      <c r="AF171" s="57">
        <v>3.0</v>
      </c>
      <c r="AG171" s="57">
        <v>3.0</v>
      </c>
      <c r="AH171" s="57">
        <v>2.0</v>
      </c>
      <c r="AI171" s="57">
        <v>1.0</v>
      </c>
      <c r="AJ171" s="57">
        <v>1.0</v>
      </c>
      <c r="AK171" s="36" t="s">
        <v>133</v>
      </c>
      <c r="AL171" s="57" t="s">
        <v>131</v>
      </c>
      <c r="AM171" s="57" t="s">
        <v>132</v>
      </c>
      <c r="AN171" s="57" t="s">
        <v>132</v>
      </c>
      <c r="AO171" s="57" t="s">
        <v>132</v>
      </c>
      <c r="AP171" s="57" t="s">
        <v>132</v>
      </c>
      <c r="AQ171" s="57" t="s">
        <v>132</v>
      </c>
      <c r="AR171" s="57" t="s">
        <v>132</v>
      </c>
      <c r="AS171" s="57" t="s">
        <v>132</v>
      </c>
      <c r="AT171" s="57" t="s">
        <v>132</v>
      </c>
      <c r="AU171" s="57" t="s">
        <v>132</v>
      </c>
      <c r="AV171" s="57" t="s">
        <v>132</v>
      </c>
      <c r="AW171" s="36" t="s">
        <v>133</v>
      </c>
      <c r="AX171" s="57" t="s">
        <v>131</v>
      </c>
      <c r="AY171" s="57">
        <v>5.0</v>
      </c>
      <c r="AZ171" s="57">
        <v>40.0</v>
      </c>
      <c r="BA171" s="36" t="s">
        <v>133</v>
      </c>
      <c r="BB171" s="57" t="s">
        <v>145</v>
      </c>
      <c r="BC171" s="36" t="s">
        <v>133</v>
      </c>
      <c r="BD171" s="59">
        <v>4.0</v>
      </c>
      <c r="BE171" s="57">
        <v>1.0</v>
      </c>
      <c r="BF171" s="57">
        <v>2.0</v>
      </c>
      <c r="BG171" s="57">
        <v>4.0</v>
      </c>
      <c r="BH171" s="57">
        <v>4.0</v>
      </c>
      <c r="BI171" s="44" t="str">
        <f t="shared" si="205"/>
        <v>41244</v>
      </c>
      <c r="BJ171" s="57">
        <v>40.0</v>
      </c>
      <c r="BK171" s="57">
        <v>4.0</v>
      </c>
      <c r="BL171" s="57">
        <v>4.0</v>
      </c>
      <c r="BM171" s="57">
        <v>3.0</v>
      </c>
      <c r="BN171" s="57">
        <v>2.0</v>
      </c>
      <c r="BO171" s="57">
        <v>4.0</v>
      </c>
      <c r="BP171" s="57">
        <v>4.0</v>
      </c>
      <c r="BQ171" s="57">
        <v>2.0</v>
      </c>
      <c r="BR171" s="57">
        <v>3.0</v>
      </c>
      <c r="BS171" s="57">
        <v>3.0</v>
      </c>
      <c r="BT171" s="57">
        <v>2.0</v>
      </c>
      <c r="BU171" s="44">
        <f>IF(BN171=1,5,IF(BN171=2,4,IF(BN171=3,3,IF(BN171=4,2,IF(BN171=5,1)))))</f>
        <v>4</v>
      </c>
      <c r="BV171" s="44">
        <f>IF(BT171=1,5,IF(BT171=2,4,IF(BT171=3,3,IF(BT171=4,2,IF(BT171=5,1)))))</f>
        <v>4</v>
      </c>
      <c r="BW171" s="44">
        <f t="shared" si="183"/>
        <v>33</v>
      </c>
      <c r="BX171" s="44" t="str">
        <f>IF(BW171&lt;22,"NO HAY FATIGA",IF(BW171&lt;35,"FATIGA","FATIGA EXTREMA"))</f>
        <v>FATIGA</v>
      </c>
      <c r="BY171" s="57">
        <v>0.0</v>
      </c>
      <c r="BZ171" s="57">
        <v>0.0</v>
      </c>
      <c r="CA171" s="57">
        <v>0.0</v>
      </c>
      <c r="CB171" s="57">
        <v>0.0</v>
      </c>
      <c r="CC171" s="57">
        <v>0.0</v>
      </c>
      <c r="CD171" s="57">
        <v>0.0</v>
      </c>
      <c r="CE171" s="57">
        <v>0.0</v>
      </c>
      <c r="CF171" s="57">
        <v>0.0</v>
      </c>
      <c r="CG171" s="57">
        <v>0.0</v>
      </c>
      <c r="CH171" s="57">
        <v>4.0</v>
      </c>
      <c r="CI171" s="57">
        <v>0.0</v>
      </c>
      <c r="CJ171" s="53">
        <f t="shared" si="254"/>
        <v>0</v>
      </c>
      <c r="CK171" s="53">
        <f t="shared" si="206"/>
        <v>0</v>
      </c>
      <c r="CL171" s="44" t="b">
        <f t="shared" si="207"/>
        <v>0</v>
      </c>
      <c r="CM171" s="44" t="b">
        <f t="shared" si="208"/>
        <v>0</v>
      </c>
      <c r="CN171" s="45" t="str">
        <f t="shared" si="209"/>
        <v>Nivel de actividad física bajo</v>
      </c>
      <c r="CO171" s="57">
        <v>21.0</v>
      </c>
      <c r="CP171" s="57">
        <v>120.0</v>
      </c>
      <c r="CQ171" s="53">
        <f t="shared" si="260"/>
        <v>3</v>
      </c>
      <c r="CR171" s="57">
        <v>8.0</v>
      </c>
      <c r="CS171" s="57">
        <v>0.0</v>
      </c>
      <c r="CT171" s="57">
        <v>11.0</v>
      </c>
      <c r="CU171" s="57">
        <v>5.0</v>
      </c>
      <c r="CV171" s="57">
        <v>3.0</v>
      </c>
      <c r="CW171" s="57">
        <v>3.0</v>
      </c>
      <c r="CX171" s="57">
        <v>3.0</v>
      </c>
      <c r="CY171" s="57">
        <v>2.0</v>
      </c>
      <c r="CZ171" s="57">
        <v>2.0</v>
      </c>
      <c r="DA171" s="57">
        <v>2.0</v>
      </c>
      <c r="DB171" s="57">
        <v>3.0</v>
      </c>
      <c r="DC171" s="57">
        <v>0.0</v>
      </c>
      <c r="DD171" s="57">
        <v>3.0</v>
      </c>
      <c r="DE171" s="57">
        <v>0.0</v>
      </c>
      <c r="DF171" s="36" t="s">
        <v>133</v>
      </c>
      <c r="DG171" s="53">
        <f t="shared" si="55"/>
        <v>18</v>
      </c>
      <c r="DH171" s="57">
        <v>2.0</v>
      </c>
      <c r="DI171" s="57">
        <v>0.0</v>
      </c>
      <c r="DJ171" s="57">
        <v>0.0</v>
      </c>
      <c r="DK171" s="57">
        <v>3.0</v>
      </c>
      <c r="DL171" s="68">
        <f t="shared" si="237"/>
        <v>45.45454545</v>
      </c>
      <c r="DM171" s="53">
        <f t="shared" si="238"/>
        <v>2</v>
      </c>
      <c r="DN171" s="53">
        <f t="shared" si="239"/>
        <v>2</v>
      </c>
      <c r="DO171" s="53">
        <f t="shared" si="240"/>
        <v>3</v>
      </c>
      <c r="DP171" s="53">
        <f t="shared" si="241"/>
        <v>2</v>
      </c>
      <c r="DQ171" s="53">
        <f t="shared" si="242"/>
        <v>3</v>
      </c>
      <c r="DR171" s="53">
        <f t="shared" ref="DR171:DS171" si="264">(DH171)</f>
        <v>2</v>
      </c>
      <c r="DS171" s="53">
        <f t="shared" si="264"/>
        <v>0</v>
      </c>
      <c r="DT171" s="53">
        <f t="shared" si="41"/>
        <v>14</v>
      </c>
      <c r="DU171" s="53" t="str">
        <f t="shared" si="244"/>
        <v>poor sleep quality</v>
      </c>
      <c r="DV171" s="57">
        <v>1.0</v>
      </c>
      <c r="DW171" s="57" t="s">
        <v>572</v>
      </c>
      <c r="DX171" s="57" t="s">
        <v>146</v>
      </c>
      <c r="DY171" s="57">
        <v>2.0</v>
      </c>
      <c r="DZ171" s="57" t="s">
        <v>131</v>
      </c>
      <c r="EA171" s="57" t="s">
        <v>202</v>
      </c>
      <c r="EB171" s="57" t="s">
        <v>172</v>
      </c>
      <c r="EC171" s="36" t="s">
        <v>133</v>
      </c>
      <c r="ED171" s="57" t="s">
        <v>132</v>
      </c>
      <c r="EE171" s="57" t="s">
        <v>140</v>
      </c>
      <c r="EF171" s="35">
        <f t="shared" si="262"/>
        <v>1187</v>
      </c>
      <c r="EG171" s="35">
        <f>C171-O171</f>
        <v>1034</v>
      </c>
      <c r="EH171" s="47">
        <f t="shared" si="24"/>
        <v>40.00914495</v>
      </c>
    </row>
    <row r="172" ht="15.75" customHeight="1">
      <c r="A172" s="35" t="s">
        <v>573</v>
      </c>
      <c r="B172" s="57" t="s">
        <v>129</v>
      </c>
      <c r="C172" s="37">
        <v>45535.0</v>
      </c>
      <c r="D172" s="64">
        <v>59.0</v>
      </c>
      <c r="E172" s="57" t="s">
        <v>153</v>
      </c>
      <c r="F172" s="57">
        <v>168.0</v>
      </c>
      <c r="G172" s="57">
        <v>70.0</v>
      </c>
      <c r="H172" s="59" t="s">
        <v>131</v>
      </c>
      <c r="I172" s="57">
        <v>3.0</v>
      </c>
      <c r="J172" s="55" t="s">
        <v>133</v>
      </c>
      <c r="K172" s="57" t="s">
        <v>132</v>
      </c>
      <c r="L172" s="57" t="s">
        <v>133</v>
      </c>
      <c r="M172" s="55" t="s">
        <v>133</v>
      </c>
      <c r="N172" s="57" t="s">
        <v>133</v>
      </c>
      <c r="O172" s="55" t="s">
        <v>133</v>
      </c>
      <c r="P172" s="57" t="s">
        <v>133</v>
      </c>
      <c r="Q172" s="36" t="s">
        <v>133</v>
      </c>
      <c r="R172" s="36" t="s">
        <v>133</v>
      </c>
      <c r="S172" s="36" t="s">
        <v>133</v>
      </c>
      <c r="T172" s="36" t="s">
        <v>133</v>
      </c>
      <c r="U172" s="36" t="s">
        <v>133</v>
      </c>
      <c r="V172" s="36" t="str">
        <f t="shared" si="178"/>
        <v>No infectado</v>
      </c>
      <c r="W172" s="36" t="s">
        <v>133</v>
      </c>
      <c r="X172" s="36" t="s">
        <v>133</v>
      </c>
      <c r="Y172" s="36" t="s">
        <v>133</v>
      </c>
      <c r="Z172" s="36" t="s">
        <v>133</v>
      </c>
      <c r="AA172" s="36" t="s">
        <v>133</v>
      </c>
      <c r="AB172" s="36" t="s">
        <v>133</v>
      </c>
      <c r="AC172" s="36" t="s">
        <v>133</v>
      </c>
      <c r="AD172" s="36" t="s">
        <v>133</v>
      </c>
      <c r="AE172" s="36" t="s">
        <v>133</v>
      </c>
      <c r="AF172" s="36" t="s">
        <v>133</v>
      </c>
      <c r="AG172" s="36" t="s">
        <v>133</v>
      </c>
      <c r="AH172" s="36" t="s">
        <v>133</v>
      </c>
      <c r="AI172" s="36" t="s">
        <v>133</v>
      </c>
      <c r="AJ172" s="36" t="s">
        <v>133</v>
      </c>
      <c r="AK172" s="36" t="s">
        <v>133</v>
      </c>
      <c r="AL172" s="57" t="s">
        <v>132</v>
      </c>
      <c r="AM172" s="57" t="s">
        <v>132</v>
      </c>
      <c r="AN172" s="57" t="s">
        <v>132</v>
      </c>
      <c r="AO172" s="57" t="s">
        <v>132</v>
      </c>
      <c r="AP172" s="57" t="s">
        <v>132</v>
      </c>
      <c r="AQ172" s="57" t="s">
        <v>132</v>
      </c>
      <c r="AR172" s="57" t="s">
        <v>132</v>
      </c>
      <c r="AS172" s="57" t="s">
        <v>132</v>
      </c>
      <c r="AT172" s="57" t="s">
        <v>132</v>
      </c>
      <c r="AU172" s="57" t="s">
        <v>132</v>
      </c>
      <c r="AV172" s="57" t="s">
        <v>131</v>
      </c>
      <c r="AW172" s="57" t="s">
        <v>574</v>
      </c>
      <c r="AX172" s="57" t="s">
        <v>131</v>
      </c>
      <c r="AY172" s="57">
        <v>20.0</v>
      </c>
      <c r="AZ172" s="57">
        <v>20.0</v>
      </c>
      <c r="BA172" s="36" t="s">
        <v>133</v>
      </c>
      <c r="BB172" s="57" t="s">
        <v>135</v>
      </c>
      <c r="BC172" s="65">
        <v>3.0</v>
      </c>
      <c r="BD172" s="59">
        <v>2.0</v>
      </c>
      <c r="BE172" s="57">
        <v>1.0</v>
      </c>
      <c r="BF172" s="57">
        <v>5.0</v>
      </c>
      <c r="BG172" s="57">
        <v>2.0</v>
      </c>
      <c r="BH172" s="57">
        <v>3.0</v>
      </c>
      <c r="BI172" s="44" t="str">
        <f t="shared" si="205"/>
        <v>21523</v>
      </c>
      <c r="BJ172" s="57">
        <v>80.0</v>
      </c>
      <c r="BK172" s="57">
        <v>1.0</v>
      </c>
      <c r="BL172" s="57">
        <v>1.0</v>
      </c>
      <c r="BM172" s="57">
        <v>1.0</v>
      </c>
      <c r="BN172" s="57">
        <v>5.0</v>
      </c>
      <c r="BO172" s="57">
        <v>1.0</v>
      </c>
      <c r="BP172" s="57">
        <v>1.0</v>
      </c>
      <c r="BQ172" s="57">
        <v>1.0</v>
      </c>
      <c r="BR172" s="57">
        <v>1.0</v>
      </c>
      <c r="BS172" s="57">
        <v>1.0</v>
      </c>
      <c r="BT172" s="57">
        <v>5.0</v>
      </c>
      <c r="BU172" s="53">
        <f t="shared" ref="BU172:BU176" si="266">IF(BN172=1,5,IF(BN172=2,4,IF(BN172=3,3,IF(BN172=4,2,IF(BN172=5,1)))))</f>
        <v>1</v>
      </c>
      <c r="BV172" s="53">
        <f t="shared" ref="BV172:BV176" si="267">IF(BT172=1,5,IF(BT172=2,4,IF(BT172=3,3,IF(BT172=4,2,IF(BT172=5,1)))))</f>
        <v>1</v>
      </c>
      <c r="BW172" s="53">
        <f t="shared" si="183"/>
        <v>14</v>
      </c>
      <c r="BX172" s="53" t="str">
        <f t="shared" ref="BX172:BX176" si="268">IF(BW172&lt;22,"NO HAY FATIGA",IF(BW172&lt;35,"FATIGA","FATIGA EXTREMA"))</f>
        <v>NO HAY FATIGA</v>
      </c>
      <c r="BY172" s="57">
        <v>0.0</v>
      </c>
      <c r="BZ172" s="57">
        <v>0.0</v>
      </c>
      <c r="CA172" s="57">
        <v>0.0</v>
      </c>
      <c r="CB172" s="57">
        <v>0.0</v>
      </c>
      <c r="CC172" s="57">
        <v>0.0</v>
      </c>
      <c r="CD172" s="57">
        <v>0.0</v>
      </c>
      <c r="CE172" s="57">
        <v>0.0</v>
      </c>
      <c r="CF172" s="57">
        <v>0.0</v>
      </c>
      <c r="CG172" s="57">
        <v>0.0</v>
      </c>
      <c r="CH172" s="57">
        <v>0.0</v>
      </c>
      <c r="CI172" s="57">
        <v>0.0</v>
      </c>
      <c r="CJ172" s="53">
        <f t="shared" si="254"/>
        <v>0</v>
      </c>
      <c r="CK172" s="53">
        <f t="shared" si="206"/>
        <v>0</v>
      </c>
      <c r="CL172" s="44" t="b">
        <f t="shared" si="207"/>
        <v>0</v>
      </c>
      <c r="CM172" s="44" t="b">
        <f t="shared" si="208"/>
        <v>0</v>
      </c>
      <c r="CN172" s="45" t="str">
        <f t="shared" si="209"/>
        <v>Nivel de actividad física bajo</v>
      </c>
      <c r="CO172" s="57">
        <v>2.0</v>
      </c>
      <c r="CP172" s="57">
        <v>15.0</v>
      </c>
      <c r="CQ172" s="44">
        <f>IF(CP172&gt;60,3,IF(CP172&gt;30,2,IF(CP172&gt;15,1,0)))</f>
        <v>0</v>
      </c>
      <c r="CR172" s="57">
        <v>8.0</v>
      </c>
      <c r="CS172" s="57">
        <v>30.0</v>
      </c>
      <c r="CT172" s="57">
        <v>6.5</v>
      </c>
      <c r="CU172" s="57">
        <v>5.0</v>
      </c>
      <c r="CV172" s="57">
        <v>0.0</v>
      </c>
      <c r="CW172" s="57">
        <v>2.0</v>
      </c>
      <c r="CX172" s="57">
        <v>3.0</v>
      </c>
      <c r="CY172" s="57">
        <v>0.0</v>
      </c>
      <c r="CZ172" s="57">
        <v>0.0</v>
      </c>
      <c r="DA172" s="57">
        <v>0.0</v>
      </c>
      <c r="DB172" s="57">
        <v>0.0</v>
      </c>
      <c r="DC172" s="57">
        <v>2.0</v>
      </c>
      <c r="DD172" s="57">
        <v>0.0</v>
      </c>
      <c r="DE172" s="57">
        <v>3.0</v>
      </c>
      <c r="DF172" s="57" t="s">
        <v>575</v>
      </c>
      <c r="DG172" s="53">
        <f t="shared" si="55"/>
        <v>10</v>
      </c>
      <c r="DH172" s="57">
        <v>1.0</v>
      </c>
      <c r="DI172" s="57">
        <v>0.0</v>
      </c>
      <c r="DJ172" s="57">
        <v>2.0</v>
      </c>
      <c r="DK172" s="57">
        <v>0.0</v>
      </c>
      <c r="DL172" s="68">
        <f t="shared" si="237"/>
        <v>76.92307692</v>
      </c>
      <c r="DM172" s="53">
        <f t="shared" si="238"/>
        <v>2</v>
      </c>
      <c r="DN172" s="53">
        <f t="shared" si="239"/>
        <v>2</v>
      </c>
      <c r="DO172" s="53">
        <f t="shared" si="240"/>
        <v>0</v>
      </c>
      <c r="DP172" s="53">
        <f t="shared" si="241"/>
        <v>1</v>
      </c>
      <c r="DQ172" s="53">
        <f t="shared" si="242"/>
        <v>1</v>
      </c>
      <c r="DR172" s="53">
        <f t="shared" ref="DR172:DS172" si="265">(DH172)</f>
        <v>1</v>
      </c>
      <c r="DS172" s="53">
        <f t="shared" si="265"/>
        <v>0</v>
      </c>
      <c r="DT172" s="53">
        <f t="shared" si="41"/>
        <v>7</v>
      </c>
      <c r="DU172" s="53" t="str">
        <f t="shared" si="244"/>
        <v>poor sleep quality</v>
      </c>
      <c r="DV172" s="57">
        <v>1.0</v>
      </c>
      <c r="DW172" s="57" t="s">
        <v>572</v>
      </c>
      <c r="DX172" s="57" t="s">
        <v>146</v>
      </c>
      <c r="DY172" s="57">
        <v>1.0</v>
      </c>
      <c r="DZ172" s="57" t="s">
        <v>131</v>
      </c>
      <c r="EA172" s="57" t="s">
        <v>150</v>
      </c>
      <c r="EB172" s="57" t="s">
        <v>287</v>
      </c>
      <c r="EC172" s="57" t="s">
        <v>131</v>
      </c>
      <c r="ED172" s="57" t="s">
        <v>132</v>
      </c>
      <c r="EE172" s="57" t="s">
        <v>203</v>
      </c>
      <c r="EF172" s="36" t="s">
        <v>133</v>
      </c>
      <c r="EG172" s="36" t="s">
        <v>133</v>
      </c>
      <c r="EH172" s="47">
        <f t="shared" si="24"/>
        <v>24.8015873</v>
      </c>
    </row>
    <row r="173" ht="15.75" customHeight="1">
      <c r="A173" s="35" t="s">
        <v>576</v>
      </c>
      <c r="B173" s="57" t="s">
        <v>175</v>
      </c>
      <c r="C173" s="37">
        <v>45535.0</v>
      </c>
      <c r="D173" s="64">
        <v>61.0</v>
      </c>
      <c r="E173" s="57" t="s">
        <v>130</v>
      </c>
      <c r="F173" s="57">
        <v>160.0</v>
      </c>
      <c r="G173" s="57">
        <v>52.0</v>
      </c>
      <c r="H173" s="59" t="s">
        <v>131</v>
      </c>
      <c r="I173" s="57">
        <v>4.0</v>
      </c>
      <c r="J173" s="55" t="s">
        <v>133</v>
      </c>
      <c r="K173" s="57" t="s">
        <v>131</v>
      </c>
      <c r="L173" s="57">
        <v>3.0</v>
      </c>
      <c r="M173" s="55">
        <v>43952.0</v>
      </c>
      <c r="N173" s="57">
        <v>0.0</v>
      </c>
      <c r="O173" s="55">
        <v>44440.0</v>
      </c>
      <c r="P173" s="57" t="s">
        <v>132</v>
      </c>
      <c r="Q173" s="36" t="s">
        <v>133</v>
      </c>
      <c r="R173" s="36" t="s">
        <v>133</v>
      </c>
      <c r="S173" s="36" t="s">
        <v>133</v>
      </c>
      <c r="T173" s="36" t="s">
        <v>133</v>
      </c>
      <c r="U173" s="36" t="s">
        <v>133</v>
      </c>
      <c r="V173" s="36" t="str">
        <f t="shared" si="178"/>
        <v>Paciente ambulatorio</v>
      </c>
      <c r="W173" s="57" t="s">
        <v>183</v>
      </c>
      <c r="X173" s="57" t="s">
        <v>132</v>
      </c>
      <c r="Y173" s="57">
        <v>2.0</v>
      </c>
      <c r="Z173" s="57">
        <v>1.0</v>
      </c>
      <c r="AA173" s="57">
        <v>1.0</v>
      </c>
      <c r="AB173" s="57">
        <v>2.0</v>
      </c>
      <c r="AC173" s="57">
        <v>2.0</v>
      </c>
      <c r="AD173" s="57">
        <v>1.0</v>
      </c>
      <c r="AE173" s="57">
        <v>1.0</v>
      </c>
      <c r="AF173" s="57">
        <v>3.0</v>
      </c>
      <c r="AG173" s="57">
        <v>1.0</v>
      </c>
      <c r="AH173" s="57">
        <v>1.0</v>
      </c>
      <c r="AI173" s="57">
        <v>3.0</v>
      </c>
      <c r="AJ173" s="57">
        <v>3.0</v>
      </c>
      <c r="AK173" s="57" t="s">
        <v>577</v>
      </c>
      <c r="AL173" s="57" t="s">
        <v>132</v>
      </c>
      <c r="AM173" s="57" t="s">
        <v>132</v>
      </c>
      <c r="AN173" s="57" t="s">
        <v>132</v>
      </c>
      <c r="AO173" s="57" t="s">
        <v>132</v>
      </c>
      <c r="AP173" s="57" t="s">
        <v>132</v>
      </c>
      <c r="AQ173" s="57" t="s">
        <v>132</v>
      </c>
      <c r="AR173" s="57" t="s">
        <v>132</v>
      </c>
      <c r="AS173" s="57" t="s">
        <v>132</v>
      </c>
      <c r="AT173" s="57" t="s">
        <v>132</v>
      </c>
      <c r="AU173" s="57" t="s">
        <v>132</v>
      </c>
      <c r="AV173" s="57" t="s">
        <v>131</v>
      </c>
      <c r="AW173" s="57" t="s">
        <v>578</v>
      </c>
      <c r="AX173" s="57" t="s">
        <v>131</v>
      </c>
      <c r="AY173" s="57">
        <v>3.0</v>
      </c>
      <c r="AZ173" s="57">
        <v>5.0</v>
      </c>
      <c r="BA173" s="36" t="s">
        <v>133</v>
      </c>
      <c r="BB173" s="57" t="s">
        <v>135</v>
      </c>
      <c r="BC173" s="65">
        <v>1.0</v>
      </c>
      <c r="BD173" s="59">
        <v>1.0</v>
      </c>
      <c r="BE173" s="57">
        <v>1.0</v>
      </c>
      <c r="BF173" s="57">
        <v>1.0</v>
      </c>
      <c r="BG173" s="57">
        <v>3.0</v>
      </c>
      <c r="BH173" s="57">
        <v>4.0</v>
      </c>
      <c r="BI173" s="44" t="str">
        <f t="shared" si="205"/>
        <v>11134</v>
      </c>
      <c r="BJ173" s="57">
        <v>80.0</v>
      </c>
      <c r="BK173" s="57">
        <v>3.0</v>
      </c>
      <c r="BL173" s="57">
        <v>2.0</v>
      </c>
      <c r="BM173" s="57">
        <v>1.0</v>
      </c>
      <c r="BN173" s="57">
        <v>4.0</v>
      </c>
      <c r="BO173" s="57">
        <v>2.0</v>
      </c>
      <c r="BP173" s="57">
        <v>1.0</v>
      </c>
      <c r="BQ173" s="57">
        <v>1.0</v>
      </c>
      <c r="BR173" s="57">
        <v>2.0</v>
      </c>
      <c r="BS173" s="57">
        <v>2.0</v>
      </c>
      <c r="BT173" s="57">
        <v>3.0</v>
      </c>
      <c r="BU173" s="53">
        <f t="shared" si="266"/>
        <v>2</v>
      </c>
      <c r="BV173" s="53">
        <f t="shared" si="267"/>
        <v>3</v>
      </c>
      <c r="BW173" s="53">
        <f t="shared" si="183"/>
        <v>20</v>
      </c>
      <c r="BX173" s="53" t="str">
        <f t="shared" si="268"/>
        <v>NO HAY FATIGA</v>
      </c>
      <c r="BY173" s="57">
        <v>0.0</v>
      </c>
      <c r="BZ173" s="57">
        <v>0.0</v>
      </c>
      <c r="CA173" s="57">
        <v>0.0</v>
      </c>
      <c r="CB173" s="57">
        <v>0.0</v>
      </c>
      <c r="CC173" s="57">
        <v>0.0</v>
      </c>
      <c r="CD173" s="57">
        <v>0.0</v>
      </c>
      <c r="CE173" s="57">
        <v>7.0</v>
      </c>
      <c r="CF173" s="57">
        <v>0.0</v>
      </c>
      <c r="CG173" s="57">
        <v>40.0</v>
      </c>
      <c r="CH173" s="57">
        <v>1.0</v>
      </c>
      <c r="CI173" s="57">
        <v>0.0</v>
      </c>
      <c r="CJ173" s="53">
        <f t="shared" si="254"/>
        <v>924</v>
      </c>
      <c r="CK173" s="53">
        <f t="shared" si="206"/>
        <v>7</v>
      </c>
      <c r="CL173" s="44" t="b">
        <f t="shared" si="207"/>
        <v>0</v>
      </c>
      <c r="CM173" s="44" t="str">
        <f t="shared" si="208"/>
        <v>Nivel de actividad física moderado</v>
      </c>
      <c r="CN173" s="45" t="str">
        <f t="shared" si="209"/>
        <v>Nivel de actividad física moderado</v>
      </c>
      <c r="CO173" s="57">
        <v>1.0</v>
      </c>
      <c r="CP173" s="57">
        <v>90.0</v>
      </c>
      <c r="CQ173" s="53">
        <f t="shared" ref="CQ173:CQ176" si="270">IF(CP173&gt;60,3,IF(CP173&gt;30,2,IF(CP173&gt;15,1,0)))</f>
        <v>3</v>
      </c>
      <c r="CR173" s="57">
        <v>8.0</v>
      </c>
      <c r="CS173" s="57">
        <v>30.0</v>
      </c>
      <c r="CT173" s="57">
        <v>7.5</v>
      </c>
      <c r="CU173" s="57">
        <v>5.5</v>
      </c>
      <c r="CV173" s="57">
        <v>3.0</v>
      </c>
      <c r="CW173" s="57">
        <v>3.0</v>
      </c>
      <c r="CX173" s="57">
        <v>0.0</v>
      </c>
      <c r="CY173" s="57">
        <v>0.0</v>
      </c>
      <c r="CZ173" s="57">
        <v>0.0</v>
      </c>
      <c r="DA173" s="57">
        <v>3.0</v>
      </c>
      <c r="DB173" s="57">
        <v>1.0</v>
      </c>
      <c r="DC173" s="57">
        <v>3.0</v>
      </c>
      <c r="DD173" s="57">
        <v>0.0</v>
      </c>
      <c r="DE173" s="57">
        <v>3.0</v>
      </c>
      <c r="DF173" s="57" t="s">
        <v>579</v>
      </c>
      <c r="DG173" s="53">
        <f t="shared" si="55"/>
        <v>13</v>
      </c>
      <c r="DH173" s="57">
        <v>3.0</v>
      </c>
      <c r="DI173" s="57">
        <v>3.0</v>
      </c>
      <c r="DJ173" s="57">
        <v>1.0</v>
      </c>
      <c r="DK173" s="57">
        <v>0.0</v>
      </c>
      <c r="DL173" s="68">
        <f t="shared" si="237"/>
        <v>73.33333333</v>
      </c>
      <c r="DM173" s="53">
        <f t="shared" si="238"/>
        <v>2</v>
      </c>
      <c r="DN173" s="53">
        <f t="shared" si="239"/>
        <v>2</v>
      </c>
      <c r="DO173" s="53">
        <f t="shared" si="240"/>
        <v>3</v>
      </c>
      <c r="DP173" s="53">
        <f t="shared" si="241"/>
        <v>1</v>
      </c>
      <c r="DQ173" s="53">
        <f t="shared" si="242"/>
        <v>2</v>
      </c>
      <c r="DR173" s="53">
        <f t="shared" ref="DR173:DS173" si="269">(DH173)</f>
        <v>3</v>
      </c>
      <c r="DS173" s="53">
        <f t="shared" si="269"/>
        <v>3</v>
      </c>
      <c r="DT173" s="53">
        <f t="shared" si="41"/>
        <v>16</v>
      </c>
      <c r="DU173" s="53" t="str">
        <f t="shared" si="244"/>
        <v>poor sleep quality</v>
      </c>
      <c r="DV173" s="57">
        <v>4.0</v>
      </c>
      <c r="DW173" s="57" t="s">
        <v>566</v>
      </c>
      <c r="DX173" s="57" t="s">
        <v>207</v>
      </c>
      <c r="DY173" s="57" t="s">
        <v>156</v>
      </c>
      <c r="DZ173" s="57" t="s">
        <v>131</v>
      </c>
      <c r="EA173" s="57" t="s">
        <v>178</v>
      </c>
      <c r="EB173" s="57" t="s">
        <v>219</v>
      </c>
      <c r="EC173" s="57" t="s">
        <v>131</v>
      </c>
      <c r="ED173" s="57" t="s">
        <v>132</v>
      </c>
      <c r="EE173" s="57" t="s">
        <v>141</v>
      </c>
      <c r="EF173" s="35">
        <f t="shared" ref="EF173:EF179" si="272">C173-M173</f>
        <v>1583</v>
      </c>
      <c r="EG173" s="35">
        <f>C173-O173</f>
        <v>1095</v>
      </c>
      <c r="EH173" s="47">
        <f t="shared" si="24"/>
        <v>20.3125</v>
      </c>
    </row>
    <row r="174" ht="15.75" customHeight="1">
      <c r="A174" s="35" t="s">
        <v>580</v>
      </c>
      <c r="B174" s="57" t="s">
        <v>175</v>
      </c>
      <c r="C174" s="37">
        <v>45542.0</v>
      </c>
      <c r="D174" s="64">
        <v>51.0</v>
      </c>
      <c r="E174" s="57" t="s">
        <v>130</v>
      </c>
      <c r="F174" s="57">
        <v>165.0</v>
      </c>
      <c r="G174" s="57">
        <v>72.0</v>
      </c>
      <c r="H174" s="59" t="s">
        <v>131</v>
      </c>
      <c r="I174" s="57">
        <v>3.0</v>
      </c>
      <c r="J174" s="55">
        <v>44650.0</v>
      </c>
      <c r="K174" s="57" t="s">
        <v>131</v>
      </c>
      <c r="L174" s="57">
        <v>1.0</v>
      </c>
      <c r="M174" s="55">
        <v>44581.0</v>
      </c>
      <c r="N174" s="57">
        <v>2.0</v>
      </c>
      <c r="O174" s="55" t="s">
        <v>133</v>
      </c>
      <c r="P174" s="57" t="s">
        <v>132</v>
      </c>
      <c r="Q174" s="36" t="s">
        <v>133</v>
      </c>
      <c r="R174" s="36" t="s">
        <v>133</v>
      </c>
      <c r="S174" s="36" t="s">
        <v>133</v>
      </c>
      <c r="T174" s="36" t="s">
        <v>133</v>
      </c>
      <c r="U174" s="36" t="s">
        <v>133</v>
      </c>
      <c r="V174" s="36" t="str">
        <f t="shared" si="178"/>
        <v>Paciente ambulatorio</v>
      </c>
      <c r="W174" s="57" t="s">
        <v>183</v>
      </c>
      <c r="X174" s="57" t="s">
        <v>132</v>
      </c>
      <c r="Y174" s="57">
        <v>3.0</v>
      </c>
      <c r="Z174" s="57">
        <v>2.0</v>
      </c>
      <c r="AA174" s="57">
        <v>3.0</v>
      </c>
      <c r="AB174" s="57">
        <v>3.0</v>
      </c>
      <c r="AC174" s="57">
        <v>1.0</v>
      </c>
      <c r="AD174" s="57">
        <v>2.0</v>
      </c>
      <c r="AE174" s="57">
        <v>2.0</v>
      </c>
      <c r="AF174" s="57">
        <v>1.0</v>
      </c>
      <c r="AG174" s="57">
        <v>1.0</v>
      </c>
      <c r="AH174" s="57">
        <v>2.0</v>
      </c>
      <c r="AI174" s="57">
        <v>1.0</v>
      </c>
      <c r="AJ174" s="57">
        <v>1.0</v>
      </c>
      <c r="AK174" s="36" t="s">
        <v>133</v>
      </c>
      <c r="AL174" s="57" t="s">
        <v>132</v>
      </c>
      <c r="AM174" s="57" t="s">
        <v>132</v>
      </c>
      <c r="AN174" s="57" t="s">
        <v>132</v>
      </c>
      <c r="AO174" s="57" t="s">
        <v>132</v>
      </c>
      <c r="AP174" s="57" t="s">
        <v>132</v>
      </c>
      <c r="AQ174" s="57" t="s">
        <v>132</v>
      </c>
      <c r="AR174" s="57" t="s">
        <v>132</v>
      </c>
      <c r="AS174" s="57" t="s">
        <v>132</v>
      </c>
      <c r="AT174" s="57" t="s">
        <v>132</v>
      </c>
      <c r="AU174" s="57" t="s">
        <v>132</v>
      </c>
      <c r="AV174" s="57" t="s">
        <v>132</v>
      </c>
      <c r="AW174" s="36" t="s">
        <v>133</v>
      </c>
      <c r="AX174" s="57" t="s">
        <v>132</v>
      </c>
      <c r="AY174" s="36" t="s">
        <v>133</v>
      </c>
      <c r="AZ174" s="36" t="s">
        <v>133</v>
      </c>
      <c r="BA174" s="36" t="s">
        <v>133</v>
      </c>
      <c r="BB174" s="57" t="s">
        <v>145</v>
      </c>
      <c r="BC174" s="36" t="s">
        <v>133</v>
      </c>
      <c r="BD174" s="59">
        <v>1.0</v>
      </c>
      <c r="BE174" s="57">
        <v>1.0</v>
      </c>
      <c r="BF174" s="57">
        <v>1.0</v>
      </c>
      <c r="BG174" s="57">
        <v>1.0</v>
      </c>
      <c r="BH174" s="57">
        <v>2.0</v>
      </c>
      <c r="BI174" s="44" t="str">
        <f t="shared" si="205"/>
        <v>11112</v>
      </c>
      <c r="BJ174" s="57">
        <v>80.0</v>
      </c>
      <c r="BK174" s="57">
        <v>2.0</v>
      </c>
      <c r="BL174" s="57">
        <v>3.0</v>
      </c>
      <c r="BM174" s="57">
        <v>1.0</v>
      </c>
      <c r="BN174" s="57">
        <v>2.0</v>
      </c>
      <c r="BO174" s="57">
        <v>2.0</v>
      </c>
      <c r="BP174" s="57">
        <v>2.0</v>
      </c>
      <c r="BQ174" s="57">
        <v>3.0</v>
      </c>
      <c r="BR174" s="57">
        <v>1.0</v>
      </c>
      <c r="BS174" s="57">
        <v>2.0</v>
      </c>
      <c r="BT174" s="57">
        <v>2.0</v>
      </c>
      <c r="BU174" s="53">
        <f t="shared" si="266"/>
        <v>4</v>
      </c>
      <c r="BV174" s="53">
        <f t="shared" si="267"/>
        <v>4</v>
      </c>
      <c r="BW174" s="53">
        <f t="shared" si="183"/>
        <v>22</v>
      </c>
      <c r="BX174" s="53" t="str">
        <f t="shared" si="268"/>
        <v>FATIGA</v>
      </c>
      <c r="BY174" s="57">
        <v>2.0</v>
      </c>
      <c r="BZ174" s="57">
        <v>2.0</v>
      </c>
      <c r="CA174" s="57">
        <v>0.0</v>
      </c>
      <c r="CB174" s="57">
        <v>5.0</v>
      </c>
      <c r="CC174" s="57">
        <v>3.0</v>
      </c>
      <c r="CD174" s="57">
        <v>0.0</v>
      </c>
      <c r="CE174" s="57">
        <v>5.0</v>
      </c>
      <c r="CF174" s="57">
        <v>1.0</v>
      </c>
      <c r="CG174" s="57">
        <v>0.0</v>
      </c>
      <c r="CH174" s="57">
        <v>1.0</v>
      </c>
      <c r="CI174" s="57">
        <v>0.0</v>
      </c>
      <c r="CJ174" s="53">
        <f t="shared" si="254"/>
        <v>6510</v>
      </c>
      <c r="CK174" s="53">
        <f t="shared" si="206"/>
        <v>12</v>
      </c>
      <c r="CL174" s="44" t="str">
        <f t="shared" si="207"/>
        <v>Nivel de actividad física alto</v>
      </c>
      <c r="CM174" s="44" t="str">
        <f t="shared" si="208"/>
        <v>Nivel de actividad física moderado</v>
      </c>
      <c r="CN174" s="45" t="str">
        <f t="shared" si="209"/>
        <v>Nivel de actividad física alto</v>
      </c>
      <c r="CO174" s="57">
        <v>22.0</v>
      </c>
      <c r="CP174" s="57">
        <v>5.0</v>
      </c>
      <c r="CQ174" s="53">
        <f t="shared" si="270"/>
        <v>0</v>
      </c>
      <c r="CR174" s="57">
        <v>4.0</v>
      </c>
      <c r="CS174" s="57">
        <v>0.0</v>
      </c>
      <c r="CT174" s="57">
        <v>6.0</v>
      </c>
      <c r="CU174" s="57">
        <v>4.0</v>
      </c>
      <c r="CV174" s="57">
        <v>0.0</v>
      </c>
      <c r="CW174" s="57">
        <v>1.0</v>
      </c>
      <c r="CX174" s="57">
        <v>1.0</v>
      </c>
      <c r="CY174" s="57">
        <v>0.0</v>
      </c>
      <c r="CZ174" s="57">
        <v>1.0</v>
      </c>
      <c r="DA174" s="57">
        <v>0.0</v>
      </c>
      <c r="DB174" s="57">
        <v>0.0</v>
      </c>
      <c r="DC174" s="57">
        <v>0.0</v>
      </c>
      <c r="DD174" s="57">
        <v>0.0</v>
      </c>
      <c r="DE174" s="57">
        <v>0.0</v>
      </c>
      <c r="DF174" s="36" t="s">
        <v>133</v>
      </c>
      <c r="DG174" s="53">
        <f t="shared" si="55"/>
        <v>3</v>
      </c>
      <c r="DH174" s="57">
        <v>1.0</v>
      </c>
      <c r="DI174" s="57">
        <v>0.0</v>
      </c>
      <c r="DJ174" s="57">
        <v>3.0</v>
      </c>
      <c r="DK174" s="57">
        <v>2.0</v>
      </c>
      <c r="DL174" s="68">
        <f t="shared" si="237"/>
        <v>66.66666667</v>
      </c>
      <c r="DM174" s="53">
        <f t="shared" si="238"/>
        <v>3</v>
      </c>
      <c r="DN174" s="53">
        <f t="shared" si="239"/>
        <v>1</v>
      </c>
      <c r="DO174" s="53">
        <f t="shared" si="240"/>
        <v>0</v>
      </c>
      <c r="DP174" s="53">
        <f t="shared" si="241"/>
        <v>3</v>
      </c>
      <c r="DQ174" s="53">
        <f t="shared" si="242"/>
        <v>2</v>
      </c>
      <c r="DR174" s="53">
        <f t="shared" ref="DR174:DS174" si="271">(DH174)</f>
        <v>1</v>
      </c>
      <c r="DS174" s="53">
        <f t="shared" si="271"/>
        <v>0</v>
      </c>
      <c r="DT174" s="53">
        <f t="shared" si="41"/>
        <v>10</v>
      </c>
      <c r="DU174" s="53" t="str">
        <f t="shared" si="244"/>
        <v>poor sleep quality</v>
      </c>
      <c r="DV174" s="57">
        <v>2.0</v>
      </c>
      <c r="DW174" s="57" t="s">
        <v>581</v>
      </c>
      <c r="DX174" s="57" t="s">
        <v>146</v>
      </c>
      <c r="DY174" s="57">
        <v>2.0</v>
      </c>
      <c r="DZ174" s="57" t="s">
        <v>131</v>
      </c>
      <c r="EA174" s="57" t="s">
        <v>147</v>
      </c>
      <c r="EB174" s="57" t="s">
        <v>139</v>
      </c>
      <c r="EC174" s="36" t="s">
        <v>133</v>
      </c>
      <c r="ED174" s="57" t="s">
        <v>132</v>
      </c>
      <c r="EE174" s="57" t="s">
        <v>141</v>
      </c>
      <c r="EF174" s="35">
        <f t="shared" si="272"/>
        <v>961</v>
      </c>
      <c r="EG174" s="36" t="s">
        <v>133</v>
      </c>
      <c r="EH174" s="47">
        <f t="shared" si="24"/>
        <v>26.44628099</v>
      </c>
    </row>
    <row r="175" ht="15.75" customHeight="1">
      <c r="A175" s="35" t="s">
        <v>582</v>
      </c>
      <c r="B175" s="57" t="s">
        <v>175</v>
      </c>
      <c r="C175" s="37">
        <v>45556.0</v>
      </c>
      <c r="D175" s="84">
        <v>62.0</v>
      </c>
      <c r="E175" s="57" t="s">
        <v>153</v>
      </c>
      <c r="F175" s="57">
        <v>172.0</v>
      </c>
      <c r="G175" s="57">
        <v>110.0</v>
      </c>
      <c r="H175" s="59" t="s">
        <v>131</v>
      </c>
      <c r="I175" s="57">
        <v>2.0</v>
      </c>
      <c r="J175" s="55">
        <v>44197.0</v>
      </c>
      <c r="K175" s="57" t="s">
        <v>131</v>
      </c>
      <c r="L175" s="57">
        <v>2.0</v>
      </c>
      <c r="M175" s="55">
        <v>43983.0</v>
      </c>
      <c r="N175" s="57">
        <v>0.0</v>
      </c>
      <c r="O175" s="55" t="s">
        <v>133</v>
      </c>
      <c r="P175" s="57" t="s">
        <v>132</v>
      </c>
      <c r="Q175" s="36" t="s">
        <v>133</v>
      </c>
      <c r="R175" s="36" t="s">
        <v>133</v>
      </c>
      <c r="S175" s="36" t="s">
        <v>133</v>
      </c>
      <c r="T175" s="36" t="s">
        <v>133</v>
      </c>
      <c r="U175" s="36" t="s">
        <v>133</v>
      </c>
      <c r="V175" s="36" t="str">
        <f t="shared" si="178"/>
        <v>Paciente ambulatorio</v>
      </c>
      <c r="W175" s="57" t="s">
        <v>183</v>
      </c>
      <c r="X175" s="57" t="s">
        <v>132</v>
      </c>
      <c r="Y175" s="57">
        <v>2.0</v>
      </c>
      <c r="Z175" s="57">
        <v>2.0</v>
      </c>
      <c r="AA175" s="57">
        <v>1.0</v>
      </c>
      <c r="AB175" s="57">
        <v>1.0</v>
      </c>
      <c r="AC175" s="57">
        <v>2.0</v>
      </c>
      <c r="AD175" s="57">
        <v>2.0</v>
      </c>
      <c r="AE175" s="57">
        <v>2.0</v>
      </c>
      <c r="AF175" s="57">
        <v>2.0</v>
      </c>
      <c r="AG175" s="57">
        <v>1.0</v>
      </c>
      <c r="AH175" s="57">
        <v>2.0</v>
      </c>
      <c r="AI175" s="57">
        <v>3.0</v>
      </c>
      <c r="AJ175" s="57">
        <v>1.0</v>
      </c>
      <c r="AK175" s="36" t="s">
        <v>133</v>
      </c>
      <c r="AL175" s="57" t="s">
        <v>132</v>
      </c>
      <c r="AM175" s="57" t="s">
        <v>132</v>
      </c>
      <c r="AN175" s="57" t="s">
        <v>132</v>
      </c>
      <c r="AO175" s="57" t="s">
        <v>132</v>
      </c>
      <c r="AP175" s="57" t="s">
        <v>132</v>
      </c>
      <c r="AQ175" s="57" t="s">
        <v>132</v>
      </c>
      <c r="AR175" s="57" t="s">
        <v>132</v>
      </c>
      <c r="AS175" s="57" t="s">
        <v>132</v>
      </c>
      <c r="AT175" s="57" t="s">
        <v>132</v>
      </c>
      <c r="AU175" s="57" t="s">
        <v>132</v>
      </c>
      <c r="AV175" s="57" t="s">
        <v>132</v>
      </c>
      <c r="AW175" s="36" t="s">
        <v>133</v>
      </c>
      <c r="AX175" s="57" t="s">
        <v>132</v>
      </c>
      <c r="AY175" s="36" t="s">
        <v>133</v>
      </c>
      <c r="AZ175" s="36" t="s">
        <v>133</v>
      </c>
      <c r="BA175" s="36" t="s">
        <v>133</v>
      </c>
      <c r="BB175" s="57" t="s">
        <v>145</v>
      </c>
      <c r="BC175" s="36" t="s">
        <v>133</v>
      </c>
      <c r="BD175" s="59">
        <v>1.0</v>
      </c>
      <c r="BE175" s="57">
        <v>1.0</v>
      </c>
      <c r="BF175" s="57">
        <v>1.0</v>
      </c>
      <c r="BG175" s="57">
        <v>2.0</v>
      </c>
      <c r="BH175" s="57">
        <v>1.0</v>
      </c>
      <c r="BI175" s="44" t="str">
        <f t="shared" si="205"/>
        <v>11121</v>
      </c>
      <c r="BJ175" s="57">
        <v>65.0</v>
      </c>
      <c r="BK175" s="57">
        <v>2.0</v>
      </c>
      <c r="BL175" s="57">
        <v>2.0</v>
      </c>
      <c r="BM175" s="57">
        <v>3.0</v>
      </c>
      <c r="BN175" s="57">
        <v>4.0</v>
      </c>
      <c r="BO175" s="57">
        <v>2.0</v>
      </c>
      <c r="BP175" s="57">
        <v>2.0</v>
      </c>
      <c r="BQ175" s="57">
        <v>2.0</v>
      </c>
      <c r="BR175" s="57">
        <v>2.0</v>
      </c>
      <c r="BS175" s="57">
        <v>2.0</v>
      </c>
      <c r="BT175" s="57">
        <v>4.0</v>
      </c>
      <c r="BU175" s="53">
        <f t="shared" si="266"/>
        <v>2</v>
      </c>
      <c r="BV175" s="53">
        <f t="shared" si="267"/>
        <v>2</v>
      </c>
      <c r="BW175" s="53">
        <f t="shared" si="183"/>
        <v>23</v>
      </c>
      <c r="BX175" s="53" t="str">
        <f t="shared" si="268"/>
        <v>FATIGA</v>
      </c>
      <c r="BY175" s="57">
        <v>0.0</v>
      </c>
      <c r="BZ175" s="57">
        <v>0.0</v>
      </c>
      <c r="CA175" s="57">
        <v>0.0</v>
      </c>
      <c r="CB175" s="57">
        <v>0.0</v>
      </c>
      <c r="CC175" s="57">
        <v>0.0</v>
      </c>
      <c r="CD175" s="57">
        <v>0.0</v>
      </c>
      <c r="CE175" s="57">
        <v>6.0</v>
      </c>
      <c r="CF175" s="57">
        <v>0.0</v>
      </c>
      <c r="CG175" s="57">
        <v>45.0</v>
      </c>
      <c r="CH175" s="57">
        <v>4.0</v>
      </c>
      <c r="CI175" s="57">
        <v>0.0</v>
      </c>
      <c r="CJ175" s="53">
        <f t="shared" si="254"/>
        <v>891</v>
      </c>
      <c r="CK175" s="53">
        <f t="shared" si="206"/>
        <v>6</v>
      </c>
      <c r="CL175" s="44" t="b">
        <f t="shared" si="207"/>
        <v>0</v>
      </c>
      <c r="CM175" s="44" t="str">
        <f t="shared" si="208"/>
        <v>Nivel de actividad física moderado</v>
      </c>
      <c r="CN175" s="45" t="str">
        <f t="shared" si="209"/>
        <v>Nivel de actividad física moderado</v>
      </c>
      <c r="CO175" s="57">
        <v>22.0</v>
      </c>
      <c r="CP175" s="57">
        <v>45.0</v>
      </c>
      <c r="CQ175" s="53">
        <f t="shared" si="270"/>
        <v>2</v>
      </c>
      <c r="CR175" s="57">
        <v>8.0</v>
      </c>
      <c r="CS175" s="57">
        <v>0.0</v>
      </c>
      <c r="CT175" s="57">
        <v>10.0</v>
      </c>
      <c r="CU175" s="57">
        <v>7.0</v>
      </c>
      <c r="CV175" s="57">
        <v>3.0</v>
      </c>
      <c r="CW175" s="57">
        <v>3.0</v>
      </c>
      <c r="CX175" s="57">
        <v>3.0</v>
      </c>
      <c r="CY175" s="57">
        <v>0.0</v>
      </c>
      <c r="CZ175" s="57">
        <v>0.0</v>
      </c>
      <c r="DA175" s="57">
        <v>0.0</v>
      </c>
      <c r="DB175" s="57">
        <v>0.0</v>
      </c>
      <c r="DC175" s="57">
        <v>1.0</v>
      </c>
      <c r="DD175" s="57">
        <v>0.0</v>
      </c>
      <c r="DE175" s="57">
        <v>0.0</v>
      </c>
      <c r="DF175" s="36" t="s">
        <v>133</v>
      </c>
      <c r="DG175" s="53">
        <f t="shared" si="55"/>
        <v>7</v>
      </c>
      <c r="DH175" s="57">
        <v>1.0</v>
      </c>
      <c r="DI175" s="57">
        <v>0.0</v>
      </c>
      <c r="DJ175" s="57">
        <v>3.0</v>
      </c>
      <c r="DK175" s="57">
        <v>2.0</v>
      </c>
      <c r="DL175" s="68">
        <f t="shared" si="237"/>
        <v>70</v>
      </c>
      <c r="DM175" s="53">
        <f t="shared" si="238"/>
        <v>0</v>
      </c>
      <c r="DN175" s="53">
        <f t="shared" si="239"/>
        <v>1</v>
      </c>
      <c r="DO175" s="53">
        <f t="shared" si="240"/>
        <v>3</v>
      </c>
      <c r="DP175" s="53">
        <f t="shared" si="241"/>
        <v>3</v>
      </c>
      <c r="DQ175" s="53">
        <f t="shared" si="242"/>
        <v>2</v>
      </c>
      <c r="DR175" s="53">
        <f t="shared" ref="DR175:DS175" si="273">(DH175)</f>
        <v>1</v>
      </c>
      <c r="DS175" s="53">
        <f t="shared" si="273"/>
        <v>0</v>
      </c>
      <c r="DT175" s="53">
        <f t="shared" si="41"/>
        <v>10</v>
      </c>
      <c r="DU175" s="53" t="str">
        <f t="shared" si="244"/>
        <v>poor sleep quality</v>
      </c>
      <c r="DV175" s="57">
        <v>3.0</v>
      </c>
      <c r="DW175" s="57" t="s">
        <v>583</v>
      </c>
      <c r="DX175" s="57" t="s">
        <v>146</v>
      </c>
      <c r="DY175" s="57">
        <v>2.0</v>
      </c>
      <c r="DZ175" s="57" t="s">
        <v>131</v>
      </c>
      <c r="EA175" s="57" t="s">
        <v>167</v>
      </c>
      <c r="EB175" s="57" t="s">
        <v>139</v>
      </c>
      <c r="EC175" s="36" t="s">
        <v>133</v>
      </c>
      <c r="ED175" s="57" t="s">
        <v>132</v>
      </c>
      <c r="EE175" s="57" t="s">
        <v>203</v>
      </c>
      <c r="EF175" s="35">
        <f t="shared" si="272"/>
        <v>1573</v>
      </c>
      <c r="EG175" s="36" t="s">
        <v>133</v>
      </c>
      <c r="EH175" s="47">
        <f t="shared" si="24"/>
        <v>37.18226068</v>
      </c>
    </row>
    <row r="176" ht="15.75" customHeight="1">
      <c r="A176" s="35" t="s">
        <v>584</v>
      </c>
      <c r="B176" s="57" t="s">
        <v>175</v>
      </c>
      <c r="C176" s="37">
        <v>45535.0</v>
      </c>
      <c r="D176" s="64">
        <v>52.0</v>
      </c>
      <c r="E176" s="57" t="s">
        <v>130</v>
      </c>
      <c r="F176" s="57">
        <v>157.0</v>
      </c>
      <c r="G176" s="57">
        <v>100.0</v>
      </c>
      <c r="H176" s="59" t="s">
        <v>131</v>
      </c>
      <c r="I176" s="57">
        <v>7.0</v>
      </c>
      <c r="J176" s="55">
        <v>45505.0</v>
      </c>
      <c r="K176" s="57" t="s">
        <v>131</v>
      </c>
      <c r="L176" s="57">
        <v>1.0</v>
      </c>
      <c r="M176" s="55">
        <v>44228.0</v>
      </c>
      <c r="N176" s="57" t="s">
        <v>133</v>
      </c>
      <c r="O176" s="55" t="s">
        <v>133</v>
      </c>
      <c r="P176" s="57" t="s">
        <v>132</v>
      </c>
      <c r="Q176" s="36" t="s">
        <v>133</v>
      </c>
      <c r="R176" s="36" t="s">
        <v>133</v>
      </c>
      <c r="S176" s="36" t="s">
        <v>133</v>
      </c>
      <c r="T176" s="36" t="s">
        <v>133</v>
      </c>
      <c r="U176" s="36" t="s">
        <v>133</v>
      </c>
      <c r="V176" s="36" t="str">
        <f t="shared" si="178"/>
        <v>Paciente ambulatorio</v>
      </c>
      <c r="W176" s="57" t="s">
        <v>176</v>
      </c>
      <c r="X176" s="57" t="s">
        <v>132</v>
      </c>
      <c r="Y176" s="57">
        <v>1.0</v>
      </c>
      <c r="Z176" s="57">
        <v>1.0</v>
      </c>
      <c r="AA176" s="57">
        <v>2.0</v>
      </c>
      <c r="AB176" s="57">
        <v>3.0</v>
      </c>
      <c r="AC176" s="57">
        <v>1.0</v>
      </c>
      <c r="AD176" s="57">
        <v>1.0</v>
      </c>
      <c r="AE176" s="57">
        <v>2.0</v>
      </c>
      <c r="AF176" s="57">
        <v>1.0</v>
      </c>
      <c r="AG176" s="57">
        <v>3.0</v>
      </c>
      <c r="AH176" s="57">
        <v>1.0</v>
      </c>
      <c r="AI176" s="57">
        <v>1.0</v>
      </c>
      <c r="AJ176" s="57">
        <v>1.0</v>
      </c>
      <c r="AK176" s="57" t="s">
        <v>585</v>
      </c>
      <c r="AL176" s="57" t="s">
        <v>131</v>
      </c>
      <c r="AM176" s="57" t="s">
        <v>132</v>
      </c>
      <c r="AN176" s="57" t="s">
        <v>132</v>
      </c>
      <c r="AO176" s="57" t="s">
        <v>132</v>
      </c>
      <c r="AP176" s="57" t="s">
        <v>132</v>
      </c>
      <c r="AQ176" s="57" t="s">
        <v>132</v>
      </c>
      <c r="AR176" s="57" t="s">
        <v>132</v>
      </c>
      <c r="AS176" s="57" t="s">
        <v>132</v>
      </c>
      <c r="AT176" s="57" t="s">
        <v>132</v>
      </c>
      <c r="AU176" s="57" t="s">
        <v>132</v>
      </c>
      <c r="AV176" s="57" t="s">
        <v>132</v>
      </c>
      <c r="AW176" s="36" t="s">
        <v>133</v>
      </c>
      <c r="AX176" s="57" t="s">
        <v>132</v>
      </c>
      <c r="AY176" s="57">
        <v>0.3</v>
      </c>
      <c r="AZ176" s="57">
        <v>1.0</v>
      </c>
      <c r="BA176" s="36" t="s">
        <v>133</v>
      </c>
      <c r="BB176" s="57" t="s">
        <v>135</v>
      </c>
      <c r="BC176" s="65">
        <v>1.0</v>
      </c>
      <c r="BD176" s="59">
        <v>2.0</v>
      </c>
      <c r="BE176" s="57">
        <v>1.0</v>
      </c>
      <c r="BF176" s="57">
        <v>1.0</v>
      </c>
      <c r="BG176" s="57">
        <v>2.0</v>
      </c>
      <c r="BH176" s="57">
        <v>2.0</v>
      </c>
      <c r="BI176" s="44" t="str">
        <f t="shared" si="205"/>
        <v>21122</v>
      </c>
      <c r="BJ176" s="57">
        <v>55.0</v>
      </c>
      <c r="BK176" s="57">
        <v>2.0</v>
      </c>
      <c r="BL176" s="57">
        <v>3.0</v>
      </c>
      <c r="BM176" s="57">
        <v>3.0</v>
      </c>
      <c r="BN176" s="57">
        <v>2.0</v>
      </c>
      <c r="BO176" s="57">
        <v>3.0</v>
      </c>
      <c r="BP176" s="57">
        <v>2.0</v>
      </c>
      <c r="BQ176" s="57">
        <v>2.0</v>
      </c>
      <c r="BR176" s="57">
        <v>2.0</v>
      </c>
      <c r="BS176" s="57">
        <v>3.0</v>
      </c>
      <c r="BT176" s="57">
        <v>3.0</v>
      </c>
      <c r="BU176" s="53">
        <f t="shared" si="266"/>
        <v>4</v>
      </c>
      <c r="BV176" s="53">
        <f t="shared" si="267"/>
        <v>3</v>
      </c>
      <c r="BW176" s="53">
        <f t="shared" si="183"/>
        <v>26</v>
      </c>
      <c r="BX176" s="53" t="str">
        <f t="shared" si="268"/>
        <v>FATIGA</v>
      </c>
      <c r="BY176" s="57">
        <v>0.0</v>
      </c>
      <c r="BZ176" s="57">
        <v>0.0</v>
      </c>
      <c r="CA176" s="57">
        <v>0.0</v>
      </c>
      <c r="CB176" s="57">
        <v>3.0</v>
      </c>
      <c r="CC176" s="57">
        <v>0.0</v>
      </c>
      <c r="CD176" s="57">
        <v>40.0</v>
      </c>
      <c r="CE176" s="57">
        <v>5.0</v>
      </c>
      <c r="CF176" s="57">
        <v>0.0</v>
      </c>
      <c r="CG176" s="57">
        <v>20.0</v>
      </c>
      <c r="CH176" s="57">
        <v>4.0</v>
      </c>
      <c r="CI176" s="57">
        <v>0.0</v>
      </c>
      <c r="CJ176" s="53">
        <f t="shared" si="254"/>
        <v>810</v>
      </c>
      <c r="CK176" s="53">
        <f t="shared" si="206"/>
        <v>8</v>
      </c>
      <c r="CL176" s="44" t="b">
        <f t="shared" si="207"/>
        <v>0</v>
      </c>
      <c r="CM176" s="44" t="str">
        <f t="shared" si="208"/>
        <v>Nivel de actividad física moderado</v>
      </c>
      <c r="CN176" s="45" t="str">
        <f t="shared" si="209"/>
        <v>Nivel de actividad física moderado</v>
      </c>
      <c r="CO176" s="57">
        <v>2.0</v>
      </c>
      <c r="CP176" s="57">
        <v>5.0</v>
      </c>
      <c r="CQ176" s="53">
        <f t="shared" si="270"/>
        <v>0</v>
      </c>
      <c r="CR176" s="57">
        <v>6.0</v>
      </c>
      <c r="CS176" s="57">
        <v>0.0</v>
      </c>
      <c r="CT176" s="57">
        <v>4.0</v>
      </c>
      <c r="CU176" s="57">
        <v>4.0</v>
      </c>
      <c r="CV176" s="57">
        <v>0.0</v>
      </c>
      <c r="CW176" s="57">
        <v>3.0</v>
      </c>
      <c r="CX176" s="57">
        <v>0.0</v>
      </c>
      <c r="CY176" s="57">
        <v>0.0</v>
      </c>
      <c r="CZ176" s="57">
        <v>3.0</v>
      </c>
      <c r="DA176" s="57">
        <v>0.0</v>
      </c>
      <c r="DB176" s="57">
        <v>2.0</v>
      </c>
      <c r="DC176" s="57">
        <v>0.0</v>
      </c>
      <c r="DD176" s="57">
        <v>1.0</v>
      </c>
      <c r="DE176" s="57">
        <v>3.0</v>
      </c>
      <c r="DF176" s="57" t="s">
        <v>586</v>
      </c>
      <c r="DG176" s="53">
        <f t="shared" si="55"/>
        <v>12</v>
      </c>
      <c r="DH176" s="57">
        <v>3.0</v>
      </c>
      <c r="DI176" s="57">
        <v>0.0</v>
      </c>
      <c r="DJ176" s="57">
        <v>3.0</v>
      </c>
      <c r="DK176" s="57">
        <v>2.0</v>
      </c>
      <c r="DL176" s="68">
        <f t="shared" si="237"/>
        <v>100</v>
      </c>
      <c r="DM176" s="53">
        <f t="shared" si="238"/>
        <v>3</v>
      </c>
      <c r="DN176" s="53">
        <f t="shared" si="239"/>
        <v>2</v>
      </c>
      <c r="DO176" s="53">
        <f t="shared" si="240"/>
        <v>0</v>
      </c>
      <c r="DP176" s="53">
        <f t="shared" si="241"/>
        <v>3</v>
      </c>
      <c r="DQ176" s="53">
        <f t="shared" si="242"/>
        <v>0</v>
      </c>
      <c r="DR176" s="53">
        <f t="shared" ref="DR176:DS176" si="274">(DH176)</f>
        <v>3</v>
      </c>
      <c r="DS176" s="53">
        <f t="shared" si="274"/>
        <v>0</v>
      </c>
      <c r="DT176" s="53">
        <f t="shared" si="41"/>
        <v>11</v>
      </c>
      <c r="DU176" s="53" t="str">
        <f t="shared" si="244"/>
        <v>poor sleep quality</v>
      </c>
      <c r="DV176" s="57">
        <v>2.0</v>
      </c>
      <c r="DW176" s="57" t="s">
        <v>587</v>
      </c>
      <c r="DX176" s="57" t="s">
        <v>137</v>
      </c>
      <c r="DY176" s="57">
        <v>1.0</v>
      </c>
      <c r="DZ176" s="57" t="s">
        <v>131</v>
      </c>
      <c r="EA176" s="57" t="s">
        <v>167</v>
      </c>
      <c r="EB176" s="57" t="s">
        <v>139</v>
      </c>
      <c r="EC176" s="36" t="s">
        <v>133</v>
      </c>
      <c r="ED176" s="57" t="s">
        <v>131</v>
      </c>
      <c r="EE176" s="57" t="s">
        <v>141</v>
      </c>
      <c r="EF176" s="35">
        <f t="shared" si="272"/>
        <v>1307</v>
      </c>
      <c r="EG176" s="36" t="s">
        <v>133</v>
      </c>
      <c r="EH176" s="47">
        <f t="shared" si="24"/>
        <v>40.56959714</v>
      </c>
    </row>
    <row r="177" ht="15.75" customHeight="1">
      <c r="A177" s="35" t="s">
        <v>588</v>
      </c>
      <c r="B177" s="57" t="s">
        <v>175</v>
      </c>
      <c r="C177" s="37">
        <v>45542.0</v>
      </c>
      <c r="D177" s="64">
        <v>49.0</v>
      </c>
      <c r="E177" s="57" t="s">
        <v>130</v>
      </c>
      <c r="F177" s="57">
        <v>154.0</v>
      </c>
      <c r="G177" s="57">
        <v>73.0</v>
      </c>
      <c r="H177" s="59" t="s">
        <v>131</v>
      </c>
      <c r="I177" s="57">
        <v>4.0</v>
      </c>
      <c r="J177" s="55" t="s">
        <v>133</v>
      </c>
      <c r="K177" s="57" t="s">
        <v>131</v>
      </c>
      <c r="L177" s="57">
        <v>1.0</v>
      </c>
      <c r="M177" s="55">
        <v>44256.0</v>
      </c>
      <c r="N177" s="57" t="s">
        <v>131</v>
      </c>
      <c r="O177" s="55" t="s">
        <v>133</v>
      </c>
      <c r="P177" s="57" t="s">
        <v>132</v>
      </c>
      <c r="Q177" s="36" t="s">
        <v>133</v>
      </c>
      <c r="R177" s="36" t="s">
        <v>133</v>
      </c>
      <c r="S177" s="36" t="s">
        <v>133</v>
      </c>
      <c r="T177" s="36" t="s">
        <v>133</v>
      </c>
      <c r="U177" s="36" t="s">
        <v>133</v>
      </c>
      <c r="V177" s="36" t="str">
        <f t="shared" si="178"/>
        <v>Paciente ambulatorio</v>
      </c>
      <c r="W177" s="36" t="s">
        <v>133</v>
      </c>
      <c r="X177" s="57" t="s">
        <v>132</v>
      </c>
      <c r="Y177" s="57">
        <v>1.0</v>
      </c>
      <c r="Z177" s="57">
        <v>2.0</v>
      </c>
      <c r="AA177" s="57">
        <v>1.0</v>
      </c>
      <c r="AB177" s="57">
        <v>1.0</v>
      </c>
      <c r="AC177" s="57">
        <v>3.0</v>
      </c>
      <c r="AD177" s="57">
        <v>1.0</v>
      </c>
      <c r="AE177" s="57">
        <v>2.0</v>
      </c>
      <c r="AF177" s="57">
        <v>1.0</v>
      </c>
      <c r="AG177" s="57">
        <v>1.0</v>
      </c>
      <c r="AH177" s="57">
        <v>3.0</v>
      </c>
      <c r="AI177" s="57">
        <v>1.0</v>
      </c>
      <c r="AJ177" s="57">
        <v>1.0</v>
      </c>
      <c r="AK177" s="57" t="s">
        <v>589</v>
      </c>
      <c r="AL177" s="57" t="s">
        <v>132</v>
      </c>
      <c r="AM177" s="57" t="s">
        <v>132</v>
      </c>
      <c r="AN177" s="57" t="s">
        <v>131</v>
      </c>
      <c r="AO177" s="57" t="s">
        <v>132</v>
      </c>
      <c r="AP177" s="57" t="s">
        <v>132</v>
      </c>
      <c r="AQ177" s="57" t="s">
        <v>132</v>
      </c>
      <c r="AR177" s="57" t="s">
        <v>132</v>
      </c>
      <c r="AS177" s="57" t="s">
        <v>132</v>
      </c>
      <c r="AT177" s="57" t="s">
        <v>132</v>
      </c>
      <c r="AU177" s="57" t="s">
        <v>132</v>
      </c>
      <c r="AV177" s="57" t="s">
        <v>131</v>
      </c>
      <c r="AW177" s="57" t="s">
        <v>590</v>
      </c>
      <c r="AX177" s="57" t="s">
        <v>132</v>
      </c>
      <c r="AY177" s="36" t="s">
        <v>133</v>
      </c>
      <c r="AZ177" s="36" t="s">
        <v>133</v>
      </c>
      <c r="BA177" s="36" t="s">
        <v>133</v>
      </c>
      <c r="BB177" s="57" t="s">
        <v>145</v>
      </c>
      <c r="BC177" s="36" t="s">
        <v>133</v>
      </c>
      <c r="BD177" s="59">
        <v>1.0</v>
      </c>
      <c r="BE177" s="57">
        <v>1.0</v>
      </c>
      <c r="BF177" s="57">
        <v>1.0</v>
      </c>
      <c r="BG177" s="57">
        <v>2.0</v>
      </c>
      <c r="BH177" s="57">
        <v>4.0</v>
      </c>
      <c r="BI177" s="44" t="str">
        <f t="shared" si="205"/>
        <v>11124</v>
      </c>
      <c r="BJ177" s="57">
        <v>45.0</v>
      </c>
      <c r="BK177" s="57">
        <v>2.0</v>
      </c>
      <c r="BL177" s="57">
        <v>2.0</v>
      </c>
      <c r="BM177" s="57">
        <v>1.0</v>
      </c>
      <c r="BN177" s="57">
        <v>2.0</v>
      </c>
      <c r="BO177" s="57">
        <v>3.0</v>
      </c>
      <c r="BP177" s="57">
        <v>1.0</v>
      </c>
      <c r="BQ177" s="57">
        <v>3.0</v>
      </c>
      <c r="BR177" s="57">
        <v>2.0</v>
      </c>
      <c r="BS177" s="57">
        <v>3.0</v>
      </c>
      <c r="BT177" s="57">
        <v>2.0</v>
      </c>
      <c r="BU177" s="44">
        <f>IF(BN177=1,5,IF(BN177=2,4,IF(BN177=3,3,IF(BN177=4,2,IF(BN177=5,1)))))</f>
        <v>4</v>
      </c>
      <c r="BV177" s="44">
        <f>IF(BT177=1,5,IF(BT177=2,4,IF(BT177=3,3,IF(BT177=4,2,IF(BT177=5,1)))))</f>
        <v>4</v>
      </c>
      <c r="BW177" s="44">
        <f t="shared" si="183"/>
        <v>23</v>
      </c>
      <c r="BX177" s="44" t="str">
        <f>IF(BW177&lt;22,"NO HAY FATIGA",IF(BW177&lt;35,"FATIGA","FATIGA EXTREMA"))</f>
        <v>FATIGA</v>
      </c>
      <c r="BY177" s="57">
        <v>3.0</v>
      </c>
      <c r="BZ177" s="57">
        <v>1.0</v>
      </c>
      <c r="CA177" s="57">
        <v>0.0</v>
      </c>
      <c r="CB177" s="57">
        <v>0.0</v>
      </c>
      <c r="CC177" s="57">
        <v>0.0</v>
      </c>
      <c r="CD177" s="57">
        <v>0.0</v>
      </c>
      <c r="CE177" s="57">
        <v>0.0</v>
      </c>
      <c r="CF177" s="57">
        <v>0.0</v>
      </c>
      <c r="CG177" s="57">
        <v>0.0</v>
      </c>
      <c r="CH177" s="57">
        <v>0.0</v>
      </c>
      <c r="CI177" s="57">
        <v>20.0</v>
      </c>
      <c r="CJ177" s="53">
        <f t="shared" si="254"/>
        <v>1440</v>
      </c>
      <c r="CK177" s="53">
        <f t="shared" si="206"/>
        <v>3</v>
      </c>
      <c r="CL177" s="44" t="b">
        <f t="shared" si="207"/>
        <v>0</v>
      </c>
      <c r="CM177" s="44" t="str">
        <f t="shared" si="208"/>
        <v>Nivel de actividad física moderado</v>
      </c>
      <c r="CN177" s="45" t="str">
        <f t="shared" si="209"/>
        <v>Nivel de actividad física moderado</v>
      </c>
      <c r="CO177" s="57">
        <v>22.0</v>
      </c>
      <c r="CP177" s="57">
        <v>120.0</v>
      </c>
      <c r="CQ177" s="44">
        <f>IF(CP177&gt;60,3,IF(CP177&gt;30,2,IF(CP177&gt;15,1,0)))</f>
        <v>3</v>
      </c>
      <c r="CR177" s="57">
        <v>7.0</v>
      </c>
      <c r="CS177" s="57">
        <v>0.0</v>
      </c>
      <c r="CT177" s="57">
        <v>9.0</v>
      </c>
      <c r="CU177" s="57">
        <v>7.0</v>
      </c>
      <c r="CV177" s="57">
        <v>3.0</v>
      </c>
      <c r="CW177" s="57">
        <v>3.0</v>
      </c>
      <c r="CX177" s="57">
        <v>3.0</v>
      </c>
      <c r="CY177" s="57">
        <v>0.0</v>
      </c>
      <c r="CZ177" s="57">
        <v>0.0</v>
      </c>
      <c r="DA177" s="57">
        <v>0.0</v>
      </c>
      <c r="DB177" s="57">
        <v>0.0</v>
      </c>
      <c r="DC177" s="57">
        <v>0.0</v>
      </c>
      <c r="DD177" s="57">
        <v>0.0</v>
      </c>
      <c r="DE177" s="57">
        <v>0.0</v>
      </c>
      <c r="DF177" s="36" t="s">
        <v>133</v>
      </c>
      <c r="DG177" s="53">
        <f t="shared" si="55"/>
        <v>6</v>
      </c>
      <c r="DH177" s="57">
        <v>1.0</v>
      </c>
      <c r="DI177" s="57">
        <v>3.0</v>
      </c>
      <c r="DJ177" s="57">
        <v>2.0</v>
      </c>
      <c r="DK177" s="57">
        <v>0.0</v>
      </c>
      <c r="DL177" s="68">
        <f t="shared" si="237"/>
        <v>77.77777778</v>
      </c>
      <c r="DM177" s="53">
        <f t="shared" si="238"/>
        <v>0</v>
      </c>
      <c r="DN177" s="53">
        <f t="shared" si="239"/>
        <v>1</v>
      </c>
      <c r="DO177" s="53">
        <f t="shared" si="240"/>
        <v>3</v>
      </c>
      <c r="DP177" s="53">
        <f t="shared" si="241"/>
        <v>1</v>
      </c>
      <c r="DQ177" s="53">
        <f t="shared" si="242"/>
        <v>1</v>
      </c>
      <c r="DR177" s="53">
        <f t="shared" ref="DR177:DS177" si="275">(DH177)</f>
        <v>1</v>
      </c>
      <c r="DS177" s="53">
        <f t="shared" si="275"/>
        <v>3</v>
      </c>
      <c r="DT177" s="53">
        <f t="shared" si="41"/>
        <v>10</v>
      </c>
      <c r="DU177" s="53" t="str">
        <f t="shared" si="244"/>
        <v>poor sleep quality</v>
      </c>
      <c r="DV177" s="57">
        <v>3.0</v>
      </c>
      <c r="DW177" s="57" t="s">
        <v>591</v>
      </c>
      <c r="DX177" s="57" t="s">
        <v>146</v>
      </c>
      <c r="DY177" s="57">
        <v>1.0</v>
      </c>
      <c r="DZ177" s="57" t="s">
        <v>131</v>
      </c>
      <c r="EA177" s="57" t="s">
        <v>334</v>
      </c>
      <c r="EB177" s="57" t="s">
        <v>139</v>
      </c>
      <c r="EC177" s="36" t="s">
        <v>133</v>
      </c>
      <c r="ED177" s="57" t="s">
        <v>131</v>
      </c>
      <c r="EE177" s="57" t="s">
        <v>466</v>
      </c>
      <c r="EF177" s="35">
        <f t="shared" si="272"/>
        <v>1286</v>
      </c>
      <c r="EG177" s="36" t="s">
        <v>133</v>
      </c>
      <c r="EH177" s="47">
        <f t="shared" si="24"/>
        <v>30.7809074</v>
      </c>
    </row>
    <row r="178" ht="15.75" customHeight="1">
      <c r="A178" s="35" t="s">
        <v>592</v>
      </c>
      <c r="B178" s="57" t="s">
        <v>129</v>
      </c>
      <c r="C178" s="37">
        <v>45535.0</v>
      </c>
      <c r="D178" s="64">
        <v>49.0</v>
      </c>
      <c r="E178" s="57" t="s">
        <v>153</v>
      </c>
      <c r="F178" s="57">
        <v>174.0</v>
      </c>
      <c r="G178" s="57">
        <v>77.0</v>
      </c>
      <c r="H178" s="59" t="s">
        <v>131</v>
      </c>
      <c r="I178" s="57">
        <v>3.0</v>
      </c>
      <c r="J178" s="55" t="s">
        <v>133</v>
      </c>
      <c r="K178" s="57" t="s">
        <v>131</v>
      </c>
      <c r="L178" s="57">
        <v>1.0</v>
      </c>
      <c r="M178" s="55">
        <v>44378.0</v>
      </c>
      <c r="N178" s="57" t="s">
        <v>131</v>
      </c>
      <c r="O178" s="55" t="s">
        <v>133</v>
      </c>
      <c r="P178" s="57" t="s">
        <v>132</v>
      </c>
      <c r="Q178" s="36" t="s">
        <v>133</v>
      </c>
      <c r="R178" s="36" t="s">
        <v>133</v>
      </c>
      <c r="S178" s="36" t="s">
        <v>133</v>
      </c>
      <c r="T178" s="36" t="s">
        <v>133</v>
      </c>
      <c r="U178" s="36" t="s">
        <v>133</v>
      </c>
      <c r="V178" s="36" t="str">
        <f t="shared" si="178"/>
        <v>Paciente ambulatorio</v>
      </c>
      <c r="W178" s="57" t="s">
        <v>143</v>
      </c>
      <c r="X178" s="57" t="s">
        <v>132</v>
      </c>
      <c r="Y178" s="57">
        <v>3.0</v>
      </c>
      <c r="Z178" s="57">
        <v>3.0</v>
      </c>
      <c r="AA178" s="57">
        <v>3.0</v>
      </c>
      <c r="AB178" s="57">
        <v>3.0</v>
      </c>
      <c r="AC178" s="57">
        <v>3.0</v>
      </c>
      <c r="AD178" s="57">
        <v>3.0</v>
      </c>
      <c r="AE178" s="57">
        <v>3.0</v>
      </c>
      <c r="AF178" s="57">
        <v>3.0</v>
      </c>
      <c r="AG178" s="57">
        <v>3.0</v>
      </c>
      <c r="AH178" s="57">
        <v>3.0</v>
      </c>
      <c r="AI178" s="57">
        <v>3.0</v>
      </c>
      <c r="AJ178" s="57">
        <v>3.0</v>
      </c>
      <c r="AK178" s="36" t="s">
        <v>133</v>
      </c>
      <c r="AL178" s="57" t="s">
        <v>131</v>
      </c>
      <c r="AM178" s="57" t="s">
        <v>132</v>
      </c>
      <c r="AN178" s="57" t="s">
        <v>132</v>
      </c>
      <c r="AO178" s="57" t="s">
        <v>132</v>
      </c>
      <c r="AP178" s="57" t="s">
        <v>132</v>
      </c>
      <c r="AQ178" s="57" t="s">
        <v>132</v>
      </c>
      <c r="AR178" s="57" t="s">
        <v>132</v>
      </c>
      <c r="AS178" s="57" t="s">
        <v>131</v>
      </c>
      <c r="AT178" s="57" t="s">
        <v>132</v>
      </c>
      <c r="AU178" s="57" t="s">
        <v>132</v>
      </c>
      <c r="AV178" s="57" t="s">
        <v>132</v>
      </c>
      <c r="AW178" s="36" t="s">
        <v>133</v>
      </c>
      <c r="AX178" s="57" t="s">
        <v>132</v>
      </c>
      <c r="AY178" s="36" t="s">
        <v>133</v>
      </c>
      <c r="AZ178" s="36" t="s">
        <v>133</v>
      </c>
      <c r="BA178" s="36" t="s">
        <v>133</v>
      </c>
      <c r="BB178" s="57" t="s">
        <v>145</v>
      </c>
      <c r="BC178" s="36" t="s">
        <v>133</v>
      </c>
      <c r="BD178" s="59">
        <v>1.0</v>
      </c>
      <c r="BE178" s="57">
        <v>1.0</v>
      </c>
      <c r="BF178" s="57">
        <v>1.0</v>
      </c>
      <c r="BG178" s="57">
        <v>1.0</v>
      </c>
      <c r="BH178" s="57">
        <v>1.0</v>
      </c>
      <c r="BI178" s="44" t="str">
        <f t="shared" si="205"/>
        <v>11111</v>
      </c>
      <c r="BJ178" s="57">
        <v>80.0</v>
      </c>
      <c r="BK178" s="57">
        <v>2.0</v>
      </c>
      <c r="BL178" s="57">
        <v>2.0</v>
      </c>
      <c r="BM178" s="57">
        <v>2.0</v>
      </c>
      <c r="BN178" s="57">
        <v>4.0</v>
      </c>
      <c r="BO178" s="57">
        <v>2.0</v>
      </c>
      <c r="BP178" s="57">
        <v>2.0</v>
      </c>
      <c r="BQ178" s="57">
        <v>1.0</v>
      </c>
      <c r="BR178" s="57">
        <v>2.0</v>
      </c>
      <c r="BS178" s="57">
        <v>2.0</v>
      </c>
      <c r="BT178" s="57">
        <v>5.0</v>
      </c>
      <c r="BU178" s="53">
        <f t="shared" ref="BU178:BU182" si="277">IF(BN178=1,5,IF(BN178=2,4,IF(BN178=3,3,IF(BN178=4,2,IF(BN178=5,1)))))</f>
        <v>2</v>
      </c>
      <c r="BV178" s="53">
        <f t="shared" ref="BV178:BV182" si="278">IF(BT178=1,5,IF(BT178=2,4,IF(BT178=3,3,IF(BT178=4,2,IF(BT178=5,1)))))</f>
        <v>1</v>
      </c>
      <c r="BW178" s="53">
        <f t="shared" si="183"/>
        <v>21</v>
      </c>
      <c r="BX178" s="53" t="str">
        <f t="shared" ref="BX178:BX182" si="279">IF(BW178&lt;22,"NO HAY FATIGA",IF(BW178&lt;35,"FATIGA","FATIGA EXTREMA"))</f>
        <v>NO HAY FATIGA</v>
      </c>
      <c r="BY178" s="57">
        <v>0.0</v>
      </c>
      <c r="BZ178" s="57">
        <v>0.0</v>
      </c>
      <c r="CA178" s="57">
        <v>0.0</v>
      </c>
      <c r="CB178" s="57">
        <v>0.0</v>
      </c>
      <c r="CC178" s="57">
        <v>0.0</v>
      </c>
      <c r="CD178" s="57">
        <v>0.0</v>
      </c>
      <c r="CE178" s="57">
        <v>4.0</v>
      </c>
      <c r="CF178" s="57">
        <v>0.0</v>
      </c>
      <c r="CG178" s="57">
        <v>25.0</v>
      </c>
      <c r="CH178" s="57">
        <v>5.0</v>
      </c>
      <c r="CI178" s="57">
        <v>0.0</v>
      </c>
      <c r="CJ178" s="53">
        <f t="shared" si="254"/>
        <v>330</v>
      </c>
      <c r="CK178" s="53">
        <f t="shared" si="206"/>
        <v>4</v>
      </c>
      <c r="CL178" s="44" t="b">
        <f t="shared" si="207"/>
        <v>0</v>
      </c>
      <c r="CM178" s="44" t="b">
        <f t="shared" si="208"/>
        <v>0</v>
      </c>
      <c r="CN178" s="45" t="str">
        <f t="shared" si="209"/>
        <v>Nivel de actividad física bajo</v>
      </c>
      <c r="CO178" s="57">
        <v>23.0</v>
      </c>
      <c r="CP178" s="57">
        <v>60.0</v>
      </c>
      <c r="CQ178" s="53">
        <f t="shared" ref="CQ178:CQ181" si="280">IF(CP178&gt;60,3,IF(CP178&gt;30,2,IF(CP178&gt;15,1,0)))</f>
        <v>2</v>
      </c>
      <c r="CR178" s="57">
        <v>7.0</v>
      </c>
      <c r="CS178" s="57">
        <v>0.0</v>
      </c>
      <c r="CT178" s="57">
        <v>8.0</v>
      </c>
      <c r="CU178" s="57">
        <v>5.0</v>
      </c>
      <c r="CV178" s="57">
        <v>3.0</v>
      </c>
      <c r="CW178" s="57">
        <v>3.0</v>
      </c>
      <c r="CX178" s="57">
        <v>3.0</v>
      </c>
      <c r="CY178" s="57">
        <v>0.0</v>
      </c>
      <c r="CZ178" s="57">
        <v>0.0</v>
      </c>
      <c r="DA178" s="57">
        <v>0.0</v>
      </c>
      <c r="DB178" s="57">
        <v>0.0</v>
      </c>
      <c r="DC178" s="57">
        <v>1.0</v>
      </c>
      <c r="DD178" s="57">
        <v>0.0</v>
      </c>
      <c r="DE178" s="57">
        <v>2.0</v>
      </c>
      <c r="DF178" s="57" t="s">
        <v>593</v>
      </c>
      <c r="DG178" s="53">
        <f t="shared" si="55"/>
        <v>9</v>
      </c>
      <c r="DH178" s="57">
        <v>3.0</v>
      </c>
      <c r="DI178" s="57">
        <v>3.0</v>
      </c>
      <c r="DJ178" s="57">
        <v>0.0</v>
      </c>
      <c r="DK178" s="57">
        <v>2.0</v>
      </c>
      <c r="DL178" s="68">
        <f t="shared" si="237"/>
        <v>62.5</v>
      </c>
      <c r="DM178" s="53">
        <f t="shared" si="238"/>
        <v>2</v>
      </c>
      <c r="DN178" s="53">
        <f t="shared" si="239"/>
        <v>1</v>
      </c>
      <c r="DO178" s="53">
        <f t="shared" si="240"/>
        <v>3</v>
      </c>
      <c r="DP178" s="53">
        <f t="shared" si="241"/>
        <v>1</v>
      </c>
      <c r="DQ178" s="53">
        <f t="shared" si="242"/>
        <v>3</v>
      </c>
      <c r="DR178" s="53">
        <f t="shared" ref="DR178:DS178" si="276">(DH178)</f>
        <v>3</v>
      </c>
      <c r="DS178" s="53">
        <f t="shared" si="276"/>
        <v>3</v>
      </c>
      <c r="DT178" s="53">
        <f t="shared" si="41"/>
        <v>16</v>
      </c>
      <c r="DU178" s="53" t="str">
        <f t="shared" si="244"/>
        <v>poor sleep quality</v>
      </c>
      <c r="DV178" s="57">
        <v>1.0</v>
      </c>
      <c r="DW178" s="57" t="s">
        <v>594</v>
      </c>
      <c r="DX178" s="57" t="s">
        <v>213</v>
      </c>
      <c r="DY178" s="57">
        <v>1.0</v>
      </c>
      <c r="DZ178" s="57" t="s">
        <v>131</v>
      </c>
      <c r="EA178" s="57" t="s">
        <v>147</v>
      </c>
      <c r="EB178" s="57" t="s">
        <v>139</v>
      </c>
      <c r="EC178" s="36" t="s">
        <v>133</v>
      </c>
      <c r="ED178" s="36" t="s">
        <v>133</v>
      </c>
      <c r="EE178" s="57" t="s">
        <v>141</v>
      </c>
      <c r="EF178" s="35">
        <f t="shared" si="272"/>
        <v>1157</v>
      </c>
      <c r="EG178" s="36" t="s">
        <v>133</v>
      </c>
      <c r="EH178" s="47">
        <f t="shared" si="24"/>
        <v>25.43268596</v>
      </c>
    </row>
    <row r="179" ht="15.75" customHeight="1">
      <c r="A179" s="35" t="s">
        <v>595</v>
      </c>
      <c r="B179" s="57" t="s">
        <v>129</v>
      </c>
      <c r="C179" s="63">
        <v>45563.0</v>
      </c>
      <c r="D179" s="64">
        <v>54.0</v>
      </c>
      <c r="E179" s="50" t="s">
        <v>130</v>
      </c>
      <c r="F179" s="50">
        <v>163.0</v>
      </c>
      <c r="G179" s="81">
        <v>100.0</v>
      </c>
      <c r="H179" s="79" t="s">
        <v>131</v>
      </c>
      <c r="I179" s="50">
        <v>6.0</v>
      </c>
      <c r="J179" s="76">
        <v>45261.0</v>
      </c>
      <c r="K179" s="50" t="s">
        <v>131</v>
      </c>
      <c r="L179" s="50">
        <v>1.0</v>
      </c>
      <c r="M179" s="76">
        <v>45323.0</v>
      </c>
      <c r="N179" s="50" t="s">
        <v>131</v>
      </c>
      <c r="O179" s="55" t="s">
        <v>133</v>
      </c>
      <c r="P179" s="50" t="s">
        <v>132</v>
      </c>
      <c r="Q179" s="36" t="s">
        <v>133</v>
      </c>
      <c r="R179" s="36" t="s">
        <v>133</v>
      </c>
      <c r="S179" s="36" t="s">
        <v>133</v>
      </c>
      <c r="T179" s="36" t="s">
        <v>133</v>
      </c>
      <c r="U179" s="36" t="s">
        <v>133</v>
      </c>
      <c r="V179" s="36" t="str">
        <f t="shared" si="178"/>
        <v>Paciente ambulatorio</v>
      </c>
      <c r="W179" s="50" t="s">
        <v>143</v>
      </c>
      <c r="X179" s="50" t="s">
        <v>132</v>
      </c>
      <c r="Y179" s="50">
        <v>3.0</v>
      </c>
      <c r="Z179" s="50">
        <v>3.0</v>
      </c>
      <c r="AA179" s="50">
        <v>3.0</v>
      </c>
      <c r="AB179" s="50">
        <v>3.0</v>
      </c>
      <c r="AC179" s="50">
        <v>3.0</v>
      </c>
      <c r="AD179" s="50">
        <v>2.0</v>
      </c>
      <c r="AE179" s="50">
        <v>3.0</v>
      </c>
      <c r="AF179" s="50">
        <v>3.0</v>
      </c>
      <c r="AG179" s="50">
        <v>3.0</v>
      </c>
      <c r="AH179" s="50">
        <v>3.0</v>
      </c>
      <c r="AI179" s="50">
        <v>3.0</v>
      </c>
      <c r="AJ179" s="50">
        <v>3.0</v>
      </c>
      <c r="AK179" s="36" t="s">
        <v>133</v>
      </c>
      <c r="AL179" s="75" t="s">
        <v>132</v>
      </c>
      <c r="AM179" s="50" t="s">
        <v>132</v>
      </c>
      <c r="AN179" s="50" t="s">
        <v>132</v>
      </c>
      <c r="AO179" s="50" t="s">
        <v>132</v>
      </c>
      <c r="AP179" s="50" t="s">
        <v>132</v>
      </c>
      <c r="AQ179" s="50" t="s">
        <v>132</v>
      </c>
      <c r="AR179" s="50" t="s">
        <v>132</v>
      </c>
      <c r="AS179" s="50" t="s">
        <v>132</v>
      </c>
      <c r="AT179" s="50" t="s">
        <v>132</v>
      </c>
      <c r="AU179" s="50" t="s">
        <v>132</v>
      </c>
      <c r="AV179" s="50" t="s">
        <v>132</v>
      </c>
      <c r="AW179" s="36" t="s">
        <v>133</v>
      </c>
      <c r="AX179" s="50" t="s">
        <v>132</v>
      </c>
      <c r="AY179" s="36" t="s">
        <v>133</v>
      </c>
      <c r="AZ179" s="36" t="s">
        <v>133</v>
      </c>
      <c r="BA179" s="36" t="s">
        <v>133</v>
      </c>
      <c r="BB179" s="50" t="s">
        <v>145</v>
      </c>
      <c r="BC179" s="36" t="s">
        <v>133</v>
      </c>
      <c r="BD179" s="79">
        <v>2.0</v>
      </c>
      <c r="BE179" s="50">
        <v>1.0</v>
      </c>
      <c r="BF179" s="50">
        <v>1.0</v>
      </c>
      <c r="BG179" s="50">
        <v>2.0</v>
      </c>
      <c r="BH179" s="50">
        <v>2.0</v>
      </c>
      <c r="BI179" s="44" t="str">
        <f t="shared" si="205"/>
        <v>21122</v>
      </c>
      <c r="BJ179" s="50">
        <v>80.0</v>
      </c>
      <c r="BK179" s="50">
        <v>2.0</v>
      </c>
      <c r="BL179" s="50">
        <v>2.0</v>
      </c>
      <c r="BM179" s="50">
        <v>3.0</v>
      </c>
      <c r="BN179" s="50">
        <v>2.0</v>
      </c>
      <c r="BO179" s="50">
        <v>2.0</v>
      </c>
      <c r="BP179" s="50">
        <v>2.0</v>
      </c>
      <c r="BQ179" s="50">
        <v>2.0</v>
      </c>
      <c r="BR179" s="50">
        <v>2.0</v>
      </c>
      <c r="BS179" s="50">
        <v>2.0</v>
      </c>
      <c r="BT179" s="50">
        <v>2.0</v>
      </c>
      <c r="BU179" s="53">
        <f t="shared" si="277"/>
        <v>4</v>
      </c>
      <c r="BV179" s="53">
        <f t="shared" si="278"/>
        <v>4</v>
      </c>
      <c r="BW179" s="53">
        <f t="shared" si="183"/>
        <v>23</v>
      </c>
      <c r="BX179" s="53" t="str">
        <f t="shared" si="279"/>
        <v>FATIGA</v>
      </c>
      <c r="BY179" s="36">
        <v>2.0</v>
      </c>
      <c r="BZ179" s="50">
        <v>1.0</v>
      </c>
      <c r="CA179" s="50">
        <v>0.0</v>
      </c>
      <c r="CB179" s="50">
        <v>0.0</v>
      </c>
      <c r="CC179" s="50">
        <v>0.0</v>
      </c>
      <c r="CD179" s="50">
        <v>0.0</v>
      </c>
      <c r="CE179" s="50">
        <v>6.0</v>
      </c>
      <c r="CF179" s="50">
        <v>1.0</v>
      </c>
      <c r="CG179" s="50">
        <v>0.0</v>
      </c>
      <c r="CH179" s="50">
        <v>12.0</v>
      </c>
      <c r="CI179" s="50">
        <v>0.0</v>
      </c>
      <c r="CJ179" s="53">
        <f t="shared" si="254"/>
        <v>2148</v>
      </c>
      <c r="CK179" s="53">
        <f t="shared" si="206"/>
        <v>8</v>
      </c>
      <c r="CL179" s="44" t="b">
        <f t="shared" si="207"/>
        <v>0</v>
      </c>
      <c r="CM179" s="44" t="str">
        <f t="shared" si="208"/>
        <v>Nivel de actividad física moderado</v>
      </c>
      <c r="CN179" s="45" t="str">
        <f t="shared" si="209"/>
        <v>Nivel de actividad física moderado</v>
      </c>
      <c r="CO179" s="50">
        <v>23.0</v>
      </c>
      <c r="CP179" s="50">
        <v>60.0</v>
      </c>
      <c r="CQ179" s="53">
        <f t="shared" si="280"/>
        <v>2</v>
      </c>
      <c r="CR179" s="50">
        <v>6.0</v>
      </c>
      <c r="CS179" s="50">
        <v>45.0</v>
      </c>
      <c r="CT179" s="50">
        <v>8.5</v>
      </c>
      <c r="CU179" s="50">
        <v>6.0</v>
      </c>
      <c r="CV179" s="50">
        <v>3.0</v>
      </c>
      <c r="CW179" s="50">
        <v>3.0</v>
      </c>
      <c r="CX179" s="50">
        <v>3.0</v>
      </c>
      <c r="CY179" s="50">
        <v>0.0</v>
      </c>
      <c r="CZ179" s="50">
        <v>0.0</v>
      </c>
      <c r="DA179" s="50">
        <v>1.0</v>
      </c>
      <c r="DB179" s="50">
        <v>0.0</v>
      </c>
      <c r="DC179" s="50">
        <v>1.0</v>
      </c>
      <c r="DD179" s="50">
        <v>1.0</v>
      </c>
      <c r="DE179" s="50">
        <v>2.0</v>
      </c>
      <c r="DF179" s="36" t="s">
        <v>133</v>
      </c>
      <c r="DG179" s="53">
        <f t="shared" si="55"/>
        <v>11</v>
      </c>
      <c r="DH179" s="50">
        <v>2.0</v>
      </c>
      <c r="DI179" s="50">
        <v>0.0</v>
      </c>
      <c r="DJ179" s="50">
        <v>1.0</v>
      </c>
      <c r="DK179" s="50">
        <v>1.0</v>
      </c>
      <c r="DL179" s="68">
        <f t="shared" si="237"/>
        <v>70.58823529</v>
      </c>
      <c r="DM179" s="53">
        <f t="shared" si="238"/>
        <v>1</v>
      </c>
      <c r="DN179" s="53">
        <f t="shared" si="239"/>
        <v>2</v>
      </c>
      <c r="DO179" s="53">
        <f t="shared" si="240"/>
        <v>3</v>
      </c>
      <c r="DP179" s="53">
        <f t="shared" si="241"/>
        <v>1</v>
      </c>
      <c r="DQ179" s="53">
        <f t="shared" si="242"/>
        <v>2</v>
      </c>
      <c r="DR179" s="53">
        <f t="shared" ref="DR179:DS179" si="281">(DH179)</f>
        <v>2</v>
      </c>
      <c r="DS179" s="53">
        <f t="shared" si="281"/>
        <v>0</v>
      </c>
      <c r="DT179" s="53">
        <f t="shared" si="41"/>
        <v>11</v>
      </c>
      <c r="DU179" s="53" t="str">
        <f t="shared" si="244"/>
        <v>poor sleep quality</v>
      </c>
      <c r="DV179" s="50">
        <v>3.0</v>
      </c>
      <c r="DW179" s="50" t="s">
        <v>596</v>
      </c>
      <c r="DX179" s="50" t="s">
        <v>146</v>
      </c>
      <c r="DY179" s="50">
        <v>2.0</v>
      </c>
      <c r="DZ179" s="50" t="s">
        <v>131</v>
      </c>
      <c r="EA179" s="50" t="s">
        <v>178</v>
      </c>
      <c r="EB179" s="50" t="s">
        <v>172</v>
      </c>
      <c r="EC179" s="50" t="s">
        <v>140</v>
      </c>
      <c r="ED179" s="50" t="s">
        <v>131</v>
      </c>
      <c r="EE179" s="50" t="s">
        <v>141</v>
      </c>
      <c r="EF179" s="35">
        <f t="shared" si="272"/>
        <v>240</v>
      </c>
      <c r="EG179" s="36" t="s">
        <v>133</v>
      </c>
      <c r="EH179" s="47">
        <f t="shared" si="24"/>
        <v>37.63784862</v>
      </c>
    </row>
    <row r="180" ht="15.75" customHeight="1">
      <c r="A180" s="35" t="s">
        <v>597</v>
      </c>
      <c r="B180" s="57" t="s">
        <v>129</v>
      </c>
      <c r="C180" s="37">
        <v>45556.0</v>
      </c>
      <c r="D180" s="87">
        <v>47.0</v>
      </c>
      <c r="E180" s="50" t="s">
        <v>130</v>
      </c>
      <c r="F180" s="50">
        <v>177.0</v>
      </c>
      <c r="G180" s="81">
        <v>66.0</v>
      </c>
      <c r="H180" s="36" t="s">
        <v>131</v>
      </c>
      <c r="I180" s="50">
        <v>8.0</v>
      </c>
      <c r="J180" s="55">
        <v>44927.0</v>
      </c>
      <c r="K180" s="50" t="s">
        <v>132</v>
      </c>
      <c r="L180" s="50">
        <v>0.0</v>
      </c>
      <c r="M180" s="55" t="s">
        <v>133</v>
      </c>
      <c r="N180" s="57" t="s">
        <v>133</v>
      </c>
      <c r="O180" s="55" t="s">
        <v>133</v>
      </c>
      <c r="P180" s="82" t="s">
        <v>132</v>
      </c>
      <c r="Q180" s="36" t="s">
        <v>133</v>
      </c>
      <c r="R180" s="36" t="s">
        <v>133</v>
      </c>
      <c r="S180" s="36" t="s">
        <v>133</v>
      </c>
      <c r="T180" s="36" t="s">
        <v>133</v>
      </c>
      <c r="U180" s="36" t="s">
        <v>133</v>
      </c>
      <c r="V180" s="36" t="str">
        <f t="shared" si="178"/>
        <v>No infectado</v>
      </c>
      <c r="W180" s="57" t="s">
        <v>133</v>
      </c>
      <c r="X180" s="57" t="s">
        <v>133</v>
      </c>
      <c r="Y180" s="57" t="s">
        <v>133</v>
      </c>
      <c r="Z180" s="57" t="s">
        <v>133</v>
      </c>
      <c r="AA180" s="57" t="s">
        <v>133</v>
      </c>
      <c r="AB180" s="57" t="s">
        <v>133</v>
      </c>
      <c r="AC180" s="57" t="s">
        <v>133</v>
      </c>
      <c r="AD180" s="57" t="s">
        <v>133</v>
      </c>
      <c r="AE180" s="57" t="s">
        <v>133</v>
      </c>
      <c r="AF180" s="57" t="s">
        <v>133</v>
      </c>
      <c r="AG180" s="57" t="s">
        <v>133</v>
      </c>
      <c r="AH180" s="57" t="s">
        <v>133</v>
      </c>
      <c r="AI180" s="57" t="s">
        <v>133</v>
      </c>
      <c r="AJ180" s="57" t="s">
        <v>133</v>
      </c>
      <c r="AK180" s="57" t="s">
        <v>133</v>
      </c>
      <c r="AL180" s="75" t="s">
        <v>132</v>
      </c>
      <c r="AM180" s="36" t="s">
        <v>132</v>
      </c>
      <c r="AN180" s="36" t="s">
        <v>132</v>
      </c>
      <c r="AO180" s="36" t="s">
        <v>132</v>
      </c>
      <c r="AP180" s="36" t="s">
        <v>132</v>
      </c>
      <c r="AQ180" s="36" t="s">
        <v>132</v>
      </c>
      <c r="AR180" s="36" t="s">
        <v>132</v>
      </c>
      <c r="AS180" s="36" t="s">
        <v>132</v>
      </c>
      <c r="AT180" s="36" t="s">
        <v>132</v>
      </c>
      <c r="AU180" s="36" t="s">
        <v>132</v>
      </c>
      <c r="AV180" s="36" t="s">
        <v>132</v>
      </c>
      <c r="AW180" s="36" t="s">
        <v>133</v>
      </c>
      <c r="AX180" s="36" t="s">
        <v>131</v>
      </c>
      <c r="AY180" s="50">
        <v>12.0</v>
      </c>
      <c r="AZ180" s="36" t="s">
        <v>133</v>
      </c>
      <c r="BA180" s="36" t="s">
        <v>133</v>
      </c>
      <c r="BB180" s="36" t="s">
        <v>145</v>
      </c>
      <c r="BC180" s="36" t="s">
        <v>133</v>
      </c>
      <c r="BD180" s="36">
        <v>1.0</v>
      </c>
      <c r="BE180" s="36">
        <v>1.0</v>
      </c>
      <c r="BF180" s="50">
        <v>1.0</v>
      </c>
      <c r="BG180" s="50">
        <v>2.0</v>
      </c>
      <c r="BH180" s="50">
        <v>1.0</v>
      </c>
      <c r="BI180" s="44" t="str">
        <f t="shared" si="205"/>
        <v>11121</v>
      </c>
      <c r="BJ180" s="50">
        <v>80.0</v>
      </c>
      <c r="BK180" s="50">
        <v>2.0</v>
      </c>
      <c r="BL180" s="50">
        <v>1.0</v>
      </c>
      <c r="BM180" s="50">
        <v>2.0</v>
      </c>
      <c r="BN180" s="50">
        <v>5.0</v>
      </c>
      <c r="BO180" s="50">
        <v>2.0</v>
      </c>
      <c r="BP180" s="50">
        <v>1.0</v>
      </c>
      <c r="BQ180" s="50">
        <v>1.0</v>
      </c>
      <c r="BR180" s="50">
        <v>1.0</v>
      </c>
      <c r="BS180" s="50">
        <v>2.0</v>
      </c>
      <c r="BT180" s="50">
        <v>1.0</v>
      </c>
      <c r="BU180" s="53">
        <f t="shared" si="277"/>
        <v>1</v>
      </c>
      <c r="BV180" s="53">
        <f t="shared" si="278"/>
        <v>5</v>
      </c>
      <c r="BW180" s="53">
        <f t="shared" si="183"/>
        <v>18</v>
      </c>
      <c r="BX180" s="53" t="str">
        <f t="shared" si="279"/>
        <v>NO HAY FATIGA</v>
      </c>
      <c r="BY180" s="36">
        <v>0.0</v>
      </c>
      <c r="BZ180" s="36">
        <v>0.0</v>
      </c>
      <c r="CA180" s="36">
        <v>0.0</v>
      </c>
      <c r="CB180" s="50">
        <v>2.0</v>
      </c>
      <c r="CC180" s="50">
        <v>3.0</v>
      </c>
      <c r="CD180" s="36">
        <v>0.0</v>
      </c>
      <c r="CE180" s="50">
        <v>4.0</v>
      </c>
      <c r="CF180" s="36">
        <v>0.0</v>
      </c>
      <c r="CG180" s="50">
        <v>12.0</v>
      </c>
      <c r="CH180" s="50">
        <v>4.0</v>
      </c>
      <c r="CI180" s="36">
        <v>0.0</v>
      </c>
      <c r="CJ180" s="53">
        <f t="shared" si="254"/>
        <v>1598.4</v>
      </c>
      <c r="CK180" s="53">
        <f t="shared" si="206"/>
        <v>6</v>
      </c>
      <c r="CL180" s="44" t="b">
        <f t="shared" si="207"/>
        <v>0</v>
      </c>
      <c r="CM180" s="44" t="str">
        <f t="shared" si="208"/>
        <v>Nivel de actividad física moderado</v>
      </c>
      <c r="CN180" s="45" t="str">
        <f t="shared" si="209"/>
        <v>Nivel de actividad física moderado</v>
      </c>
      <c r="CO180" s="50">
        <v>23.0</v>
      </c>
      <c r="CP180" s="50">
        <v>30.0</v>
      </c>
      <c r="CQ180" s="53">
        <f t="shared" si="280"/>
        <v>1</v>
      </c>
      <c r="CR180" s="82">
        <v>7.0</v>
      </c>
      <c r="CS180" s="82">
        <v>0.0</v>
      </c>
      <c r="CT180" s="50">
        <v>8.0</v>
      </c>
      <c r="CU180" s="50">
        <v>8.0</v>
      </c>
      <c r="CV180" s="82">
        <v>0.0</v>
      </c>
      <c r="CW180" s="82">
        <v>0.0</v>
      </c>
      <c r="CX180" s="82">
        <v>0.0</v>
      </c>
      <c r="CY180" s="50">
        <v>0.0</v>
      </c>
      <c r="CZ180" s="50">
        <v>0.0</v>
      </c>
      <c r="DA180" s="82">
        <v>0.0</v>
      </c>
      <c r="DB180" s="82">
        <v>0.0</v>
      </c>
      <c r="DC180" s="82">
        <v>0.0</v>
      </c>
      <c r="DD180" s="82">
        <v>0.0</v>
      </c>
      <c r="DE180" s="50">
        <v>0.0</v>
      </c>
      <c r="DF180" s="36" t="s">
        <v>133</v>
      </c>
      <c r="DG180" s="53">
        <f t="shared" si="55"/>
        <v>0</v>
      </c>
      <c r="DH180" s="82">
        <v>1.0</v>
      </c>
      <c r="DI180" s="82">
        <v>0.0</v>
      </c>
      <c r="DJ180" s="50">
        <v>3.0</v>
      </c>
      <c r="DK180" s="50">
        <v>1.0</v>
      </c>
      <c r="DL180" s="68">
        <f t="shared" si="237"/>
        <v>100</v>
      </c>
      <c r="DM180" s="53">
        <f t="shared" si="238"/>
        <v>0</v>
      </c>
      <c r="DN180" s="53">
        <f t="shared" si="239"/>
        <v>0</v>
      </c>
      <c r="DO180" s="53">
        <f t="shared" si="240"/>
        <v>1</v>
      </c>
      <c r="DP180" s="53">
        <f t="shared" si="241"/>
        <v>2</v>
      </c>
      <c r="DQ180" s="53">
        <f t="shared" si="242"/>
        <v>0</v>
      </c>
      <c r="DR180" s="53">
        <f t="shared" ref="DR180:DS180" si="282">(DH180)</f>
        <v>1</v>
      </c>
      <c r="DS180" s="53">
        <f t="shared" si="282"/>
        <v>0</v>
      </c>
      <c r="DT180" s="53">
        <f t="shared" si="41"/>
        <v>4</v>
      </c>
      <c r="DU180" s="53" t="str">
        <f t="shared" si="244"/>
        <v>good sleep quality</v>
      </c>
      <c r="DV180" s="50">
        <v>2.0</v>
      </c>
      <c r="DW180" s="57" t="s">
        <v>581</v>
      </c>
      <c r="DX180" s="50" t="s">
        <v>137</v>
      </c>
      <c r="DY180" s="36">
        <v>1.0</v>
      </c>
      <c r="DZ180" s="36" t="s">
        <v>131</v>
      </c>
      <c r="EA180" s="50" t="s">
        <v>167</v>
      </c>
      <c r="EB180" s="36" t="s">
        <v>139</v>
      </c>
      <c r="EC180" s="36" t="s">
        <v>133</v>
      </c>
      <c r="ED180" s="57" t="s">
        <v>131</v>
      </c>
      <c r="EE180" s="50" t="s">
        <v>141</v>
      </c>
      <c r="EF180" s="36" t="s">
        <v>133</v>
      </c>
      <c r="EG180" s="36" t="s">
        <v>133</v>
      </c>
      <c r="EH180" s="47">
        <f t="shared" si="24"/>
        <v>21.06674327</v>
      </c>
    </row>
    <row r="181" ht="15.75" customHeight="1">
      <c r="A181" s="35" t="s">
        <v>598</v>
      </c>
      <c r="B181" s="57" t="s">
        <v>129</v>
      </c>
      <c r="C181" s="37">
        <v>45556.0</v>
      </c>
      <c r="D181" s="89">
        <v>58.0</v>
      </c>
      <c r="E181" s="50" t="s">
        <v>130</v>
      </c>
      <c r="F181" s="50">
        <v>165.0</v>
      </c>
      <c r="G181" s="81">
        <v>61.0</v>
      </c>
      <c r="H181" s="85" t="s">
        <v>131</v>
      </c>
      <c r="I181" s="50">
        <v>5.0</v>
      </c>
      <c r="J181" s="76">
        <v>45310.0</v>
      </c>
      <c r="K181" s="50" t="s">
        <v>132</v>
      </c>
      <c r="L181" s="55" t="s">
        <v>133</v>
      </c>
      <c r="M181" s="55" t="s">
        <v>133</v>
      </c>
      <c r="N181" s="55" t="s">
        <v>133</v>
      </c>
      <c r="O181" s="55" t="s">
        <v>133</v>
      </c>
      <c r="P181" s="85" t="s">
        <v>132</v>
      </c>
      <c r="Q181" s="36" t="s">
        <v>133</v>
      </c>
      <c r="R181" s="36" t="s">
        <v>133</v>
      </c>
      <c r="S181" s="36" t="s">
        <v>133</v>
      </c>
      <c r="T181" s="36" t="s">
        <v>133</v>
      </c>
      <c r="U181" s="36" t="s">
        <v>133</v>
      </c>
      <c r="V181" s="36" t="str">
        <f t="shared" si="178"/>
        <v>No infectado</v>
      </c>
      <c r="W181" s="55" t="s">
        <v>133</v>
      </c>
      <c r="X181" s="55" t="s">
        <v>133</v>
      </c>
      <c r="Y181" s="55" t="s">
        <v>133</v>
      </c>
      <c r="Z181" s="55" t="s">
        <v>133</v>
      </c>
      <c r="AA181" s="55" t="s">
        <v>133</v>
      </c>
      <c r="AB181" s="55" t="s">
        <v>133</v>
      </c>
      <c r="AC181" s="55" t="s">
        <v>133</v>
      </c>
      <c r="AD181" s="55" t="s">
        <v>133</v>
      </c>
      <c r="AE181" s="55" t="s">
        <v>133</v>
      </c>
      <c r="AF181" s="55" t="s">
        <v>133</v>
      </c>
      <c r="AG181" s="55" t="s">
        <v>133</v>
      </c>
      <c r="AH181" s="55" t="s">
        <v>133</v>
      </c>
      <c r="AI181" s="55" t="s">
        <v>133</v>
      </c>
      <c r="AJ181" s="55" t="s">
        <v>133</v>
      </c>
      <c r="AK181" s="55" t="s">
        <v>133</v>
      </c>
      <c r="AL181" s="75" t="s">
        <v>132</v>
      </c>
      <c r="AM181" s="36" t="s">
        <v>132</v>
      </c>
      <c r="AN181" s="36" t="s">
        <v>132</v>
      </c>
      <c r="AO181" s="50" t="s">
        <v>131</v>
      </c>
      <c r="AP181" s="36" t="s">
        <v>132</v>
      </c>
      <c r="AQ181" s="36" t="s">
        <v>132</v>
      </c>
      <c r="AR181" s="36" t="s">
        <v>132</v>
      </c>
      <c r="AS181" s="36" t="s">
        <v>132</v>
      </c>
      <c r="AT181" s="36" t="s">
        <v>132</v>
      </c>
      <c r="AU181" s="50" t="s">
        <v>131</v>
      </c>
      <c r="AV181" s="50" t="s">
        <v>131</v>
      </c>
      <c r="AW181" s="50" t="s">
        <v>599</v>
      </c>
      <c r="AX181" s="50" t="s">
        <v>132</v>
      </c>
      <c r="AY181" s="36" t="s">
        <v>133</v>
      </c>
      <c r="AZ181" s="36" t="s">
        <v>133</v>
      </c>
      <c r="BA181" s="36" t="s">
        <v>133</v>
      </c>
      <c r="BB181" s="36" t="s">
        <v>135</v>
      </c>
      <c r="BC181" s="58">
        <v>2.0</v>
      </c>
      <c r="BD181" s="36">
        <v>1.0</v>
      </c>
      <c r="BE181" s="36">
        <v>1.0</v>
      </c>
      <c r="BF181" s="36">
        <v>1.0</v>
      </c>
      <c r="BG181" s="50">
        <v>2.0</v>
      </c>
      <c r="BH181" s="50">
        <v>4.0</v>
      </c>
      <c r="BI181" s="44" t="str">
        <f t="shared" si="205"/>
        <v>11124</v>
      </c>
      <c r="BJ181" s="50">
        <v>85.0</v>
      </c>
      <c r="BK181" s="50">
        <v>1.0</v>
      </c>
      <c r="BL181" s="50">
        <v>2.0</v>
      </c>
      <c r="BM181" s="50">
        <v>4.0</v>
      </c>
      <c r="BN181" s="50">
        <v>2.0</v>
      </c>
      <c r="BO181" s="50">
        <v>2.0</v>
      </c>
      <c r="BP181" s="50">
        <v>2.0</v>
      </c>
      <c r="BQ181" s="50">
        <v>2.0</v>
      </c>
      <c r="BR181" s="50">
        <v>2.0</v>
      </c>
      <c r="BS181" s="50">
        <v>2.0</v>
      </c>
      <c r="BT181" s="82">
        <v>2.0</v>
      </c>
      <c r="BU181" s="53">
        <f t="shared" si="277"/>
        <v>4</v>
      </c>
      <c r="BV181" s="53">
        <f t="shared" si="278"/>
        <v>4</v>
      </c>
      <c r="BW181" s="53">
        <f t="shared" si="183"/>
        <v>23</v>
      </c>
      <c r="BX181" s="53" t="str">
        <f t="shared" si="279"/>
        <v>FATIGA</v>
      </c>
      <c r="BY181" s="50">
        <v>2.0</v>
      </c>
      <c r="BZ181" s="50">
        <v>1.0</v>
      </c>
      <c r="CA181" s="50">
        <v>0.0</v>
      </c>
      <c r="CB181" s="50">
        <v>2.0</v>
      </c>
      <c r="CC181" s="50">
        <v>1.0</v>
      </c>
      <c r="CD181" s="50">
        <v>0.0</v>
      </c>
      <c r="CE181" s="36">
        <v>4.0</v>
      </c>
      <c r="CF181" s="36">
        <v>0.0</v>
      </c>
      <c r="CG181" s="50">
        <v>30.0</v>
      </c>
      <c r="CH181" s="50">
        <v>3.0</v>
      </c>
      <c r="CI181" s="36">
        <v>0.0</v>
      </c>
      <c r="CJ181" s="53">
        <f t="shared" si="254"/>
        <v>1836</v>
      </c>
      <c r="CK181" s="53">
        <f t="shared" si="206"/>
        <v>8</v>
      </c>
      <c r="CL181" s="44" t="b">
        <f t="shared" si="207"/>
        <v>0</v>
      </c>
      <c r="CM181" s="44" t="str">
        <f t="shared" si="208"/>
        <v>Nivel de actividad física moderado</v>
      </c>
      <c r="CN181" s="45" t="str">
        <f t="shared" si="209"/>
        <v>Nivel de actividad física moderado</v>
      </c>
      <c r="CO181" s="50">
        <v>0.0</v>
      </c>
      <c r="CP181" s="50">
        <v>15.0</v>
      </c>
      <c r="CQ181" s="53">
        <f t="shared" si="280"/>
        <v>0</v>
      </c>
      <c r="CR181" s="50">
        <v>7.0</v>
      </c>
      <c r="CS181" s="50">
        <v>0.0</v>
      </c>
      <c r="CT181" s="50">
        <v>7.0</v>
      </c>
      <c r="CU181" s="50">
        <v>6.0</v>
      </c>
      <c r="CV181" s="50">
        <v>1.0</v>
      </c>
      <c r="CW181" s="82">
        <v>3.0</v>
      </c>
      <c r="CX181" s="50">
        <v>3.0</v>
      </c>
      <c r="CY181" s="82">
        <v>0.0</v>
      </c>
      <c r="CZ181" s="50">
        <v>1.0</v>
      </c>
      <c r="DA181" s="82">
        <v>0.0</v>
      </c>
      <c r="DB181" s="50">
        <v>1.0</v>
      </c>
      <c r="DC181" s="50">
        <v>1.0</v>
      </c>
      <c r="DD181" s="82">
        <v>0.0</v>
      </c>
      <c r="DE181" s="50">
        <v>1.0</v>
      </c>
      <c r="DF181" s="50" t="s">
        <v>600</v>
      </c>
      <c r="DG181" s="53">
        <f t="shared" si="55"/>
        <v>10</v>
      </c>
      <c r="DH181" s="82">
        <v>1.0</v>
      </c>
      <c r="DI181" s="82">
        <v>0.0</v>
      </c>
      <c r="DJ181" s="50">
        <v>1.0</v>
      </c>
      <c r="DK181" s="50">
        <v>2.0</v>
      </c>
      <c r="DL181" s="68">
        <f t="shared" si="237"/>
        <v>85.71428571</v>
      </c>
      <c r="DM181" s="53">
        <f t="shared" si="238"/>
        <v>1</v>
      </c>
      <c r="DN181" s="53">
        <f t="shared" si="239"/>
        <v>2</v>
      </c>
      <c r="DO181" s="53">
        <f t="shared" si="240"/>
        <v>1</v>
      </c>
      <c r="DP181" s="53">
        <f t="shared" si="241"/>
        <v>2</v>
      </c>
      <c r="DQ181" s="53">
        <f t="shared" si="242"/>
        <v>0</v>
      </c>
      <c r="DR181" s="53">
        <f t="shared" ref="DR181:DS181" si="283">(DH181)</f>
        <v>1</v>
      </c>
      <c r="DS181" s="53">
        <f t="shared" si="283"/>
        <v>0</v>
      </c>
      <c r="DT181" s="53">
        <f t="shared" si="41"/>
        <v>7</v>
      </c>
      <c r="DU181" s="53" t="str">
        <f t="shared" si="244"/>
        <v>poor sleep quality</v>
      </c>
      <c r="DV181" s="50">
        <v>0.0</v>
      </c>
      <c r="DW181" s="36" t="s">
        <v>133</v>
      </c>
      <c r="DX181" s="36" t="s">
        <v>146</v>
      </c>
      <c r="DY181" s="36">
        <v>1.0</v>
      </c>
      <c r="DZ181" s="36" t="s">
        <v>131</v>
      </c>
      <c r="EA181" s="50" t="s">
        <v>162</v>
      </c>
      <c r="EB181" s="50" t="s">
        <v>323</v>
      </c>
      <c r="EC181" s="50" t="s">
        <v>131</v>
      </c>
      <c r="ED181" s="50" t="s">
        <v>132</v>
      </c>
      <c r="EE181" s="36" t="s">
        <v>141</v>
      </c>
      <c r="EF181" s="35" t="str">
        <f t="shared" ref="EF181:EF185" si="285">C181-M181</f>
        <v>#VALUE!</v>
      </c>
      <c r="EG181" s="35" t="str">
        <f>C181-O181</f>
        <v>#VALUE!</v>
      </c>
      <c r="EH181" s="47">
        <f t="shared" si="24"/>
        <v>22.40587695</v>
      </c>
    </row>
    <row r="182" ht="15.75" customHeight="1">
      <c r="A182" s="35" t="s">
        <v>601</v>
      </c>
      <c r="B182" s="57" t="s">
        <v>129</v>
      </c>
      <c r="C182" s="37">
        <v>45556.0</v>
      </c>
      <c r="D182" s="64">
        <v>64.0</v>
      </c>
      <c r="E182" s="50" t="s">
        <v>130</v>
      </c>
      <c r="F182" s="50">
        <v>162.0</v>
      </c>
      <c r="G182" s="81">
        <v>55.0</v>
      </c>
      <c r="H182" s="79" t="s">
        <v>131</v>
      </c>
      <c r="I182" s="50">
        <v>6.0</v>
      </c>
      <c r="J182" s="76">
        <v>45330.0</v>
      </c>
      <c r="K182" s="50" t="s">
        <v>131</v>
      </c>
      <c r="L182" s="50">
        <v>1.0</v>
      </c>
      <c r="M182" s="76">
        <v>44166.0</v>
      </c>
      <c r="N182" s="50">
        <v>0.0</v>
      </c>
      <c r="O182" s="55" t="s">
        <v>133</v>
      </c>
      <c r="P182" s="50" t="s">
        <v>132</v>
      </c>
      <c r="Q182" s="36" t="s">
        <v>133</v>
      </c>
      <c r="R182" s="36" t="s">
        <v>133</v>
      </c>
      <c r="S182" s="36" t="s">
        <v>133</v>
      </c>
      <c r="T182" s="36" t="s">
        <v>133</v>
      </c>
      <c r="U182" s="36" t="s">
        <v>133</v>
      </c>
      <c r="V182" s="36" t="str">
        <f t="shared" si="178"/>
        <v>Paciente ambulatorio</v>
      </c>
      <c r="W182" s="50" t="s">
        <v>143</v>
      </c>
      <c r="X182" s="50" t="s">
        <v>132</v>
      </c>
      <c r="Y182" s="50">
        <v>2.0</v>
      </c>
      <c r="Z182" s="50">
        <v>2.0</v>
      </c>
      <c r="AA182" s="50">
        <v>2.0</v>
      </c>
      <c r="AB182" s="50">
        <v>2.0</v>
      </c>
      <c r="AC182" s="50">
        <v>3.0</v>
      </c>
      <c r="AD182" s="50">
        <v>2.0</v>
      </c>
      <c r="AE182" s="50">
        <v>3.0</v>
      </c>
      <c r="AF182" s="50">
        <v>3.0</v>
      </c>
      <c r="AG182" s="50">
        <v>3.0</v>
      </c>
      <c r="AH182" s="50">
        <v>2.0</v>
      </c>
      <c r="AI182" s="50">
        <v>3.0</v>
      </c>
      <c r="AJ182" s="50">
        <v>3.0</v>
      </c>
      <c r="AK182" s="83" t="s">
        <v>602</v>
      </c>
      <c r="AL182" s="75" t="s">
        <v>132</v>
      </c>
      <c r="AM182" s="50" t="s">
        <v>132</v>
      </c>
      <c r="AN182" s="50" t="s">
        <v>132</v>
      </c>
      <c r="AO182" s="50" t="s">
        <v>131</v>
      </c>
      <c r="AP182" s="50" t="s">
        <v>132</v>
      </c>
      <c r="AQ182" s="50" t="s">
        <v>132</v>
      </c>
      <c r="AR182" s="50" t="s">
        <v>132</v>
      </c>
      <c r="AS182" s="50" t="s">
        <v>132</v>
      </c>
      <c r="AT182" s="50" t="s">
        <v>132</v>
      </c>
      <c r="AU182" s="50" t="s">
        <v>132</v>
      </c>
      <c r="AV182" s="50" t="s">
        <v>131</v>
      </c>
      <c r="AW182" s="50" t="s">
        <v>603</v>
      </c>
      <c r="AX182" s="50" t="s">
        <v>132</v>
      </c>
      <c r="AY182" s="36" t="s">
        <v>133</v>
      </c>
      <c r="AZ182" s="36" t="s">
        <v>133</v>
      </c>
      <c r="BA182" s="36" t="s">
        <v>133</v>
      </c>
      <c r="BB182" s="50" t="s">
        <v>135</v>
      </c>
      <c r="BC182" s="83">
        <v>2.0</v>
      </c>
      <c r="BD182" s="79">
        <v>3.0</v>
      </c>
      <c r="BE182" s="50">
        <v>3.0</v>
      </c>
      <c r="BF182" s="50">
        <v>1.0</v>
      </c>
      <c r="BG182" s="50">
        <v>2.0</v>
      </c>
      <c r="BH182" s="50">
        <v>3.0</v>
      </c>
      <c r="BI182" s="44" t="str">
        <f t="shared" si="205"/>
        <v>33123</v>
      </c>
      <c r="BJ182" s="50">
        <v>90.0</v>
      </c>
      <c r="BK182" s="50">
        <v>2.0</v>
      </c>
      <c r="BL182" s="50">
        <v>2.0</v>
      </c>
      <c r="BM182" s="50">
        <v>1.0</v>
      </c>
      <c r="BN182" s="50">
        <v>5.0</v>
      </c>
      <c r="BO182" s="50">
        <v>1.0</v>
      </c>
      <c r="BP182" s="50">
        <v>1.0</v>
      </c>
      <c r="BQ182" s="50">
        <v>1.0</v>
      </c>
      <c r="BR182" s="50">
        <v>1.0</v>
      </c>
      <c r="BS182" s="50">
        <v>1.0</v>
      </c>
      <c r="BT182" s="50">
        <v>5.0</v>
      </c>
      <c r="BU182" s="53">
        <f t="shared" si="277"/>
        <v>1</v>
      </c>
      <c r="BV182" s="53">
        <f t="shared" si="278"/>
        <v>1</v>
      </c>
      <c r="BW182" s="53">
        <f t="shared" si="183"/>
        <v>16</v>
      </c>
      <c r="BX182" s="53" t="str">
        <f t="shared" si="279"/>
        <v>NO HAY FATIGA</v>
      </c>
      <c r="BY182" s="36">
        <v>2.0</v>
      </c>
      <c r="BZ182" s="50">
        <v>1.0</v>
      </c>
      <c r="CA182" s="50">
        <v>0.0</v>
      </c>
      <c r="CB182" s="50">
        <v>2.0</v>
      </c>
      <c r="CC182" s="50">
        <v>1.0</v>
      </c>
      <c r="CD182" s="50">
        <v>0.0</v>
      </c>
      <c r="CE182" s="50">
        <v>3.0</v>
      </c>
      <c r="CF182" s="50">
        <v>1.0</v>
      </c>
      <c r="CG182" s="50">
        <v>0.0</v>
      </c>
      <c r="CH182" s="50">
        <v>3.0</v>
      </c>
      <c r="CI182" s="50">
        <v>0.0</v>
      </c>
      <c r="CJ182" s="53">
        <f t="shared" si="254"/>
        <v>2034</v>
      </c>
      <c r="CK182" s="53">
        <f t="shared" si="206"/>
        <v>7</v>
      </c>
      <c r="CL182" s="44" t="b">
        <f t="shared" si="207"/>
        <v>0</v>
      </c>
      <c r="CM182" s="44" t="str">
        <f t="shared" si="208"/>
        <v>Nivel de actividad física moderado</v>
      </c>
      <c r="CN182" s="45" t="str">
        <f t="shared" si="209"/>
        <v>Nivel de actividad física moderado</v>
      </c>
      <c r="CO182" s="50">
        <v>23.0</v>
      </c>
      <c r="CP182" s="50">
        <v>10.0</v>
      </c>
      <c r="CQ182" s="44">
        <f>IF(CP182&gt;60,3,IF(CP182&gt;30,2,IF(CP182&gt;15,1,0)))</f>
        <v>0</v>
      </c>
      <c r="CR182" s="50">
        <v>7.0</v>
      </c>
      <c r="CS182" s="50">
        <v>30.0</v>
      </c>
      <c r="CT182" s="50">
        <v>8.5</v>
      </c>
      <c r="CU182" s="50">
        <v>6.0</v>
      </c>
      <c r="CV182" s="50">
        <v>0.0</v>
      </c>
      <c r="CW182" s="50">
        <v>3.0</v>
      </c>
      <c r="CX182" s="50">
        <v>2.0</v>
      </c>
      <c r="CY182" s="50">
        <v>0.0</v>
      </c>
      <c r="CZ182" s="50">
        <v>0.0</v>
      </c>
      <c r="DA182" s="50">
        <v>0.0</v>
      </c>
      <c r="DB182" s="50">
        <v>2.0</v>
      </c>
      <c r="DC182" s="50">
        <v>1.0</v>
      </c>
      <c r="DD182" s="50">
        <v>0.0</v>
      </c>
      <c r="DE182" s="50">
        <v>0.0</v>
      </c>
      <c r="DF182" s="36" t="s">
        <v>133</v>
      </c>
      <c r="DG182" s="53">
        <f t="shared" si="55"/>
        <v>8</v>
      </c>
      <c r="DH182" s="50">
        <v>1.0</v>
      </c>
      <c r="DI182" s="50">
        <v>0.0</v>
      </c>
      <c r="DJ182" s="50">
        <v>0.0</v>
      </c>
      <c r="DK182" s="50">
        <v>0.0</v>
      </c>
      <c r="DL182" s="68">
        <f t="shared" si="237"/>
        <v>70.58823529</v>
      </c>
      <c r="DM182" s="53">
        <f t="shared" si="238"/>
        <v>1</v>
      </c>
      <c r="DN182" s="53">
        <f t="shared" si="239"/>
        <v>1</v>
      </c>
      <c r="DO182" s="53">
        <f t="shared" si="240"/>
        <v>0</v>
      </c>
      <c r="DP182" s="53">
        <f t="shared" si="241"/>
        <v>0</v>
      </c>
      <c r="DQ182" s="53">
        <f t="shared" si="242"/>
        <v>2</v>
      </c>
      <c r="DR182" s="53">
        <f t="shared" ref="DR182:DS182" si="284">(DH182)</f>
        <v>1</v>
      </c>
      <c r="DS182" s="53">
        <f t="shared" si="284"/>
        <v>0</v>
      </c>
      <c r="DT182" s="53">
        <f t="shared" si="41"/>
        <v>5</v>
      </c>
      <c r="DU182" s="53" t="str">
        <f t="shared" si="244"/>
        <v>good sleep quality</v>
      </c>
      <c r="DV182" s="50">
        <v>1.0</v>
      </c>
      <c r="DW182" s="36" t="s">
        <v>314</v>
      </c>
      <c r="DX182" s="50" t="s">
        <v>146</v>
      </c>
      <c r="DY182" s="50">
        <v>2.0</v>
      </c>
      <c r="DZ182" s="50" t="s">
        <v>131</v>
      </c>
      <c r="EA182" s="50" t="s">
        <v>162</v>
      </c>
      <c r="EB182" s="50" t="s">
        <v>172</v>
      </c>
      <c r="EC182" s="50" t="s">
        <v>140</v>
      </c>
      <c r="ED182" s="50" t="s">
        <v>132</v>
      </c>
      <c r="EE182" s="50" t="s">
        <v>151</v>
      </c>
      <c r="EF182" s="35">
        <f t="shared" si="285"/>
        <v>1390</v>
      </c>
      <c r="EG182" s="36" t="s">
        <v>133</v>
      </c>
      <c r="EH182" s="47">
        <f t="shared" si="24"/>
        <v>20.95717116</v>
      </c>
    </row>
    <row r="183" ht="15.75" customHeight="1">
      <c r="A183" s="35" t="s">
        <v>604</v>
      </c>
      <c r="B183" s="57" t="s">
        <v>129</v>
      </c>
      <c r="C183" s="37">
        <v>45556.0</v>
      </c>
      <c r="D183" s="64">
        <v>52.0</v>
      </c>
      <c r="E183" s="85" t="s">
        <v>130</v>
      </c>
      <c r="F183" s="50">
        <v>170.0</v>
      </c>
      <c r="G183" s="81">
        <v>65.0</v>
      </c>
      <c r="H183" s="90" t="s">
        <v>131</v>
      </c>
      <c r="I183" s="50">
        <v>4.0</v>
      </c>
      <c r="J183" s="76">
        <v>44735.0</v>
      </c>
      <c r="K183" s="85" t="s">
        <v>131</v>
      </c>
      <c r="L183" s="50">
        <v>1.0</v>
      </c>
      <c r="M183" s="76">
        <v>44409.0</v>
      </c>
      <c r="N183" s="85">
        <v>1.0</v>
      </c>
      <c r="O183" s="42">
        <v>44921.0</v>
      </c>
      <c r="P183" s="85" t="s">
        <v>132</v>
      </c>
      <c r="Q183" s="36" t="s">
        <v>133</v>
      </c>
      <c r="R183" s="36" t="s">
        <v>133</v>
      </c>
      <c r="S183" s="36" t="s">
        <v>133</v>
      </c>
      <c r="T183" s="36" t="s">
        <v>133</v>
      </c>
      <c r="U183" s="36" t="s">
        <v>133</v>
      </c>
      <c r="V183" s="36" t="str">
        <f t="shared" si="178"/>
        <v>Paciente ambulatorio</v>
      </c>
      <c r="W183" s="50" t="s">
        <v>143</v>
      </c>
      <c r="X183" s="85" t="s">
        <v>132</v>
      </c>
      <c r="Y183" s="50">
        <v>3.0</v>
      </c>
      <c r="Z183" s="50">
        <v>2.0</v>
      </c>
      <c r="AA183" s="50">
        <v>1.0</v>
      </c>
      <c r="AB183" s="50">
        <v>3.0</v>
      </c>
      <c r="AC183" s="50">
        <v>3.0</v>
      </c>
      <c r="AD183" s="50">
        <v>3.0</v>
      </c>
      <c r="AE183" s="50">
        <v>3.0</v>
      </c>
      <c r="AF183" s="50">
        <v>3.0</v>
      </c>
      <c r="AG183" s="85">
        <v>3.0</v>
      </c>
      <c r="AH183" s="50">
        <v>3.0</v>
      </c>
      <c r="AI183" s="50">
        <v>3.0</v>
      </c>
      <c r="AJ183" s="50">
        <v>3.0</v>
      </c>
      <c r="AK183" s="36" t="s">
        <v>133</v>
      </c>
      <c r="AL183" s="75" t="s">
        <v>132</v>
      </c>
      <c r="AM183" s="36" t="s">
        <v>132</v>
      </c>
      <c r="AN183" s="36" t="s">
        <v>132</v>
      </c>
      <c r="AO183" s="36" t="s">
        <v>132</v>
      </c>
      <c r="AP183" s="36" t="s">
        <v>132</v>
      </c>
      <c r="AQ183" s="36" t="s">
        <v>132</v>
      </c>
      <c r="AR183" s="36" t="s">
        <v>132</v>
      </c>
      <c r="AS183" s="36" t="s">
        <v>132</v>
      </c>
      <c r="AT183" s="36" t="s">
        <v>132</v>
      </c>
      <c r="AU183" s="36" t="s">
        <v>132</v>
      </c>
      <c r="AV183" s="50" t="s">
        <v>131</v>
      </c>
      <c r="AW183" s="77" t="s">
        <v>605</v>
      </c>
      <c r="AX183" s="50" t="s">
        <v>132</v>
      </c>
      <c r="AY183" s="36" t="s">
        <v>133</v>
      </c>
      <c r="AZ183" s="36" t="s">
        <v>133</v>
      </c>
      <c r="BA183" s="36" t="s">
        <v>133</v>
      </c>
      <c r="BB183" s="50" t="s">
        <v>192</v>
      </c>
      <c r="BC183" s="83">
        <v>2.0</v>
      </c>
      <c r="BD183" s="75">
        <v>1.0</v>
      </c>
      <c r="BE183" s="50">
        <v>1.0</v>
      </c>
      <c r="BF183" s="50">
        <v>1.0</v>
      </c>
      <c r="BG183" s="50">
        <v>1.0</v>
      </c>
      <c r="BH183" s="50">
        <v>2.0</v>
      </c>
      <c r="BI183" s="44" t="str">
        <f t="shared" si="205"/>
        <v>11112</v>
      </c>
      <c r="BJ183" s="50">
        <v>75.0</v>
      </c>
      <c r="BK183" s="50">
        <v>2.0</v>
      </c>
      <c r="BL183" s="82">
        <v>2.0</v>
      </c>
      <c r="BM183" s="50">
        <v>2.0</v>
      </c>
      <c r="BN183" s="50">
        <v>4.0</v>
      </c>
      <c r="BO183" s="82">
        <v>2.0</v>
      </c>
      <c r="BP183" s="50">
        <v>2.0</v>
      </c>
      <c r="BQ183" s="82">
        <v>1.0</v>
      </c>
      <c r="BR183" s="50">
        <v>1.0</v>
      </c>
      <c r="BS183" s="50">
        <v>2.0</v>
      </c>
      <c r="BT183" s="50">
        <v>4.0</v>
      </c>
      <c r="BU183" s="44">
        <f>IF(BN183=1,5,IF(BN183=2,4,IF(BN183=3,3,IF(BN183=4,2,IF(BN183=5,1)))))</f>
        <v>2</v>
      </c>
      <c r="BV183" s="44">
        <f>IF(BT183=1,5,IF(BT183=2,4,IF(BT183=3,3,IF(BT183=4,2,IF(BT183=5,1)))))</f>
        <v>2</v>
      </c>
      <c r="BW183" s="44">
        <f t="shared" si="183"/>
        <v>20</v>
      </c>
      <c r="BX183" s="44" t="str">
        <f>IF(BW183&lt;22,"NO HAY FATIGA",IF(BW183&lt;35,"FATIGA","FATIGA EXTREMA"))</f>
        <v>NO HAY FATIGA</v>
      </c>
      <c r="BY183" s="36">
        <v>0.0</v>
      </c>
      <c r="BZ183" s="36">
        <v>0.0</v>
      </c>
      <c r="CA183" s="36">
        <v>0.0</v>
      </c>
      <c r="CB183" s="36">
        <v>0.0</v>
      </c>
      <c r="CC183" s="36">
        <v>0.0</v>
      </c>
      <c r="CD183" s="36">
        <v>0.0</v>
      </c>
      <c r="CE183" s="50">
        <v>7.0</v>
      </c>
      <c r="CF183" s="36">
        <v>1.0</v>
      </c>
      <c r="CG183" s="36">
        <v>0.0</v>
      </c>
      <c r="CH183" s="36">
        <v>4.0</v>
      </c>
      <c r="CI183" s="36">
        <v>0.0</v>
      </c>
      <c r="CJ183" s="53">
        <f t="shared" si="254"/>
        <v>1386</v>
      </c>
      <c r="CK183" s="53">
        <f t="shared" si="206"/>
        <v>7</v>
      </c>
      <c r="CL183" s="44" t="b">
        <f t="shared" si="207"/>
        <v>0</v>
      </c>
      <c r="CM183" s="44" t="str">
        <f t="shared" si="208"/>
        <v>Nivel de actividad física moderado</v>
      </c>
      <c r="CN183" s="45" t="str">
        <f t="shared" si="209"/>
        <v>Nivel de actividad física moderado</v>
      </c>
      <c r="CO183" s="78">
        <v>0.9375</v>
      </c>
      <c r="CP183" s="50">
        <v>5.0</v>
      </c>
      <c r="CQ183" s="53">
        <f t="shared" ref="CQ183:CQ186" si="287">IF(CP183&gt;60,3,IF(CP183&gt;30,2,IF(CP183&gt;15,1,0)))</f>
        <v>0</v>
      </c>
      <c r="CR183" s="50">
        <v>6.0</v>
      </c>
      <c r="CS183" s="50">
        <v>7.0</v>
      </c>
      <c r="CT183" s="50">
        <v>7.5</v>
      </c>
      <c r="CU183" s="50">
        <v>7.0</v>
      </c>
      <c r="CV183" s="50">
        <v>0.0</v>
      </c>
      <c r="CW183" s="50">
        <v>2.0</v>
      </c>
      <c r="CX183" s="50">
        <v>2.0</v>
      </c>
      <c r="CY183" s="82">
        <v>3.0</v>
      </c>
      <c r="CZ183" s="82">
        <v>0.0</v>
      </c>
      <c r="DA183" s="50">
        <v>0.0</v>
      </c>
      <c r="DB183" s="82">
        <v>3.0</v>
      </c>
      <c r="DC183" s="50">
        <v>0.0</v>
      </c>
      <c r="DD183" s="82">
        <v>0.0</v>
      </c>
      <c r="DE183" s="50">
        <v>3.0</v>
      </c>
      <c r="DF183" s="50" t="s">
        <v>244</v>
      </c>
      <c r="DG183" s="53">
        <f t="shared" si="55"/>
        <v>13</v>
      </c>
      <c r="DH183" s="82">
        <v>2.0</v>
      </c>
      <c r="DI183" s="82">
        <v>0.0</v>
      </c>
      <c r="DJ183" s="50">
        <v>0.0</v>
      </c>
      <c r="DK183" s="50">
        <v>0.0</v>
      </c>
      <c r="DL183" s="68">
        <f t="shared" si="237"/>
        <v>93.33333333</v>
      </c>
      <c r="DM183" s="53">
        <f t="shared" si="238"/>
        <v>0</v>
      </c>
      <c r="DN183" s="53">
        <f t="shared" si="239"/>
        <v>2</v>
      </c>
      <c r="DO183" s="53">
        <f t="shared" si="240"/>
        <v>0</v>
      </c>
      <c r="DP183" s="53">
        <f t="shared" si="241"/>
        <v>0</v>
      </c>
      <c r="DQ183" s="53">
        <f t="shared" si="242"/>
        <v>0</v>
      </c>
      <c r="DR183" s="53">
        <f t="shared" ref="DR183:DS183" si="286">(DH183)</f>
        <v>2</v>
      </c>
      <c r="DS183" s="53">
        <f t="shared" si="286"/>
        <v>0</v>
      </c>
      <c r="DT183" s="53">
        <f t="shared" si="41"/>
        <v>4</v>
      </c>
      <c r="DU183" s="53" t="str">
        <f t="shared" si="244"/>
        <v>good sleep quality</v>
      </c>
      <c r="DV183" s="50">
        <v>3.0</v>
      </c>
      <c r="DW183" s="36" t="s">
        <v>149</v>
      </c>
      <c r="DX183" s="36" t="s">
        <v>146</v>
      </c>
      <c r="DY183" s="50">
        <v>2.0</v>
      </c>
      <c r="DZ183" s="36" t="s">
        <v>131</v>
      </c>
      <c r="EA183" s="36" t="s">
        <v>147</v>
      </c>
      <c r="EB183" s="50" t="s">
        <v>139</v>
      </c>
      <c r="EC183" s="50" t="s">
        <v>131</v>
      </c>
      <c r="ED183" s="50" t="s">
        <v>131</v>
      </c>
      <c r="EE183" s="50" t="s">
        <v>203</v>
      </c>
      <c r="EF183" s="35">
        <f t="shared" si="285"/>
        <v>1147</v>
      </c>
      <c r="EG183" s="35">
        <f t="shared" ref="EG183:EG185" si="289">C183-O183</f>
        <v>635</v>
      </c>
      <c r="EH183" s="47">
        <f t="shared" si="24"/>
        <v>22.49134948</v>
      </c>
    </row>
    <row r="184" ht="15.75" customHeight="1">
      <c r="A184" s="35" t="s">
        <v>606</v>
      </c>
      <c r="B184" s="57" t="s">
        <v>129</v>
      </c>
      <c r="C184" s="37">
        <v>45556.0</v>
      </c>
      <c r="D184" s="64">
        <v>46.0</v>
      </c>
      <c r="E184" s="36" t="s">
        <v>153</v>
      </c>
      <c r="F184" s="50">
        <v>178.0</v>
      </c>
      <c r="G184" s="81">
        <v>78.0</v>
      </c>
      <c r="H184" s="79" t="s">
        <v>132</v>
      </c>
      <c r="I184" s="85">
        <v>4.0</v>
      </c>
      <c r="J184" s="42">
        <v>45170.0</v>
      </c>
      <c r="K184" s="85" t="s">
        <v>131</v>
      </c>
      <c r="L184" s="50">
        <v>2.0</v>
      </c>
      <c r="M184" s="76">
        <v>43983.0</v>
      </c>
      <c r="N184" s="85">
        <v>0.0</v>
      </c>
      <c r="O184" s="76">
        <v>44256.0</v>
      </c>
      <c r="P184" s="85" t="s">
        <v>132</v>
      </c>
      <c r="Q184" s="36" t="s">
        <v>133</v>
      </c>
      <c r="R184" s="36" t="s">
        <v>133</v>
      </c>
      <c r="S184" s="36" t="s">
        <v>133</v>
      </c>
      <c r="T184" s="36" t="s">
        <v>133</v>
      </c>
      <c r="U184" s="36" t="s">
        <v>133</v>
      </c>
      <c r="V184" s="36" t="str">
        <f t="shared" si="178"/>
        <v>Paciente ambulatorio</v>
      </c>
      <c r="W184" s="50" t="s">
        <v>143</v>
      </c>
      <c r="X184" s="85" t="s">
        <v>132</v>
      </c>
      <c r="Y184" s="50">
        <v>2.0</v>
      </c>
      <c r="Z184" s="50">
        <v>2.0</v>
      </c>
      <c r="AA184" s="85">
        <v>2.0</v>
      </c>
      <c r="AB184" s="85">
        <v>2.0</v>
      </c>
      <c r="AC184" s="50">
        <v>3.0</v>
      </c>
      <c r="AD184" s="50">
        <v>2.0</v>
      </c>
      <c r="AE184" s="50">
        <v>2.0</v>
      </c>
      <c r="AF184" s="50">
        <v>3.0</v>
      </c>
      <c r="AG184" s="85">
        <v>3.0</v>
      </c>
      <c r="AH184" s="50">
        <v>3.0</v>
      </c>
      <c r="AI184" s="85">
        <v>3.0</v>
      </c>
      <c r="AJ184" s="50">
        <v>3.0</v>
      </c>
      <c r="AK184" s="36" t="s">
        <v>133</v>
      </c>
      <c r="AL184" s="75" t="s">
        <v>132</v>
      </c>
      <c r="AM184" s="36" t="s">
        <v>132</v>
      </c>
      <c r="AN184" s="36" t="s">
        <v>132</v>
      </c>
      <c r="AO184" s="36" t="s">
        <v>132</v>
      </c>
      <c r="AP184" s="36" t="s">
        <v>132</v>
      </c>
      <c r="AQ184" s="36" t="s">
        <v>132</v>
      </c>
      <c r="AR184" s="36" t="s">
        <v>132</v>
      </c>
      <c r="AS184" s="36" t="s">
        <v>132</v>
      </c>
      <c r="AT184" s="36" t="s">
        <v>132</v>
      </c>
      <c r="AU184" s="36" t="s">
        <v>132</v>
      </c>
      <c r="AV184" s="50" t="s">
        <v>132</v>
      </c>
      <c r="AW184" s="36" t="s">
        <v>133</v>
      </c>
      <c r="AX184" s="50" t="s">
        <v>165</v>
      </c>
      <c r="AY184" s="36" t="s">
        <v>133</v>
      </c>
      <c r="AZ184" s="36" t="s">
        <v>133</v>
      </c>
      <c r="BA184" s="77">
        <v>2.0</v>
      </c>
      <c r="BB184" s="36" t="s">
        <v>145</v>
      </c>
      <c r="BC184" s="36" t="s">
        <v>133</v>
      </c>
      <c r="BD184" s="75">
        <v>1.0</v>
      </c>
      <c r="BE184" s="36">
        <v>1.0</v>
      </c>
      <c r="BF184" s="50">
        <v>1.0</v>
      </c>
      <c r="BG184" s="50">
        <v>1.0</v>
      </c>
      <c r="BH184" s="50">
        <v>1.0</v>
      </c>
      <c r="BI184" s="44" t="str">
        <f t="shared" si="205"/>
        <v>11111</v>
      </c>
      <c r="BJ184" s="50">
        <v>90.0</v>
      </c>
      <c r="BK184" s="50">
        <v>2.0</v>
      </c>
      <c r="BL184" s="50">
        <v>2.0</v>
      </c>
      <c r="BM184" s="50">
        <v>1.0</v>
      </c>
      <c r="BN184" s="50">
        <v>5.0</v>
      </c>
      <c r="BO184" s="50">
        <v>2.0</v>
      </c>
      <c r="BP184" s="50">
        <v>1.0</v>
      </c>
      <c r="BQ184" s="50">
        <v>2.0</v>
      </c>
      <c r="BR184" s="50">
        <v>2.0</v>
      </c>
      <c r="BS184" s="50">
        <v>2.0</v>
      </c>
      <c r="BT184" s="50">
        <v>4.0</v>
      </c>
      <c r="BU184" s="53">
        <f t="shared" ref="BU184:BU188" si="290">IF(BN184=1,5,IF(BN184=2,4,IF(BN184=3,3,IF(BN184=4,2,IF(BN184=5,1)))))</f>
        <v>1</v>
      </c>
      <c r="BV184" s="53">
        <f t="shared" ref="BV184:BV188" si="291">IF(BT184=1,5,IF(BT184=2,4,IF(BT184=3,3,IF(BT184=4,2,IF(BT184=5,1)))))</f>
        <v>2</v>
      </c>
      <c r="BW184" s="53">
        <f t="shared" si="183"/>
        <v>20</v>
      </c>
      <c r="BX184" s="53" t="str">
        <f t="shared" ref="BX184:BX188" si="292">IF(BW184&lt;22,"NO HAY FATIGA",IF(BW184&lt;35,"FATIGA","FATIGA EXTREMA"))</f>
        <v>NO HAY FATIGA</v>
      </c>
      <c r="BY184" s="50">
        <v>6.0</v>
      </c>
      <c r="BZ184" s="50">
        <v>1.0</v>
      </c>
      <c r="CA184" s="36">
        <v>0.0</v>
      </c>
      <c r="CB184" s="36">
        <v>0.0</v>
      </c>
      <c r="CC184" s="36">
        <v>0.0</v>
      </c>
      <c r="CD184" s="36">
        <v>0.0</v>
      </c>
      <c r="CE184" s="50">
        <v>7.0</v>
      </c>
      <c r="CF184" s="50">
        <v>0.0</v>
      </c>
      <c r="CG184" s="50">
        <v>30.0</v>
      </c>
      <c r="CH184" s="50">
        <v>1.0</v>
      </c>
      <c r="CI184" s="36">
        <v>0.0</v>
      </c>
      <c r="CJ184" s="53">
        <f t="shared" si="254"/>
        <v>3573</v>
      </c>
      <c r="CK184" s="53">
        <f t="shared" si="206"/>
        <v>13</v>
      </c>
      <c r="CL184" s="44" t="str">
        <f t="shared" si="207"/>
        <v>Nivel de actividad física alto</v>
      </c>
      <c r="CM184" s="44" t="str">
        <f t="shared" si="208"/>
        <v>Nivel de actividad física moderado</v>
      </c>
      <c r="CN184" s="45" t="str">
        <f t="shared" si="209"/>
        <v>Nivel de actividad física alto</v>
      </c>
      <c r="CO184" s="50">
        <v>3.0</v>
      </c>
      <c r="CP184" s="50">
        <v>30.0</v>
      </c>
      <c r="CQ184" s="53">
        <f t="shared" si="287"/>
        <v>1</v>
      </c>
      <c r="CR184" s="50">
        <v>12.0</v>
      </c>
      <c r="CS184" s="50">
        <v>0.0</v>
      </c>
      <c r="CT184" s="50">
        <v>9.0</v>
      </c>
      <c r="CU184" s="50">
        <v>8.0</v>
      </c>
      <c r="CV184" s="50">
        <v>2.0</v>
      </c>
      <c r="CW184" s="82">
        <v>3.0</v>
      </c>
      <c r="CX184" s="50">
        <v>3.0</v>
      </c>
      <c r="CY184" s="82">
        <v>0.0</v>
      </c>
      <c r="CZ184" s="82">
        <v>0.0</v>
      </c>
      <c r="DA184" s="82">
        <v>0.0</v>
      </c>
      <c r="DB184" s="50">
        <v>0.0</v>
      </c>
      <c r="DC184" s="82">
        <v>0.0</v>
      </c>
      <c r="DD184" s="82">
        <v>0.0</v>
      </c>
      <c r="DE184" s="82">
        <v>0.0</v>
      </c>
      <c r="DF184" s="36" t="s">
        <v>133</v>
      </c>
      <c r="DG184" s="53">
        <f t="shared" si="55"/>
        <v>6</v>
      </c>
      <c r="DH184" s="50">
        <v>0.0</v>
      </c>
      <c r="DI184" s="82">
        <v>0.0</v>
      </c>
      <c r="DJ184" s="50">
        <v>2.0</v>
      </c>
      <c r="DK184" s="50">
        <v>1.0</v>
      </c>
      <c r="DL184" s="68">
        <f t="shared" si="237"/>
        <v>88.88888889</v>
      </c>
      <c r="DM184" s="53">
        <f t="shared" si="238"/>
        <v>0</v>
      </c>
      <c r="DN184" s="53">
        <f t="shared" si="239"/>
        <v>1</v>
      </c>
      <c r="DO184" s="53">
        <f t="shared" si="240"/>
        <v>2</v>
      </c>
      <c r="DP184" s="53">
        <f t="shared" si="241"/>
        <v>2</v>
      </c>
      <c r="DQ184" s="53">
        <f t="shared" si="242"/>
        <v>0</v>
      </c>
      <c r="DR184" s="53">
        <f t="shared" ref="DR184:DS184" si="288">(DH184)</f>
        <v>0</v>
      </c>
      <c r="DS184" s="53">
        <f t="shared" si="288"/>
        <v>0</v>
      </c>
      <c r="DT184" s="53">
        <f t="shared" si="41"/>
        <v>5</v>
      </c>
      <c r="DU184" s="53" t="str">
        <f t="shared" si="244"/>
        <v>good sleep quality</v>
      </c>
      <c r="DV184" s="50">
        <v>0.0</v>
      </c>
      <c r="DW184" s="36" t="s">
        <v>133</v>
      </c>
      <c r="DX184" s="36" t="s">
        <v>146</v>
      </c>
      <c r="DY184" s="50">
        <v>2.0</v>
      </c>
      <c r="DZ184" s="36" t="s">
        <v>131</v>
      </c>
      <c r="EA184" s="50" t="s">
        <v>178</v>
      </c>
      <c r="EB184" s="50" t="s">
        <v>222</v>
      </c>
      <c r="EC184" s="50" t="s">
        <v>131</v>
      </c>
      <c r="ED184" s="36" t="s">
        <v>132</v>
      </c>
      <c r="EE184" s="50" t="s">
        <v>235</v>
      </c>
      <c r="EF184" s="35">
        <f t="shared" si="285"/>
        <v>1573</v>
      </c>
      <c r="EG184" s="35">
        <f t="shared" si="289"/>
        <v>1300</v>
      </c>
      <c r="EH184" s="47">
        <f t="shared" si="24"/>
        <v>24.61810377</v>
      </c>
    </row>
    <row r="185" ht="15.75" customHeight="1">
      <c r="A185" s="35" t="s">
        <v>607</v>
      </c>
      <c r="B185" s="57" t="s">
        <v>129</v>
      </c>
      <c r="C185" s="37">
        <v>45556.0</v>
      </c>
      <c r="D185" s="64">
        <v>47.0</v>
      </c>
      <c r="E185" s="50" t="s">
        <v>153</v>
      </c>
      <c r="F185" s="50">
        <v>163.0</v>
      </c>
      <c r="G185" s="91">
        <v>67.0</v>
      </c>
      <c r="H185" s="85" t="s">
        <v>131</v>
      </c>
      <c r="I185" s="50">
        <v>5.0</v>
      </c>
      <c r="J185" s="76">
        <v>44914.0</v>
      </c>
      <c r="K185" s="85" t="s">
        <v>131</v>
      </c>
      <c r="L185" s="85">
        <v>1.0</v>
      </c>
      <c r="M185" s="76">
        <v>44562.0</v>
      </c>
      <c r="N185" s="50">
        <v>2.0</v>
      </c>
      <c r="O185" s="42">
        <v>44013.0</v>
      </c>
      <c r="P185" s="85" t="s">
        <v>132</v>
      </c>
      <c r="Q185" s="36" t="s">
        <v>133</v>
      </c>
      <c r="R185" s="36" t="s">
        <v>133</v>
      </c>
      <c r="S185" s="36" t="s">
        <v>133</v>
      </c>
      <c r="T185" s="36" t="s">
        <v>133</v>
      </c>
      <c r="U185" s="36" t="s">
        <v>133</v>
      </c>
      <c r="V185" s="36" t="str">
        <f t="shared" si="178"/>
        <v>Paciente ambulatorio</v>
      </c>
      <c r="W185" s="85" t="s">
        <v>183</v>
      </c>
      <c r="X185" s="85" t="s">
        <v>132</v>
      </c>
      <c r="Y185" s="85">
        <v>3.0</v>
      </c>
      <c r="Z185" s="85">
        <v>1.0</v>
      </c>
      <c r="AA185" s="85">
        <v>3.0</v>
      </c>
      <c r="AB185" s="85">
        <v>3.0</v>
      </c>
      <c r="AC185" s="50">
        <v>2.0</v>
      </c>
      <c r="AD185" s="50">
        <v>2.0</v>
      </c>
      <c r="AE185" s="50">
        <v>2.0</v>
      </c>
      <c r="AF185" s="50">
        <v>3.0</v>
      </c>
      <c r="AG185" s="85">
        <v>3.0</v>
      </c>
      <c r="AH185" s="50">
        <v>3.0</v>
      </c>
      <c r="AI185" s="85">
        <v>3.0</v>
      </c>
      <c r="AJ185" s="50">
        <v>3.0</v>
      </c>
      <c r="AK185" s="83" t="s">
        <v>608</v>
      </c>
      <c r="AL185" s="75" t="s">
        <v>132</v>
      </c>
      <c r="AM185" s="36" t="s">
        <v>132</v>
      </c>
      <c r="AN185" s="36" t="s">
        <v>132</v>
      </c>
      <c r="AO185" s="36" t="s">
        <v>132</v>
      </c>
      <c r="AP185" s="36" t="s">
        <v>132</v>
      </c>
      <c r="AQ185" s="36" t="s">
        <v>132</v>
      </c>
      <c r="AR185" s="36" t="s">
        <v>132</v>
      </c>
      <c r="AS185" s="36" t="s">
        <v>132</v>
      </c>
      <c r="AT185" s="36" t="s">
        <v>132</v>
      </c>
      <c r="AU185" s="36" t="s">
        <v>132</v>
      </c>
      <c r="AV185" s="50" t="s">
        <v>132</v>
      </c>
      <c r="AW185" s="36" t="s">
        <v>133</v>
      </c>
      <c r="AX185" s="50" t="s">
        <v>132</v>
      </c>
      <c r="AY185" s="36" t="s">
        <v>133</v>
      </c>
      <c r="AZ185" s="36" t="s">
        <v>133</v>
      </c>
      <c r="BA185" s="36" t="s">
        <v>133</v>
      </c>
      <c r="BB185" s="50" t="s">
        <v>192</v>
      </c>
      <c r="BC185" s="81">
        <v>2.0</v>
      </c>
      <c r="BD185" s="79">
        <v>1.0</v>
      </c>
      <c r="BE185" s="50">
        <v>1.0</v>
      </c>
      <c r="BF185" s="50">
        <v>1.0</v>
      </c>
      <c r="BG185" s="50">
        <v>2.0</v>
      </c>
      <c r="BH185" s="50">
        <v>2.0</v>
      </c>
      <c r="BI185" s="44" t="str">
        <f t="shared" si="205"/>
        <v>11122</v>
      </c>
      <c r="BJ185" s="50">
        <v>72.0</v>
      </c>
      <c r="BK185" s="50">
        <v>3.0</v>
      </c>
      <c r="BL185" s="50">
        <v>2.0</v>
      </c>
      <c r="BM185" s="82">
        <v>2.0</v>
      </c>
      <c r="BN185" s="50">
        <v>5.0</v>
      </c>
      <c r="BO185" s="50">
        <v>3.0</v>
      </c>
      <c r="BP185" s="50">
        <v>2.0</v>
      </c>
      <c r="BQ185" s="82">
        <v>2.0</v>
      </c>
      <c r="BR185" s="82">
        <v>2.0</v>
      </c>
      <c r="BS185" s="50">
        <v>2.0</v>
      </c>
      <c r="BT185" s="50">
        <v>4.0</v>
      </c>
      <c r="BU185" s="53">
        <f t="shared" si="290"/>
        <v>1</v>
      </c>
      <c r="BV185" s="53">
        <f t="shared" si="291"/>
        <v>2</v>
      </c>
      <c r="BW185" s="53">
        <f t="shared" si="183"/>
        <v>24</v>
      </c>
      <c r="BX185" s="53" t="str">
        <f t="shared" si="292"/>
        <v>FATIGA</v>
      </c>
      <c r="BY185" s="50">
        <v>2.0</v>
      </c>
      <c r="BZ185" s="50">
        <v>1.0</v>
      </c>
      <c r="CA185" s="50">
        <v>30.0</v>
      </c>
      <c r="CB185" s="50">
        <v>1.0</v>
      </c>
      <c r="CC185" s="50">
        <v>1.0</v>
      </c>
      <c r="CD185" s="36">
        <v>0.0</v>
      </c>
      <c r="CE185" s="50">
        <v>1.0</v>
      </c>
      <c r="CF185" s="36">
        <v>0.0</v>
      </c>
      <c r="CG185" s="50">
        <v>10.0</v>
      </c>
      <c r="CH185" s="50">
        <v>10.0</v>
      </c>
      <c r="CI185" s="50">
        <v>0.0</v>
      </c>
      <c r="CJ185" s="53">
        <f t="shared" si="254"/>
        <v>1713</v>
      </c>
      <c r="CK185" s="53">
        <f t="shared" si="206"/>
        <v>4</v>
      </c>
      <c r="CL185" s="44" t="b">
        <f t="shared" si="207"/>
        <v>0</v>
      </c>
      <c r="CM185" s="44" t="b">
        <f t="shared" si="208"/>
        <v>0</v>
      </c>
      <c r="CN185" s="45" t="str">
        <f t="shared" si="209"/>
        <v>Nivel de actividad física bajo</v>
      </c>
      <c r="CO185" s="78">
        <v>0.9791666666666666</v>
      </c>
      <c r="CP185" s="50">
        <v>30.0</v>
      </c>
      <c r="CQ185" s="53">
        <f t="shared" si="287"/>
        <v>1</v>
      </c>
      <c r="CR185" s="82">
        <v>6.0</v>
      </c>
      <c r="CS185" s="50">
        <v>30.0</v>
      </c>
      <c r="CT185" s="50">
        <v>7.0</v>
      </c>
      <c r="CU185" s="50">
        <v>4.0</v>
      </c>
      <c r="CV185" s="82">
        <v>2.0</v>
      </c>
      <c r="CW185" s="82">
        <v>3.0</v>
      </c>
      <c r="CX185" s="82">
        <v>3.0</v>
      </c>
      <c r="CY185" s="50">
        <v>2.0</v>
      </c>
      <c r="CZ185" s="50">
        <v>1.0</v>
      </c>
      <c r="DA185" s="50">
        <v>1.0</v>
      </c>
      <c r="DB185" s="50">
        <v>2.0</v>
      </c>
      <c r="DC185" s="50">
        <v>0.0</v>
      </c>
      <c r="DD185" s="50">
        <v>0.0</v>
      </c>
      <c r="DE185" s="50">
        <v>0.0</v>
      </c>
      <c r="DF185" s="36" t="s">
        <v>133</v>
      </c>
      <c r="DG185" s="53">
        <f t="shared" si="55"/>
        <v>12</v>
      </c>
      <c r="DH185" s="82">
        <v>2.0</v>
      </c>
      <c r="DI185" s="82">
        <v>0.0</v>
      </c>
      <c r="DJ185" s="50">
        <v>3.0</v>
      </c>
      <c r="DK185" s="50">
        <v>1.0</v>
      </c>
      <c r="DL185" s="68">
        <f t="shared" si="237"/>
        <v>57.14285714</v>
      </c>
      <c r="DM185" s="53">
        <f t="shared" si="238"/>
        <v>3</v>
      </c>
      <c r="DN185" s="53">
        <f t="shared" si="239"/>
        <v>2</v>
      </c>
      <c r="DO185" s="53">
        <f t="shared" si="240"/>
        <v>2</v>
      </c>
      <c r="DP185" s="53">
        <f t="shared" si="241"/>
        <v>2</v>
      </c>
      <c r="DQ185" s="53">
        <f t="shared" si="242"/>
        <v>3</v>
      </c>
      <c r="DR185" s="53">
        <f t="shared" ref="DR185:DS185" si="293">(DH185)</f>
        <v>2</v>
      </c>
      <c r="DS185" s="53">
        <f t="shared" si="293"/>
        <v>0</v>
      </c>
      <c r="DT185" s="53">
        <f t="shared" si="41"/>
        <v>14</v>
      </c>
      <c r="DU185" s="53" t="str">
        <f t="shared" si="244"/>
        <v>poor sleep quality</v>
      </c>
      <c r="DV185" s="50">
        <v>2.0</v>
      </c>
      <c r="DW185" s="36" t="s">
        <v>149</v>
      </c>
      <c r="DX185" s="36" t="s">
        <v>146</v>
      </c>
      <c r="DY185" s="50" t="s">
        <v>156</v>
      </c>
      <c r="DZ185" s="36" t="s">
        <v>131</v>
      </c>
      <c r="EA185" s="50" t="s">
        <v>167</v>
      </c>
      <c r="EB185" s="36" t="s">
        <v>172</v>
      </c>
      <c r="EC185" s="50" t="s">
        <v>140</v>
      </c>
      <c r="ED185" s="50" t="s">
        <v>131</v>
      </c>
      <c r="EE185" s="50" t="s">
        <v>141</v>
      </c>
      <c r="EF185" s="35">
        <f t="shared" si="285"/>
        <v>994</v>
      </c>
      <c r="EG185" s="35">
        <f t="shared" si="289"/>
        <v>1543</v>
      </c>
      <c r="EH185" s="47">
        <f t="shared" si="24"/>
        <v>25.21735858</v>
      </c>
    </row>
    <row r="186" ht="15.75" customHeight="1">
      <c r="A186" s="35" t="s">
        <v>609</v>
      </c>
      <c r="B186" s="57" t="s">
        <v>129</v>
      </c>
      <c r="C186" s="37">
        <v>45556.0</v>
      </c>
      <c r="D186" s="64">
        <v>69.0</v>
      </c>
      <c r="E186" s="50" t="s">
        <v>153</v>
      </c>
      <c r="F186" s="57">
        <v>170.0</v>
      </c>
      <c r="G186" s="92">
        <v>78.0</v>
      </c>
      <c r="H186" s="85" t="s">
        <v>131</v>
      </c>
      <c r="I186" s="57">
        <v>5.0</v>
      </c>
      <c r="J186" s="55">
        <v>45171.0</v>
      </c>
      <c r="K186" s="50" t="s">
        <v>132</v>
      </c>
      <c r="L186" s="57" t="s">
        <v>133</v>
      </c>
      <c r="M186" s="55" t="s">
        <v>133</v>
      </c>
      <c r="N186" s="57" t="s">
        <v>133</v>
      </c>
      <c r="O186" s="55" t="s">
        <v>133</v>
      </c>
      <c r="P186" s="57" t="s">
        <v>133</v>
      </c>
      <c r="Q186" s="36" t="s">
        <v>133</v>
      </c>
      <c r="R186" s="36" t="s">
        <v>133</v>
      </c>
      <c r="S186" s="36" t="s">
        <v>133</v>
      </c>
      <c r="T186" s="36" t="s">
        <v>133</v>
      </c>
      <c r="U186" s="36" t="s">
        <v>133</v>
      </c>
      <c r="V186" s="36" t="str">
        <f t="shared" si="178"/>
        <v>No infectado</v>
      </c>
      <c r="W186" s="36" t="s">
        <v>133</v>
      </c>
      <c r="X186" s="36" t="s">
        <v>133</v>
      </c>
      <c r="Y186" s="36" t="s">
        <v>133</v>
      </c>
      <c r="Z186" s="36" t="s">
        <v>133</v>
      </c>
      <c r="AA186" s="36" t="s">
        <v>133</v>
      </c>
      <c r="AB186" s="36" t="s">
        <v>133</v>
      </c>
      <c r="AC186" s="36" t="s">
        <v>133</v>
      </c>
      <c r="AD186" s="36" t="s">
        <v>133</v>
      </c>
      <c r="AE186" s="36" t="s">
        <v>133</v>
      </c>
      <c r="AF186" s="36" t="s">
        <v>133</v>
      </c>
      <c r="AG186" s="36" t="s">
        <v>133</v>
      </c>
      <c r="AH186" s="36" t="s">
        <v>133</v>
      </c>
      <c r="AI186" s="36" t="s">
        <v>133</v>
      </c>
      <c r="AJ186" s="36" t="s">
        <v>133</v>
      </c>
      <c r="AK186" s="36" t="s">
        <v>133</v>
      </c>
      <c r="AL186" s="57" t="s">
        <v>132</v>
      </c>
      <c r="AM186" s="36" t="s">
        <v>132</v>
      </c>
      <c r="AN186" s="36" t="s">
        <v>132</v>
      </c>
      <c r="AO186" s="36" t="s">
        <v>132</v>
      </c>
      <c r="AP186" s="36" t="s">
        <v>132</v>
      </c>
      <c r="AQ186" s="36" t="s">
        <v>132</v>
      </c>
      <c r="AR186" s="36" t="s">
        <v>132</v>
      </c>
      <c r="AS186" s="36" t="s">
        <v>132</v>
      </c>
      <c r="AT186" s="50" t="s">
        <v>131</v>
      </c>
      <c r="AU186" s="50" t="s">
        <v>131</v>
      </c>
      <c r="AV186" s="50" t="s">
        <v>132</v>
      </c>
      <c r="AW186" s="36" t="s">
        <v>133</v>
      </c>
      <c r="AX186" s="57" t="s">
        <v>131</v>
      </c>
      <c r="AY186" s="57">
        <v>5.0</v>
      </c>
      <c r="AZ186" s="57">
        <v>40.0</v>
      </c>
      <c r="BA186" s="36" t="s">
        <v>133</v>
      </c>
      <c r="BB186" s="57" t="s">
        <v>192</v>
      </c>
      <c r="BC186" s="65">
        <v>2.0</v>
      </c>
      <c r="BD186" s="59">
        <v>1.0</v>
      </c>
      <c r="BE186" s="57">
        <v>1.0</v>
      </c>
      <c r="BF186" s="57">
        <v>1.0</v>
      </c>
      <c r="BG186" s="57">
        <v>1.0</v>
      </c>
      <c r="BH186" s="57">
        <v>2.0</v>
      </c>
      <c r="BI186" s="44" t="str">
        <f t="shared" si="205"/>
        <v>11112</v>
      </c>
      <c r="BJ186" s="57">
        <v>95.0</v>
      </c>
      <c r="BK186" s="57">
        <v>1.0</v>
      </c>
      <c r="BL186" s="57">
        <v>1.0</v>
      </c>
      <c r="BM186" s="57">
        <v>2.0</v>
      </c>
      <c r="BN186" s="57">
        <v>5.0</v>
      </c>
      <c r="BO186" s="57">
        <v>1.0</v>
      </c>
      <c r="BP186" s="57">
        <v>1.0</v>
      </c>
      <c r="BQ186" s="57">
        <v>1.0</v>
      </c>
      <c r="BR186" s="57">
        <v>1.0</v>
      </c>
      <c r="BS186" s="57">
        <v>1.0</v>
      </c>
      <c r="BT186" s="57">
        <v>4.0</v>
      </c>
      <c r="BU186" s="53">
        <f t="shared" si="290"/>
        <v>1</v>
      </c>
      <c r="BV186" s="53">
        <f t="shared" si="291"/>
        <v>2</v>
      </c>
      <c r="BW186" s="53">
        <f t="shared" si="183"/>
        <v>15</v>
      </c>
      <c r="BX186" s="53" t="str">
        <f t="shared" si="292"/>
        <v>NO HAY FATIGA</v>
      </c>
      <c r="BY186" s="57">
        <v>0.0</v>
      </c>
      <c r="BZ186" s="57">
        <v>0.0</v>
      </c>
      <c r="CA186" s="57">
        <v>0.0</v>
      </c>
      <c r="CB186" s="57">
        <v>7.0</v>
      </c>
      <c r="CC186" s="57">
        <v>4.0</v>
      </c>
      <c r="CD186" s="57">
        <v>0.0</v>
      </c>
      <c r="CE186" s="57">
        <v>4.0</v>
      </c>
      <c r="CF186" s="57">
        <v>1.0</v>
      </c>
      <c r="CG186" s="57">
        <v>0.0</v>
      </c>
      <c r="CH186" s="57">
        <v>7.0</v>
      </c>
      <c r="CI186" s="57">
        <v>0.0</v>
      </c>
      <c r="CJ186" s="53">
        <f t="shared" si="254"/>
        <v>7512</v>
      </c>
      <c r="CK186" s="53">
        <f t="shared" si="206"/>
        <v>11</v>
      </c>
      <c r="CL186" s="44" t="str">
        <f t="shared" si="207"/>
        <v>Nivel de actividad física alto</v>
      </c>
      <c r="CM186" s="44" t="str">
        <f t="shared" si="208"/>
        <v>Nivel de actividad física moderado</v>
      </c>
      <c r="CN186" s="45" t="str">
        <f t="shared" si="209"/>
        <v>Nivel de actividad física alto</v>
      </c>
      <c r="CO186" s="69">
        <v>0.0625</v>
      </c>
      <c r="CP186" s="57">
        <v>15.0</v>
      </c>
      <c r="CQ186" s="53">
        <f t="shared" si="287"/>
        <v>0</v>
      </c>
      <c r="CR186" s="57">
        <v>7.0</v>
      </c>
      <c r="CS186" s="57">
        <v>0.0</v>
      </c>
      <c r="CT186" s="57">
        <v>5.5</v>
      </c>
      <c r="CU186" s="57">
        <v>5.0</v>
      </c>
      <c r="CV186" s="57">
        <v>0.0</v>
      </c>
      <c r="CW186" s="57">
        <v>3.0</v>
      </c>
      <c r="CX186" s="57">
        <v>0.0</v>
      </c>
      <c r="CY186" s="57">
        <v>0.0</v>
      </c>
      <c r="CZ186" s="57">
        <v>0.0</v>
      </c>
      <c r="DA186" s="57">
        <v>0.0</v>
      </c>
      <c r="DB186" s="57">
        <v>0.0</v>
      </c>
      <c r="DC186" s="57">
        <v>0.0</v>
      </c>
      <c r="DD186" s="57">
        <v>0.0</v>
      </c>
      <c r="DE186" s="57">
        <v>0.0</v>
      </c>
      <c r="DF186" s="36" t="s">
        <v>133</v>
      </c>
      <c r="DG186" s="53">
        <f t="shared" si="55"/>
        <v>3</v>
      </c>
      <c r="DH186" s="57">
        <v>1.0</v>
      </c>
      <c r="DI186" s="57">
        <v>0.0</v>
      </c>
      <c r="DJ186" s="57">
        <v>2.0</v>
      </c>
      <c r="DK186" s="57">
        <v>0.0</v>
      </c>
      <c r="DL186" s="68">
        <f t="shared" si="237"/>
        <v>90.90909091</v>
      </c>
      <c r="DM186" s="53">
        <f t="shared" si="238"/>
        <v>2</v>
      </c>
      <c r="DN186" s="53">
        <f t="shared" si="239"/>
        <v>1</v>
      </c>
      <c r="DO186" s="53">
        <f t="shared" si="240"/>
        <v>0</v>
      </c>
      <c r="DP186" s="53">
        <f t="shared" si="241"/>
        <v>1</v>
      </c>
      <c r="DQ186" s="53">
        <f t="shared" si="242"/>
        <v>0</v>
      </c>
      <c r="DR186" s="53">
        <f t="shared" ref="DR186:DS186" si="294">(DH186)</f>
        <v>1</v>
      </c>
      <c r="DS186" s="53">
        <f t="shared" si="294"/>
        <v>0</v>
      </c>
      <c r="DT186" s="53">
        <f t="shared" si="41"/>
        <v>5</v>
      </c>
      <c r="DU186" s="53" t="str">
        <f t="shared" si="244"/>
        <v>good sleep quality</v>
      </c>
      <c r="DV186" s="57">
        <v>0.0</v>
      </c>
      <c r="DW186" s="36" t="s">
        <v>133</v>
      </c>
      <c r="DX186" s="57" t="s">
        <v>146</v>
      </c>
      <c r="DY186" s="57">
        <v>1.0</v>
      </c>
      <c r="DZ186" s="57" t="s">
        <v>131</v>
      </c>
      <c r="EA186" s="57" t="s">
        <v>167</v>
      </c>
      <c r="EB186" s="57" t="s">
        <v>261</v>
      </c>
      <c r="EC186" s="57" t="s">
        <v>131</v>
      </c>
      <c r="ED186" s="57" t="s">
        <v>235</v>
      </c>
      <c r="EE186" s="57" t="s">
        <v>235</v>
      </c>
      <c r="EF186" s="36" t="s">
        <v>133</v>
      </c>
      <c r="EG186" s="36" t="s">
        <v>133</v>
      </c>
      <c r="EH186" s="47">
        <f t="shared" si="24"/>
        <v>26.98961938</v>
      </c>
    </row>
    <row r="187" ht="15.75" customHeight="1">
      <c r="A187" s="57" t="s">
        <v>610</v>
      </c>
      <c r="B187" s="57" t="s">
        <v>175</v>
      </c>
      <c r="C187" s="63">
        <v>45563.0</v>
      </c>
      <c r="D187" s="64">
        <v>55.0</v>
      </c>
      <c r="E187" s="50" t="s">
        <v>130</v>
      </c>
      <c r="F187" s="57">
        <v>158.0</v>
      </c>
      <c r="G187" s="92">
        <v>70.0</v>
      </c>
      <c r="H187" s="50" t="s">
        <v>131</v>
      </c>
      <c r="I187" s="57">
        <v>5.0</v>
      </c>
      <c r="J187" s="55" t="s">
        <v>133</v>
      </c>
      <c r="K187" s="50" t="s">
        <v>131</v>
      </c>
      <c r="L187" s="57">
        <v>2.0</v>
      </c>
      <c r="M187" s="55">
        <v>44682.0</v>
      </c>
      <c r="N187" s="57" t="s">
        <v>133</v>
      </c>
      <c r="O187" s="55">
        <v>45323.0</v>
      </c>
      <c r="P187" s="85" t="s">
        <v>132</v>
      </c>
      <c r="Q187" s="36" t="s">
        <v>133</v>
      </c>
      <c r="R187" s="36" t="s">
        <v>133</v>
      </c>
      <c r="S187" s="36" t="s">
        <v>133</v>
      </c>
      <c r="T187" s="36" t="s">
        <v>133</v>
      </c>
      <c r="U187" s="36" t="s">
        <v>133</v>
      </c>
      <c r="V187" s="36" t="str">
        <f t="shared" si="178"/>
        <v>Paciente ambulatorio</v>
      </c>
      <c r="W187" s="50" t="s">
        <v>176</v>
      </c>
      <c r="X187" s="50" t="s">
        <v>132</v>
      </c>
      <c r="Y187" s="50">
        <v>1.0</v>
      </c>
      <c r="Z187" s="50">
        <v>1.0</v>
      </c>
      <c r="AA187" s="50">
        <v>3.0</v>
      </c>
      <c r="AB187" s="50">
        <v>3.0</v>
      </c>
      <c r="AC187" s="50">
        <v>3.0</v>
      </c>
      <c r="AD187" s="50">
        <v>2.0</v>
      </c>
      <c r="AE187" s="50">
        <v>2.0</v>
      </c>
      <c r="AF187" s="50">
        <v>1.0</v>
      </c>
      <c r="AG187" s="50">
        <v>1.0</v>
      </c>
      <c r="AH187" s="50">
        <v>3.0</v>
      </c>
      <c r="AI187" s="50">
        <v>1.0</v>
      </c>
      <c r="AJ187" s="50">
        <v>1.0</v>
      </c>
      <c r="AK187" s="83" t="s">
        <v>611</v>
      </c>
      <c r="AL187" s="57" t="s">
        <v>132</v>
      </c>
      <c r="AM187" s="57" t="s">
        <v>132</v>
      </c>
      <c r="AN187" s="57" t="s">
        <v>132</v>
      </c>
      <c r="AO187" s="57" t="s">
        <v>132</v>
      </c>
      <c r="AP187" s="57" t="s">
        <v>132</v>
      </c>
      <c r="AQ187" s="57" t="s">
        <v>132</v>
      </c>
      <c r="AR187" s="57" t="s">
        <v>132</v>
      </c>
      <c r="AS187" s="57" t="s">
        <v>132</v>
      </c>
      <c r="AT187" s="57" t="s">
        <v>132</v>
      </c>
      <c r="AU187" s="57" t="s">
        <v>132</v>
      </c>
      <c r="AV187" s="57" t="s">
        <v>132</v>
      </c>
      <c r="AW187" s="36" t="s">
        <v>133</v>
      </c>
      <c r="AX187" s="57" t="s">
        <v>132</v>
      </c>
      <c r="AY187" s="36" t="s">
        <v>133</v>
      </c>
      <c r="AZ187" s="36" t="s">
        <v>133</v>
      </c>
      <c r="BA187" s="36" t="s">
        <v>133</v>
      </c>
      <c r="BB187" s="50" t="s">
        <v>145</v>
      </c>
      <c r="BC187" s="36" t="s">
        <v>133</v>
      </c>
      <c r="BD187" s="57">
        <v>2.0</v>
      </c>
      <c r="BE187" s="57">
        <v>1.0</v>
      </c>
      <c r="BF187" s="57">
        <v>4.0</v>
      </c>
      <c r="BG187" s="57">
        <v>3.0</v>
      </c>
      <c r="BH187" s="57">
        <v>2.0</v>
      </c>
      <c r="BI187" s="44" t="str">
        <f t="shared" si="205"/>
        <v>21432</v>
      </c>
      <c r="BJ187" s="57">
        <v>50.0</v>
      </c>
      <c r="BK187" s="57">
        <v>2.0</v>
      </c>
      <c r="BL187" s="57">
        <v>4.0</v>
      </c>
      <c r="BM187" s="57">
        <v>4.0</v>
      </c>
      <c r="BN187" s="57">
        <v>2.0</v>
      </c>
      <c r="BO187" s="57">
        <v>4.0</v>
      </c>
      <c r="BP187" s="57">
        <v>4.0</v>
      </c>
      <c r="BQ187" s="57">
        <v>5.0</v>
      </c>
      <c r="BR187" s="57">
        <v>5.0</v>
      </c>
      <c r="BS187" s="57">
        <v>5.0</v>
      </c>
      <c r="BT187" s="57">
        <v>1.0</v>
      </c>
      <c r="BU187" s="53">
        <f t="shared" si="290"/>
        <v>4</v>
      </c>
      <c r="BV187" s="53">
        <f t="shared" si="291"/>
        <v>5</v>
      </c>
      <c r="BW187" s="53">
        <f t="shared" si="183"/>
        <v>39</v>
      </c>
      <c r="BX187" s="53" t="str">
        <f t="shared" si="292"/>
        <v>FATIGA EXTREMA</v>
      </c>
      <c r="BY187" s="57">
        <v>0.0</v>
      </c>
      <c r="BZ187" s="57">
        <v>0.0</v>
      </c>
      <c r="CA187" s="57">
        <v>0.0</v>
      </c>
      <c r="CB187" s="57">
        <v>1.0</v>
      </c>
      <c r="CC187" s="57">
        <v>1.0</v>
      </c>
      <c r="CD187" s="57">
        <v>30.0</v>
      </c>
      <c r="CE187" s="57">
        <v>5.0</v>
      </c>
      <c r="CF187" s="57">
        <v>0.0</v>
      </c>
      <c r="CG187" s="57">
        <v>20.0</v>
      </c>
      <c r="CH187" s="57">
        <v>5.0</v>
      </c>
      <c r="CI187" s="57">
        <v>0.0</v>
      </c>
      <c r="CJ187" s="53">
        <f t="shared" si="254"/>
        <v>690</v>
      </c>
      <c r="CK187" s="53">
        <f t="shared" si="206"/>
        <v>6</v>
      </c>
      <c r="CL187" s="44" t="b">
        <f t="shared" si="207"/>
        <v>0</v>
      </c>
      <c r="CM187" s="44" t="str">
        <f t="shared" si="208"/>
        <v>Nivel de actividad física moderado</v>
      </c>
      <c r="CN187" s="45" t="str">
        <f t="shared" si="209"/>
        <v>Nivel de actividad física moderado</v>
      </c>
      <c r="CO187" s="69">
        <v>0.020833333333333332</v>
      </c>
      <c r="CP187" s="57">
        <v>10.0</v>
      </c>
      <c r="CQ187" s="44">
        <f>IF(CP187&gt;60,3,IF(CP187&gt;30,2,IF(CP187&gt;15,1,0)))</f>
        <v>0</v>
      </c>
      <c r="CR187" s="57">
        <v>9.0</v>
      </c>
      <c r="CS187" s="57">
        <v>0.0</v>
      </c>
      <c r="CT187" s="57">
        <v>8.5</v>
      </c>
      <c r="CU187" s="57">
        <v>7.0</v>
      </c>
      <c r="CV187" s="57">
        <v>1.0</v>
      </c>
      <c r="CW187" s="57">
        <v>3.0</v>
      </c>
      <c r="CX187" s="57">
        <v>3.0</v>
      </c>
      <c r="CY187" s="57">
        <v>0.0</v>
      </c>
      <c r="CZ187" s="57">
        <v>1.0</v>
      </c>
      <c r="DA187" s="57">
        <v>3.0</v>
      </c>
      <c r="DB187" s="57">
        <v>3.0</v>
      </c>
      <c r="DC187" s="57">
        <v>0.0</v>
      </c>
      <c r="DD187" s="57">
        <v>2.0</v>
      </c>
      <c r="DE187" s="57">
        <v>3.0</v>
      </c>
      <c r="DF187" s="36" t="s">
        <v>133</v>
      </c>
      <c r="DG187" s="53">
        <f t="shared" si="55"/>
        <v>18</v>
      </c>
      <c r="DH187" s="50">
        <v>1.0</v>
      </c>
      <c r="DI187" s="50">
        <v>0.0</v>
      </c>
      <c r="DJ187" s="50">
        <v>3.0</v>
      </c>
      <c r="DK187" s="50">
        <v>3.0</v>
      </c>
      <c r="DL187" s="68">
        <f t="shared" si="237"/>
        <v>82.35294118</v>
      </c>
      <c r="DM187" s="53">
        <f t="shared" si="238"/>
        <v>0</v>
      </c>
      <c r="DN187" s="53">
        <f t="shared" si="239"/>
        <v>2</v>
      </c>
      <c r="DO187" s="53">
        <f t="shared" si="240"/>
        <v>1</v>
      </c>
      <c r="DP187" s="53">
        <f t="shared" si="241"/>
        <v>3</v>
      </c>
      <c r="DQ187" s="53">
        <f t="shared" si="242"/>
        <v>1</v>
      </c>
      <c r="DR187" s="53">
        <f t="shared" ref="DR187:DS187" si="295">(DH187)</f>
        <v>1</v>
      </c>
      <c r="DS187" s="53">
        <f t="shared" si="295"/>
        <v>0</v>
      </c>
      <c r="DT187" s="53">
        <f t="shared" si="41"/>
        <v>8</v>
      </c>
      <c r="DU187" s="53" t="str">
        <f t="shared" si="244"/>
        <v>poor sleep quality</v>
      </c>
      <c r="DV187" s="50">
        <v>3.0</v>
      </c>
      <c r="DW187" s="50" t="s">
        <v>136</v>
      </c>
      <c r="DX187" s="50" t="s">
        <v>146</v>
      </c>
      <c r="DY187" s="50">
        <v>1.0</v>
      </c>
      <c r="DZ187" s="50" t="s">
        <v>131</v>
      </c>
      <c r="EA187" s="50" t="s">
        <v>147</v>
      </c>
      <c r="EB187" s="50" t="s">
        <v>612</v>
      </c>
      <c r="EC187" s="50" t="s">
        <v>131</v>
      </c>
      <c r="ED187" s="50" t="s">
        <v>131</v>
      </c>
      <c r="EE187" s="50" t="s">
        <v>140</v>
      </c>
      <c r="EF187" s="35">
        <f t="shared" ref="EF187:EF189" si="297">C187-M187</f>
        <v>881</v>
      </c>
      <c r="EG187" s="35">
        <f>C187-O187</f>
        <v>240</v>
      </c>
      <c r="EH187" s="47">
        <f t="shared" si="24"/>
        <v>28.04037814</v>
      </c>
    </row>
    <row r="188" ht="15.75" customHeight="1">
      <c r="A188" s="62" t="s">
        <v>613</v>
      </c>
      <c r="B188" s="57" t="s">
        <v>175</v>
      </c>
      <c r="C188" s="63">
        <v>45563.0</v>
      </c>
      <c r="D188" s="38">
        <v>55.0</v>
      </c>
      <c r="E188" s="50" t="s">
        <v>130</v>
      </c>
      <c r="F188" s="57">
        <v>163.0</v>
      </c>
      <c r="G188" s="92">
        <v>59.0</v>
      </c>
      <c r="H188" s="50" t="s">
        <v>131</v>
      </c>
      <c r="I188" s="55" t="s">
        <v>133</v>
      </c>
      <c r="J188" s="55">
        <v>44166.0</v>
      </c>
      <c r="K188" s="50" t="s">
        <v>131</v>
      </c>
      <c r="L188" s="57">
        <v>2.0</v>
      </c>
      <c r="M188" s="55" t="s">
        <v>133</v>
      </c>
      <c r="N188" s="57" t="s">
        <v>133</v>
      </c>
      <c r="O188" s="55" t="s">
        <v>133</v>
      </c>
      <c r="P188" s="85" t="s">
        <v>132</v>
      </c>
      <c r="Q188" s="36" t="s">
        <v>133</v>
      </c>
      <c r="R188" s="36" t="s">
        <v>133</v>
      </c>
      <c r="S188" s="36" t="s">
        <v>133</v>
      </c>
      <c r="T188" s="36" t="s">
        <v>133</v>
      </c>
      <c r="U188" s="36" t="s">
        <v>133</v>
      </c>
      <c r="V188" s="36" t="str">
        <f t="shared" si="178"/>
        <v>Paciente ambulatorio</v>
      </c>
      <c r="W188" s="50" t="s">
        <v>183</v>
      </c>
      <c r="X188" s="50" t="s">
        <v>132</v>
      </c>
      <c r="Y188" s="57">
        <v>2.0</v>
      </c>
      <c r="Z188" s="57">
        <v>1.0</v>
      </c>
      <c r="AA188" s="57">
        <v>3.0</v>
      </c>
      <c r="AB188" s="57">
        <v>3.0</v>
      </c>
      <c r="AC188" s="57">
        <v>2.0</v>
      </c>
      <c r="AD188" s="57">
        <v>1.0</v>
      </c>
      <c r="AE188" s="57">
        <v>3.0</v>
      </c>
      <c r="AF188" s="57">
        <v>1.0</v>
      </c>
      <c r="AG188" s="57">
        <v>3.0</v>
      </c>
      <c r="AH188" s="57">
        <v>1.0</v>
      </c>
      <c r="AI188" s="57">
        <v>1.0</v>
      </c>
      <c r="AJ188" s="57">
        <v>3.0</v>
      </c>
      <c r="AK188" s="57" t="s">
        <v>614</v>
      </c>
      <c r="AL188" s="79" t="s">
        <v>132</v>
      </c>
      <c r="AM188" s="36" t="s">
        <v>132</v>
      </c>
      <c r="AN188" s="36" t="s">
        <v>132</v>
      </c>
      <c r="AO188" s="50" t="s">
        <v>131</v>
      </c>
      <c r="AP188" s="36" t="s">
        <v>132</v>
      </c>
      <c r="AQ188" s="36" t="s">
        <v>132</v>
      </c>
      <c r="AR188" s="36" t="s">
        <v>132</v>
      </c>
      <c r="AS188" s="36" t="s">
        <v>132</v>
      </c>
      <c r="AT188" s="36" t="s">
        <v>132</v>
      </c>
      <c r="AU188" s="36" t="s">
        <v>132</v>
      </c>
      <c r="AV188" s="50" t="s">
        <v>131</v>
      </c>
      <c r="AW188" s="57" t="s">
        <v>615</v>
      </c>
      <c r="AX188" s="36" t="s">
        <v>132</v>
      </c>
      <c r="AY188" s="36" t="s">
        <v>133</v>
      </c>
      <c r="AZ188" s="36" t="s">
        <v>133</v>
      </c>
      <c r="BA188" s="36" t="s">
        <v>133</v>
      </c>
      <c r="BB188" s="50" t="s">
        <v>569</v>
      </c>
      <c r="BC188" s="81">
        <v>3.0</v>
      </c>
      <c r="BD188" s="79">
        <v>2.0</v>
      </c>
      <c r="BE188" s="50">
        <v>1.0</v>
      </c>
      <c r="BF188" s="50">
        <v>2.0</v>
      </c>
      <c r="BG188" s="50">
        <v>2.0</v>
      </c>
      <c r="BH188" s="50">
        <v>3.0</v>
      </c>
      <c r="BI188" s="44" t="str">
        <f t="shared" si="205"/>
        <v>21223</v>
      </c>
      <c r="BJ188" s="50">
        <v>70.0</v>
      </c>
      <c r="BK188" s="50">
        <v>2.0</v>
      </c>
      <c r="BL188" s="50">
        <v>2.0</v>
      </c>
      <c r="BM188" s="50">
        <v>3.0</v>
      </c>
      <c r="BN188" s="50">
        <v>2.0</v>
      </c>
      <c r="BO188" s="50">
        <v>2.0</v>
      </c>
      <c r="BP188" s="50">
        <v>2.0</v>
      </c>
      <c r="BQ188" s="50">
        <v>2.0</v>
      </c>
      <c r="BR188" s="50">
        <v>2.0</v>
      </c>
      <c r="BS188" s="50">
        <v>3.0</v>
      </c>
      <c r="BT188" s="50">
        <v>2.0</v>
      </c>
      <c r="BU188" s="53">
        <f t="shared" si="290"/>
        <v>4</v>
      </c>
      <c r="BV188" s="53">
        <f t="shared" si="291"/>
        <v>4</v>
      </c>
      <c r="BW188" s="53">
        <f t="shared" si="183"/>
        <v>24</v>
      </c>
      <c r="BX188" s="53" t="str">
        <f t="shared" si="292"/>
        <v>FATIGA</v>
      </c>
      <c r="BY188" s="50">
        <v>1.0</v>
      </c>
      <c r="BZ188" s="50">
        <v>1.0</v>
      </c>
      <c r="CA188" s="50">
        <v>0.0</v>
      </c>
      <c r="CB188" s="50">
        <v>0.0</v>
      </c>
      <c r="CC188" s="50">
        <v>0.0</v>
      </c>
      <c r="CD188" s="50">
        <v>0.0</v>
      </c>
      <c r="CE188" s="50">
        <v>5.0</v>
      </c>
      <c r="CF188" s="50">
        <v>0.0</v>
      </c>
      <c r="CG188" s="50">
        <v>20.0</v>
      </c>
      <c r="CH188" s="50">
        <v>12.0</v>
      </c>
      <c r="CI188" s="50">
        <v>0.0</v>
      </c>
      <c r="CJ188" s="53">
        <f t="shared" si="254"/>
        <v>810</v>
      </c>
      <c r="CK188" s="53">
        <f t="shared" si="206"/>
        <v>6</v>
      </c>
      <c r="CL188" s="44" t="b">
        <f t="shared" si="207"/>
        <v>0</v>
      </c>
      <c r="CM188" s="44" t="str">
        <f t="shared" si="208"/>
        <v>Nivel de actividad física moderado</v>
      </c>
      <c r="CN188" s="45" t="str">
        <f t="shared" si="209"/>
        <v>Nivel de actividad física moderado</v>
      </c>
      <c r="CO188" s="78">
        <v>0.020833333333333332</v>
      </c>
      <c r="CP188" s="50">
        <v>120.0</v>
      </c>
      <c r="CQ188" s="53">
        <f t="shared" ref="CQ188:CQ191" si="298">IF(CP188&gt;60,3,IF(CP188&gt;30,2,IF(CP188&gt;15,1,0)))</f>
        <v>3</v>
      </c>
      <c r="CR188" s="50">
        <v>8.0</v>
      </c>
      <c r="CS188" s="50">
        <v>0.0</v>
      </c>
      <c r="CT188" s="50">
        <v>7.45</v>
      </c>
      <c r="CU188" s="50">
        <v>4.0</v>
      </c>
      <c r="CV188" s="50">
        <v>3.0</v>
      </c>
      <c r="CW188" s="50">
        <v>3.0</v>
      </c>
      <c r="CX188" s="50">
        <v>0.0</v>
      </c>
      <c r="CY188" s="50">
        <v>3.0</v>
      </c>
      <c r="CZ188" s="50">
        <v>0.0</v>
      </c>
      <c r="DA188" s="50">
        <v>0.0</v>
      </c>
      <c r="DB188" s="50">
        <v>3.0</v>
      </c>
      <c r="DC188" s="50">
        <v>0.0</v>
      </c>
      <c r="DD188" s="50">
        <v>1.0</v>
      </c>
      <c r="DE188" s="50">
        <v>2.0</v>
      </c>
      <c r="DF188" s="50" t="s">
        <v>616</v>
      </c>
      <c r="DG188" s="53">
        <f t="shared" si="55"/>
        <v>12</v>
      </c>
      <c r="DH188" s="57">
        <v>3.0</v>
      </c>
      <c r="DI188" s="57">
        <v>0.0</v>
      </c>
      <c r="DJ188" s="57">
        <v>3.0</v>
      </c>
      <c r="DK188" s="57">
        <v>2.0</v>
      </c>
      <c r="DL188" s="68">
        <f t="shared" si="237"/>
        <v>53.69127517</v>
      </c>
      <c r="DM188" s="53">
        <f t="shared" si="238"/>
        <v>3</v>
      </c>
      <c r="DN188" s="53">
        <f t="shared" si="239"/>
        <v>2</v>
      </c>
      <c r="DO188" s="53">
        <f t="shared" si="240"/>
        <v>3</v>
      </c>
      <c r="DP188" s="53">
        <f t="shared" si="241"/>
        <v>3</v>
      </c>
      <c r="DQ188" s="53">
        <f t="shared" si="242"/>
        <v>3</v>
      </c>
      <c r="DR188" s="53">
        <f t="shared" ref="DR188:DS188" si="296">(DH188)</f>
        <v>3</v>
      </c>
      <c r="DS188" s="53">
        <f t="shared" si="296"/>
        <v>0</v>
      </c>
      <c r="DT188" s="53">
        <f t="shared" si="41"/>
        <v>17</v>
      </c>
      <c r="DU188" s="53" t="str">
        <f t="shared" si="244"/>
        <v>poor sleep quality</v>
      </c>
      <c r="DV188" s="57">
        <v>1.0</v>
      </c>
      <c r="DW188" s="57" t="s">
        <v>617</v>
      </c>
      <c r="DX188" s="57" t="s">
        <v>146</v>
      </c>
      <c r="DY188" s="57">
        <v>2.0</v>
      </c>
      <c r="DZ188" s="57" t="s">
        <v>131</v>
      </c>
      <c r="EA188" s="57" t="s">
        <v>157</v>
      </c>
      <c r="EB188" s="57" t="s">
        <v>139</v>
      </c>
      <c r="EC188" s="57" t="s">
        <v>140</v>
      </c>
      <c r="ED188" s="57" t="s">
        <v>131</v>
      </c>
      <c r="EE188" s="57" t="s">
        <v>141</v>
      </c>
      <c r="EF188" s="35" t="str">
        <f t="shared" si="297"/>
        <v>#VALUE!</v>
      </c>
      <c r="EG188" s="36" t="s">
        <v>133</v>
      </c>
      <c r="EH188" s="47">
        <f t="shared" si="24"/>
        <v>22.20633069</v>
      </c>
    </row>
    <row r="189" ht="15.75" customHeight="1">
      <c r="A189" s="57" t="s">
        <v>618</v>
      </c>
      <c r="B189" s="57" t="s">
        <v>129</v>
      </c>
      <c r="C189" s="74">
        <v>45570.0</v>
      </c>
      <c r="D189" s="64">
        <v>47.0</v>
      </c>
      <c r="E189" s="50" t="s">
        <v>130</v>
      </c>
      <c r="F189" s="57">
        <v>161.0</v>
      </c>
      <c r="G189" s="92">
        <v>65.0</v>
      </c>
      <c r="H189" s="50" t="s">
        <v>131</v>
      </c>
      <c r="I189" s="57">
        <v>2.0</v>
      </c>
      <c r="J189" s="55" t="s">
        <v>133</v>
      </c>
      <c r="K189" s="50" t="s">
        <v>131</v>
      </c>
      <c r="L189" s="57">
        <v>1.0</v>
      </c>
      <c r="M189" s="55">
        <v>44585.0</v>
      </c>
      <c r="N189" s="50" t="s">
        <v>131</v>
      </c>
      <c r="O189" s="55" t="s">
        <v>133</v>
      </c>
      <c r="P189" s="50" t="s">
        <v>132</v>
      </c>
      <c r="Q189" s="36" t="s">
        <v>133</v>
      </c>
      <c r="R189" s="36" t="s">
        <v>133</v>
      </c>
      <c r="S189" s="36" t="s">
        <v>133</v>
      </c>
      <c r="T189" s="36" t="s">
        <v>133</v>
      </c>
      <c r="U189" s="36" t="s">
        <v>133</v>
      </c>
      <c r="V189" s="36" t="str">
        <f t="shared" si="178"/>
        <v>Paciente ambulatorio</v>
      </c>
      <c r="W189" s="50" t="s">
        <v>143</v>
      </c>
      <c r="X189" s="50" t="s">
        <v>132</v>
      </c>
      <c r="Y189" s="57">
        <v>3.0</v>
      </c>
      <c r="Z189" s="57">
        <v>2.0</v>
      </c>
      <c r="AA189" s="57">
        <v>3.0</v>
      </c>
      <c r="AB189" s="57">
        <v>3.0</v>
      </c>
      <c r="AC189" s="57">
        <v>2.0</v>
      </c>
      <c r="AD189" s="57">
        <v>3.0</v>
      </c>
      <c r="AE189" s="57">
        <v>2.0</v>
      </c>
      <c r="AF189" s="57">
        <v>3.0</v>
      </c>
      <c r="AG189" s="57">
        <v>3.0</v>
      </c>
      <c r="AH189" s="57">
        <v>3.0</v>
      </c>
      <c r="AI189" s="57">
        <v>1.0</v>
      </c>
      <c r="AJ189" s="57">
        <v>3.0</v>
      </c>
      <c r="AK189" s="57" t="s">
        <v>619</v>
      </c>
      <c r="AL189" s="79" t="s">
        <v>132</v>
      </c>
      <c r="AM189" s="50" t="s">
        <v>132</v>
      </c>
      <c r="AN189" s="50" t="s">
        <v>132</v>
      </c>
      <c r="AO189" s="50" t="s">
        <v>132</v>
      </c>
      <c r="AP189" s="50" t="s">
        <v>132</v>
      </c>
      <c r="AQ189" s="50" t="s">
        <v>132</v>
      </c>
      <c r="AR189" s="50" t="s">
        <v>132</v>
      </c>
      <c r="AS189" s="50" t="s">
        <v>132</v>
      </c>
      <c r="AT189" s="50" t="s">
        <v>132</v>
      </c>
      <c r="AU189" s="50" t="s">
        <v>132</v>
      </c>
      <c r="AV189" s="50" t="s">
        <v>131</v>
      </c>
      <c r="AW189" s="57" t="s">
        <v>620</v>
      </c>
      <c r="AX189" s="50" t="s">
        <v>132</v>
      </c>
      <c r="AY189" s="36" t="s">
        <v>133</v>
      </c>
      <c r="AZ189" s="36" t="s">
        <v>133</v>
      </c>
      <c r="BA189" s="36" t="s">
        <v>133</v>
      </c>
      <c r="BB189" s="50" t="s">
        <v>145</v>
      </c>
      <c r="BC189" s="36" t="s">
        <v>133</v>
      </c>
      <c r="BD189" s="79">
        <v>1.0</v>
      </c>
      <c r="BE189" s="50">
        <v>1.0</v>
      </c>
      <c r="BF189" s="50">
        <v>1.0</v>
      </c>
      <c r="BG189" s="50">
        <v>2.0</v>
      </c>
      <c r="BH189" s="50">
        <v>1.0</v>
      </c>
      <c r="BI189" s="44" t="str">
        <f t="shared" si="205"/>
        <v>11121</v>
      </c>
      <c r="BJ189" s="50">
        <v>80.0</v>
      </c>
      <c r="BK189" s="50">
        <v>2.0</v>
      </c>
      <c r="BL189" s="50">
        <v>2.0</v>
      </c>
      <c r="BM189" s="50">
        <v>2.0</v>
      </c>
      <c r="BN189" s="50">
        <v>5.0</v>
      </c>
      <c r="BO189" s="50">
        <v>2.0</v>
      </c>
      <c r="BP189" s="50">
        <v>1.0</v>
      </c>
      <c r="BQ189" s="50">
        <v>2.0</v>
      </c>
      <c r="BR189" s="50">
        <v>2.0</v>
      </c>
      <c r="BS189" s="50">
        <v>2.0</v>
      </c>
      <c r="BT189" s="50">
        <v>5.0</v>
      </c>
      <c r="BU189" s="44">
        <f>IF(BN189=1,5,IF(BN189=2,4,IF(BN189=3,3,IF(BN189=4,2,IF(BN189=5,1)))))</f>
        <v>1</v>
      </c>
      <c r="BV189" s="44">
        <f>IF(BT189=1,5,IF(BT189=2,4,IF(BT189=3,3,IF(BT189=4,2,IF(BT189=5,1)))))</f>
        <v>1</v>
      </c>
      <c r="BW189" s="44">
        <f t="shared" si="183"/>
        <v>21</v>
      </c>
      <c r="BX189" s="44" t="str">
        <f>IF(BW189&lt;22,"NO HAY FATIGA",IF(BW189&lt;35,"FATIGA","FATIGA EXTREMA"))</f>
        <v>NO HAY FATIGA</v>
      </c>
      <c r="BY189" s="50">
        <v>0.0</v>
      </c>
      <c r="BZ189" s="50">
        <v>0.0</v>
      </c>
      <c r="CA189" s="50">
        <v>0.0</v>
      </c>
      <c r="CB189" s="50">
        <v>2.0</v>
      </c>
      <c r="CC189" s="50">
        <v>1.0</v>
      </c>
      <c r="CD189" s="50">
        <v>15.0</v>
      </c>
      <c r="CE189" s="50">
        <v>6.0</v>
      </c>
      <c r="CF189" s="50">
        <v>0.0</v>
      </c>
      <c r="CG189" s="50">
        <v>30.0</v>
      </c>
      <c r="CH189" s="50">
        <v>6.0</v>
      </c>
      <c r="CI189" s="50">
        <v>0.0</v>
      </c>
      <c r="CJ189" s="53">
        <f t="shared" si="254"/>
        <v>1194</v>
      </c>
      <c r="CK189" s="53">
        <f t="shared" si="206"/>
        <v>8</v>
      </c>
      <c r="CL189" s="44" t="b">
        <f t="shared" si="207"/>
        <v>0</v>
      </c>
      <c r="CM189" s="44" t="str">
        <f t="shared" si="208"/>
        <v>Nivel de actividad física moderado</v>
      </c>
      <c r="CN189" s="45" t="str">
        <f t="shared" si="209"/>
        <v>Nivel de actividad física moderado</v>
      </c>
      <c r="CO189" s="50">
        <v>0.0</v>
      </c>
      <c r="CP189" s="50">
        <v>30.0</v>
      </c>
      <c r="CQ189" s="53">
        <f t="shared" si="298"/>
        <v>1</v>
      </c>
      <c r="CR189" s="50">
        <v>7.0</v>
      </c>
      <c r="CS189" s="50">
        <v>30.0</v>
      </c>
      <c r="CT189" s="50">
        <v>7.5</v>
      </c>
      <c r="CU189" s="50">
        <v>6.0</v>
      </c>
      <c r="CV189" s="50">
        <v>2.0</v>
      </c>
      <c r="CW189" s="50">
        <v>3.0</v>
      </c>
      <c r="CX189" s="50">
        <v>3.0</v>
      </c>
      <c r="CY189" s="50">
        <v>0.0</v>
      </c>
      <c r="CZ189" s="50">
        <v>1.0</v>
      </c>
      <c r="DA189" s="50">
        <v>0.0</v>
      </c>
      <c r="DB189" s="50">
        <v>1.0</v>
      </c>
      <c r="DC189" s="50">
        <v>0.0</v>
      </c>
      <c r="DD189" s="50">
        <v>1.0</v>
      </c>
      <c r="DE189" s="50">
        <v>1.0</v>
      </c>
      <c r="DF189" s="50" t="s">
        <v>621</v>
      </c>
      <c r="DG189" s="53">
        <f t="shared" si="55"/>
        <v>10</v>
      </c>
      <c r="DH189" s="57">
        <v>1.0</v>
      </c>
      <c r="DI189" s="57">
        <v>0.0</v>
      </c>
      <c r="DJ189" s="57">
        <v>1.0</v>
      </c>
      <c r="DK189" s="57">
        <v>0.0</v>
      </c>
      <c r="DL189" s="68">
        <f t="shared" si="237"/>
        <v>80</v>
      </c>
      <c r="DM189" s="53">
        <f t="shared" si="238"/>
        <v>1</v>
      </c>
      <c r="DN189" s="53">
        <f t="shared" si="239"/>
        <v>2</v>
      </c>
      <c r="DO189" s="53">
        <f t="shared" si="240"/>
        <v>2</v>
      </c>
      <c r="DP189" s="53">
        <f t="shared" si="241"/>
        <v>1</v>
      </c>
      <c r="DQ189" s="53">
        <f t="shared" si="242"/>
        <v>1</v>
      </c>
      <c r="DR189" s="53">
        <f t="shared" ref="DR189:DS189" si="299">(DH189)</f>
        <v>1</v>
      </c>
      <c r="DS189" s="53">
        <f t="shared" si="299"/>
        <v>0</v>
      </c>
      <c r="DT189" s="53">
        <f t="shared" si="41"/>
        <v>8</v>
      </c>
      <c r="DU189" s="53" t="str">
        <f t="shared" si="244"/>
        <v>poor sleep quality</v>
      </c>
      <c r="DV189" s="57">
        <v>0.0</v>
      </c>
      <c r="DW189" s="57" t="s">
        <v>622</v>
      </c>
      <c r="DX189" s="57" t="s">
        <v>146</v>
      </c>
      <c r="DY189" s="57">
        <v>2.0</v>
      </c>
      <c r="DZ189" s="57" t="s">
        <v>131</v>
      </c>
      <c r="EA189" s="57" t="s">
        <v>162</v>
      </c>
      <c r="EB189" s="57" t="s">
        <v>139</v>
      </c>
      <c r="EC189" s="36" t="s">
        <v>133</v>
      </c>
      <c r="ED189" s="36" t="s">
        <v>133</v>
      </c>
      <c r="EE189" s="57" t="s">
        <v>151</v>
      </c>
      <c r="EF189" s="35">
        <f t="shared" si="297"/>
        <v>985</v>
      </c>
      <c r="EG189" s="36" t="s">
        <v>133</v>
      </c>
      <c r="EH189" s="47">
        <f t="shared" si="24"/>
        <v>25.07619305</v>
      </c>
    </row>
    <row r="190" ht="15.75" customHeight="1">
      <c r="A190" s="57" t="s">
        <v>623</v>
      </c>
      <c r="B190" s="57" t="s">
        <v>175</v>
      </c>
      <c r="C190" s="74">
        <v>45570.0</v>
      </c>
      <c r="D190" s="64">
        <v>29.0</v>
      </c>
      <c r="E190" s="50" t="s">
        <v>130</v>
      </c>
      <c r="F190" s="57">
        <v>167.0</v>
      </c>
      <c r="G190" s="92">
        <v>78.0</v>
      </c>
      <c r="H190" s="50" t="s">
        <v>131</v>
      </c>
      <c r="I190" s="57">
        <v>3.0</v>
      </c>
      <c r="J190" s="55">
        <v>44562.0</v>
      </c>
      <c r="K190" s="50" t="s">
        <v>131</v>
      </c>
      <c r="L190" s="57">
        <v>4.0</v>
      </c>
      <c r="M190" s="55" t="s">
        <v>133</v>
      </c>
      <c r="N190" s="50">
        <v>3.0</v>
      </c>
      <c r="O190" s="55">
        <v>45505.0</v>
      </c>
      <c r="P190" s="50" t="s">
        <v>132</v>
      </c>
      <c r="Q190" s="36" t="s">
        <v>133</v>
      </c>
      <c r="R190" s="36" t="s">
        <v>133</v>
      </c>
      <c r="S190" s="36" t="s">
        <v>133</v>
      </c>
      <c r="T190" s="36" t="s">
        <v>133</v>
      </c>
      <c r="U190" s="36" t="s">
        <v>133</v>
      </c>
      <c r="V190" s="36" t="str">
        <f t="shared" si="178"/>
        <v>Paciente ambulatorio</v>
      </c>
      <c r="W190" s="50" t="s">
        <v>176</v>
      </c>
      <c r="X190" s="50" t="s">
        <v>131</v>
      </c>
      <c r="Y190" s="57">
        <v>2.0</v>
      </c>
      <c r="Z190" s="57">
        <v>1.0</v>
      </c>
      <c r="AA190" s="57">
        <v>2.0</v>
      </c>
      <c r="AB190" s="57">
        <v>2.0</v>
      </c>
      <c r="AC190" s="57">
        <v>1.0</v>
      </c>
      <c r="AD190" s="57">
        <v>1.0</v>
      </c>
      <c r="AE190" s="57">
        <v>2.0</v>
      </c>
      <c r="AF190" s="57">
        <v>1.0</v>
      </c>
      <c r="AG190" s="57">
        <v>1.0</v>
      </c>
      <c r="AH190" s="57">
        <v>1.0</v>
      </c>
      <c r="AI190" s="57">
        <v>1.0</v>
      </c>
      <c r="AJ190" s="57">
        <v>1.0</v>
      </c>
      <c r="AK190" s="57" t="s">
        <v>624</v>
      </c>
      <c r="AL190" s="79" t="s">
        <v>132</v>
      </c>
      <c r="AM190" s="50" t="s">
        <v>132</v>
      </c>
      <c r="AN190" s="50" t="s">
        <v>132</v>
      </c>
      <c r="AO190" s="50" t="s">
        <v>132</v>
      </c>
      <c r="AP190" s="50" t="s">
        <v>132</v>
      </c>
      <c r="AQ190" s="50" t="s">
        <v>132</v>
      </c>
      <c r="AR190" s="50" t="s">
        <v>132</v>
      </c>
      <c r="AS190" s="50" t="s">
        <v>132</v>
      </c>
      <c r="AT190" s="50" t="s">
        <v>132</v>
      </c>
      <c r="AU190" s="50" t="s">
        <v>132</v>
      </c>
      <c r="AV190" s="50" t="s">
        <v>131</v>
      </c>
      <c r="AW190" s="57" t="s">
        <v>625</v>
      </c>
      <c r="AX190" s="50" t="s">
        <v>165</v>
      </c>
      <c r="AY190" s="36" t="s">
        <v>133</v>
      </c>
      <c r="AZ190" s="36" t="s">
        <v>133</v>
      </c>
      <c r="BA190" s="77">
        <v>1.0</v>
      </c>
      <c r="BB190" s="50" t="s">
        <v>145</v>
      </c>
      <c r="BC190" s="36" t="s">
        <v>133</v>
      </c>
      <c r="BD190" s="79">
        <v>2.0</v>
      </c>
      <c r="BE190" s="50">
        <v>2.0</v>
      </c>
      <c r="BF190" s="50">
        <v>3.0</v>
      </c>
      <c r="BG190" s="50">
        <v>3.0</v>
      </c>
      <c r="BH190" s="50">
        <v>5.0</v>
      </c>
      <c r="BI190" s="44" t="str">
        <f t="shared" si="205"/>
        <v>22335</v>
      </c>
      <c r="BJ190" s="50">
        <v>20.0</v>
      </c>
      <c r="BK190" s="50">
        <v>4.0</v>
      </c>
      <c r="BL190" s="50">
        <v>5.0</v>
      </c>
      <c r="BM190" s="50">
        <v>5.0</v>
      </c>
      <c r="BN190" s="50">
        <v>2.0</v>
      </c>
      <c r="BO190" s="50">
        <v>5.0</v>
      </c>
      <c r="BP190" s="50">
        <v>5.0</v>
      </c>
      <c r="BQ190" s="50">
        <v>4.0</v>
      </c>
      <c r="BR190" s="50">
        <v>4.0</v>
      </c>
      <c r="BS190" s="50">
        <v>5.0</v>
      </c>
      <c r="BT190" s="50">
        <v>2.0</v>
      </c>
      <c r="BU190" s="53">
        <f t="shared" ref="BU190:BU194" si="301">IF(BN190=1,5,IF(BN190=2,4,IF(BN190=3,3,IF(BN190=4,2,IF(BN190=5,1)))))</f>
        <v>4</v>
      </c>
      <c r="BV190" s="53">
        <f t="shared" ref="BV190:BV194" si="302">IF(BT190=1,5,IF(BT190=2,4,IF(BT190=3,3,IF(BT190=4,2,IF(BT190=5,1)))))</f>
        <v>4</v>
      </c>
      <c r="BW190" s="53">
        <f t="shared" si="183"/>
        <v>43</v>
      </c>
      <c r="BX190" s="53" t="str">
        <f t="shared" ref="BX190:BX194" si="303">IF(BW190&lt;22,"NO HAY FATIGA",IF(BW190&lt;35,"FATIGA","FATIGA EXTREMA"))</f>
        <v>FATIGA EXTREMA</v>
      </c>
      <c r="BY190" s="50">
        <v>0.0</v>
      </c>
      <c r="BZ190" s="50">
        <v>0.0</v>
      </c>
      <c r="CA190" s="50">
        <v>0.0</v>
      </c>
      <c r="CB190" s="50">
        <v>0.0</v>
      </c>
      <c r="CC190" s="50">
        <v>0.0</v>
      </c>
      <c r="CD190" s="50">
        <v>0.0</v>
      </c>
      <c r="CE190" s="50">
        <v>5.0</v>
      </c>
      <c r="CF190" s="50">
        <v>0.0</v>
      </c>
      <c r="CG190" s="50">
        <v>15.0</v>
      </c>
      <c r="CH190" s="50">
        <v>8.0</v>
      </c>
      <c r="CI190" s="50">
        <v>0.0</v>
      </c>
      <c r="CJ190" s="53">
        <f t="shared" si="254"/>
        <v>247.5</v>
      </c>
      <c r="CK190" s="53">
        <f t="shared" si="206"/>
        <v>5</v>
      </c>
      <c r="CL190" s="44" t="b">
        <f t="shared" si="207"/>
        <v>0</v>
      </c>
      <c r="CM190" s="44" t="b">
        <f t="shared" si="208"/>
        <v>0</v>
      </c>
      <c r="CN190" s="45" t="str">
        <f t="shared" si="209"/>
        <v>Nivel de actividad física bajo</v>
      </c>
      <c r="CO190" s="50">
        <v>21.0</v>
      </c>
      <c r="CP190" s="50">
        <v>20.0</v>
      </c>
      <c r="CQ190" s="53">
        <f t="shared" si="298"/>
        <v>1</v>
      </c>
      <c r="CR190" s="50">
        <v>8.0</v>
      </c>
      <c r="CS190" s="50">
        <v>0.0</v>
      </c>
      <c r="CT190" s="50">
        <v>11.0</v>
      </c>
      <c r="CU190" s="50">
        <v>12.0</v>
      </c>
      <c r="CV190" s="50">
        <v>2.0</v>
      </c>
      <c r="CW190" s="50">
        <v>2.0</v>
      </c>
      <c r="CX190" s="50">
        <v>2.0</v>
      </c>
      <c r="CY190" s="50">
        <v>0.0</v>
      </c>
      <c r="CZ190" s="50">
        <v>1.0</v>
      </c>
      <c r="DA190" s="50">
        <v>2.0</v>
      </c>
      <c r="DB190" s="50">
        <v>0.0</v>
      </c>
      <c r="DC190" s="50">
        <v>2.0</v>
      </c>
      <c r="DD190" s="50">
        <v>3.0</v>
      </c>
      <c r="DE190" s="50">
        <v>0.0</v>
      </c>
      <c r="DF190" s="36" t="s">
        <v>133</v>
      </c>
      <c r="DG190" s="53">
        <f t="shared" si="55"/>
        <v>12</v>
      </c>
      <c r="DH190" s="93">
        <v>3.0</v>
      </c>
      <c r="DI190" s="57">
        <v>3.0</v>
      </c>
      <c r="DJ190" s="57">
        <v>0.0</v>
      </c>
      <c r="DK190" s="57">
        <v>3.0</v>
      </c>
      <c r="DL190" s="68">
        <f t="shared" si="237"/>
        <v>109.0909091</v>
      </c>
      <c r="DM190" s="53">
        <f t="shared" si="238"/>
        <v>0</v>
      </c>
      <c r="DN190" s="53">
        <f t="shared" si="239"/>
        <v>2</v>
      </c>
      <c r="DO190" s="53">
        <f t="shared" si="240"/>
        <v>2</v>
      </c>
      <c r="DP190" s="53">
        <f t="shared" si="241"/>
        <v>2</v>
      </c>
      <c r="DQ190" s="53">
        <f t="shared" si="242"/>
        <v>0</v>
      </c>
      <c r="DR190" s="53">
        <f t="shared" ref="DR190:DS190" si="300">(DH190)</f>
        <v>3</v>
      </c>
      <c r="DS190" s="53">
        <f t="shared" si="300"/>
        <v>3</v>
      </c>
      <c r="DT190" s="53">
        <f t="shared" si="41"/>
        <v>12</v>
      </c>
      <c r="DU190" s="53" t="str">
        <f t="shared" si="244"/>
        <v>poor sleep quality</v>
      </c>
      <c r="DV190" s="57">
        <v>3.0</v>
      </c>
      <c r="DW190" s="36" t="s">
        <v>133</v>
      </c>
      <c r="DX190" s="57" t="s">
        <v>146</v>
      </c>
      <c r="DY190" s="57">
        <v>2.0</v>
      </c>
      <c r="DZ190" s="57" t="s">
        <v>131</v>
      </c>
      <c r="EA190" s="57" t="s">
        <v>147</v>
      </c>
      <c r="EB190" s="57" t="s">
        <v>261</v>
      </c>
      <c r="EC190" s="36" t="s">
        <v>133</v>
      </c>
      <c r="ED190" s="57" t="s">
        <v>132</v>
      </c>
      <c r="EE190" s="57" t="s">
        <v>140</v>
      </c>
      <c r="EF190" s="36" t="s">
        <v>133</v>
      </c>
      <c r="EG190" s="35">
        <f>C190-O190</f>
        <v>65</v>
      </c>
      <c r="EH190" s="47">
        <f t="shared" si="24"/>
        <v>27.96801606</v>
      </c>
    </row>
    <row r="191" ht="15.75" customHeight="1">
      <c r="A191" s="57" t="s">
        <v>626</v>
      </c>
      <c r="B191" s="57" t="s">
        <v>129</v>
      </c>
      <c r="C191" s="74">
        <v>45570.0</v>
      </c>
      <c r="D191" s="64">
        <v>52.0</v>
      </c>
      <c r="E191" s="50" t="s">
        <v>153</v>
      </c>
      <c r="F191" s="57">
        <v>174.0</v>
      </c>
      <c r="G191" s="92">
        <v>95.0</v>
      </c>
      <c r="H191" s="50" t="s">
        <v>131</v>
      </c>
      <c r="I191" s="57">
        <v>3.0</v>
      </c>
      <c r="J191" s="55">
        <v>44615.0</v>
      </c>
      <c r="K191" s="50" t="s">
        <v>131</v>
      </c>
      <c r="L191" s="57">
        <v>1.0</v>
      </c>
      <c r="M191" s="55">
        <v>44593.0</v>
      </c>
      <c r="N191" s="50" t="s">
        <v>131</v>
      </c>
      <c r="O191" s="55" t="s">
        <v>133</v>
      </c>
      <c r="P191" s="50" t="s">
        <v>132</v>
      </c>
      <c r="Q191" s="36" t="s">
        <v>133</v>
      </c>
      <c r="R191" s="36" t="s">
        <v>133</v>
      </c>
      <c r="S191" s="36" t="s">
        <v>133</v>
      </c>
      <c r="T191" s="36" t="s">
        <v>133</v>
      </c>
      <c r="U191" s="36" t="s">
        <v>133</v>
      </c>
      <c r="V191" s="36" t="str">
        <f t="shared" si="178"/>
        <v>Paciente ambulatorio</v>
      </c>
      <c r="W191" s="50" t="s">
        <v>143</v>
      </c>
      <c r="X191" s="50" t="s">
        <v>132</v>
      </c>
      <c r="Y191" s="57">
        <v>3.0</v>
      </c>
      <c r="Z191" s="57">
        <v>3.0</v>
      </c>
      <c r="AA191" s="57">
        <v>3.0</v>
      </c>
      <c r="AB191" s="57">
        <v>3.0</v>
      </c>
      <c r="AC191" s="57">
        <v>3.0</v>
      </c>
      <c r="AD191" s="57">
        <v>2.0</v>
      </c>
      <c r="AE191" s="57">
        <v>3.0</v>
      </c>
      <c r="AF191" s="57">
        <v>3.0</v>
      </c>
      <c r="AG191" s="57">
        <v>3.0</v>
      </c>
      <c r="AH191" s="57">
        <v>2.0</v>
      </c>
      <c r="AI191" s="57">
        <v>3.0</v>
      </c>
      <c r="AJ191" s="57">
        <v>3.0</v>
      </c>
      <c r="AK191" s="36" t="s">
        <v>133</v>
      </c>
      <c r="AL191" s="79" t="s">
        <v>132</v>
      </c>
      <c r="AM191" s="50" t="s">
        <v>132</v>
      </c>
      <c r="AN191" s="50" t="s">
        <v>132</v>
      </c>
      <c r="AO191" s="50" t="s">
        <v>131</v>
      </c>
      <c r="AP191" s="50" t="s">
        <v>132</v>
      </c>
      <c r="AQ191" s="50" t="s">
        <v>132</v>
      </c>
      <c r="AR191" s="50" t="s">
        <v>132</v>
      </c>
      <c r="AS191" s="50" t="s">
        <v>132</v>
      </c>
      <c r="AT191" s="50" t="s">
        <v>132</v>
      </c>
      <c r="AU191" s="50" t="s">
        <v>132</v>
      </c>
      <c r="AV191" s="50" t="s">
        <v>131</v>
      </c>
      <c r="AW191" s="57" t="s">
        <v>627</v>
      </c>
      <c r="AX191" s="50" t="s">
        <v>132</v>
      </c>
      <c r="AY191" s="36" t="s">
        <v>133</v>
      </c>
      <c r="AZ191" s="36" t="s">
        <v>133</v>
      </c>
      <c r="BA191" s="36" t="s">
        <v>133</v>
      </c>
      <c r="BB191" s="50" t="s">
        <v>135</v>
      </c>
      <c r="BC191" s="81">
        <v>4.0</v>
      </c>
      <c r="BD191" s="79">
        <v>1.0</v>
      </c>
      <c r="BE191" s="50">
        <v>1.0</v>
      </c>
      <c r="BF191" s="50">
        <v>1.0</v>
      </c>
      <c r="BG191" s="50">
        <v>3.0</v>
      </c>
      <c r="BH191" s="50">
        <v>1.0</v>
      </c>
      <c r="BI191" s="44" t="str">
        <f t="shared" si="205"/>
        <v>11131</v>
      </c>
      <c r="BJ191" s="50">
        <v>90.0</v>
      </c>
      <c r="BK191" s="50">
        <v>1.0</v>
      </c>
      <c r="BL191" s="50">
        <v>1.0</v>
      </c>
      <c r="BM191" s="50">
        <v>2.0</v>
      </c>
      <c r="BN191" s="50">
        <v>5.0</v>
      </c>
      <c r="BO191" s="50">
        <v>1.0</v>
      </c>
      <c r="BP191" s="50">
        <v>2.0</v>
      </c>
      <c r="BQ191" s="50">
        <v>1.0</v>
      </c>
      <c r="BR191" s="50">
        <v>2.0</v>
      </c>
      <c r="BS191" s="50">
        <v>1.0</v>
      </c>
      <c r="BT191" s="50">
        <v>4.0</v>
      </c>
      <c r="BU191" s="53">
        <f t="shared" si="301"/>
        <v>1</v>
      </c>
      <c r="BV191" s="53">
        <f t="shared" si="302"/>
        <v>2</v>
      </c>
      <c r="BW191" s="53">
        <f t="shared" si="183"/>
        <v>17</v>
      </c>
      <c r="BX191" s="53" t="str">
        <f t="shared" si="303"/>
        <v>NO HAY FATIGA</v>
      </c>
      <c r="BY191" s="50">
        <v>0.0</v>
      </c>
      <c r="BZ191" s="50">
        <v>0.0</v>
      </c>
      <c r="CA191" s="50">
        <v>0.0</v>
      </c>
      <c r="CB191" s="50">
        <v>1.0</v>
      </c>
      <c r="CC191" s="50">
        <v>1.0</v>
      </c>
      <c r="CD191" s="50">
        <v>30.0</v>
      </c>
      <c r="CE191" s="50">
        <v>2.0</v>
      </c>
      <c r="CF191" s="50">
        <v>0.0</v>
      </c>
      <c r="CG191" s="50">
        <v>30.0</v>
      </c>
      <c r="CH191" s="50">
        <v>5.0</v>
      </c>
      <c r="CI191" s="50">
        <v>0.0</v>
      </c>
      <c r="CJ191" s="53">
        <f t="shared" si="254"/>
        <v>558</v>
      </c>
      <c r="CK191" s="53">
        <f t="shared" si="206"/>
        <v>3</v>
      </c>
      <c r="CL191" s="44" t="b">
        <f t="shared" si="207"/>
        <v>0</v>
      </c>
      <c r="CM191" s="44" t="b">
        <f t="shared" si="208"/>
        <v>0</v>
      </c>
      <c r="CN191" s="45" t="str">
        <f t="shared" si="209"/>
        <v>Nivel de actividad física bajo</v>
      </c>
      <c r="CO191" s="50">
        <v>0.0</v>
      </c>
      <c r="CP191" s="50">
        <v>5.0</v>
      </c>
      <c r="CQ191" s="53">
        <f t="shared" si="298"/>
        <v>0</v>
      </c>
      <c r="CR191" s="50">
        <v>6.0</v>
      </c>
      <c r="CS191" s="50">
        <v>20.0</v>
      </c>
      <c r="CT191" s="50">
        <v>6.33</v>
      </c>
      <c r="CU191" s="50">
        <v>6.0</v>
      </c>
      <c r="CV191" s="50">
        <v>0.0</v>
      </c>
      <c r="CW191" s="50">
        <v>1.0</v>
      </c>
      <c r="CX191" s="50">
        <v>2.0</v>
      </c>
      <c r="CY191" s="50">
        <v>0.0</v>
      </c>
      <c r="CZ191" s="50">
        <v>0.0</v>
      </c>
      <c r="DA191" s="50">
        <v>0.0</v>
      </c>
      <c r="DB191" s="50">
        <v>0.0</v>
      </c>
      <c r="DC191" s="50">
        <v>0.0</v>
      </c>
      <c r="DD191" s="50">
        <v>0.0</v>
      </c>
      <c r="DE191" s="50">
        <v>0.0</v>
      </c>
      <c r="DF191" s="36" t="s">
        <v>133</v>
      </c>
      <c r="DG191" s="53">
        <f t="shared" si="55"/>
        <v>3</v>
      </c>
      <c r="DH191" s="57">
        <v>1.0</v>
      </c>
      <c r="DI191" s="57">
        <v>0.0</v>
      </c>
      <c r="DJ191" s="57">
        <v>0.0</v>
      </c>
      <c r="DK191" s="57">
        <v>0.0</v>
      </c>
      <c r="DL191" s="68">
        <f t="shared" si="237"/>
        <v>94.78672986</v>
      </c>
      <c r="DM191" s="53">
        <f t="shared" si="238"/>
        <v>1</v>
      </c>
      <c r="DN191" s="53">
        <f t="shared" si="239"/>
        <v>1</v>
      </c>
      <c r="DO191" s="53">
        <f t="shared" si="240"/>
        <v>0</v>
      </c>
      <c r="DP191" s="53">
        <f t="shared" si="241"/>
        <v>0</v>
      </c>
      <c r="DQ191" s="53">
        <f t="shared" si="242"/>
        <v>0</v>
      </c>
      <c r="DR191" s="53">
        <f t="shared" ref="DR191:DS191" si="304">(DH191)</f>
        <v>1</v>
      </c>
      <c r="DS191" s="53">
        <f t="shared" si="304"/>
        <v>0</v>
      </c>
      <c r="DT191" s="53">
        <f t="shared" si="41"/>
        <v>3</v>
      </c>
      <c r="DU191" s="53" t="str">
        <f t="shared" si="244"/>
        <v>good sleep quality</v>
      </c>
      <c r="DV191" s="57">
        <v>3.0</v>
      </c>
      <c r="DW191" s="57" t="s">
        <v>149</v>
      </c>
      <c r="DX191" s="57" t="s">
        <v>146</v>
      </c>
      <c r="DY191" s="57">
        <v>2.0</v>
      </c>
      <c r="DZ191" s="57" t="s">
        <v>131</v>
      </c>
      <c r="EA191" s="57" t="s">
        <v>162</v>
      </c>
      <c r="EB191" s="57" t="s">
        <v>139</v>
      </c>
      <c r="EC191" s="57" t="s">
        <v>131</v>
      </c>
      <c r="ED191" s="36" t="s">
        <v>133</v>
      </c>
      <c r="EE191" s="57" t="s">
        <v>158</v>
      </c>
      <c r="EF191" s="35">
        <f t="shared" ref="EF191:EF203" si="306">C191-M191</f>
        <v>977</v>
      </c>
      <c r="EG191" s="36" t="s">
        <v>133</v>
      </c>
      <c r="EH191" s="47">
        <f t="shared" si="24"/>
        <v>31.37798917</v>
      </c>
    </row>
    <row r="192" ht="15.75" customHeight="1">
      <c r="A192" s="57" t="s">
        <v>628</v>
      </c>
      <c r="B192" s="57" t="s">
        <v>175</v>
      </c>
      <c r="C192" s="74">
        <v>45570.0</v>
      </c>
      <c r="D192" s="64">
        <v>43.0</v>
      </c>
      <c r="E192" s="50" t="s">
        <v>130</v>
      </c>
      <c r="F192" s="57">
        <v>166.0</v>
      </c>
      <c r="G192" s="92">
        <v>69.0</v>
      </c>
      <c r="H192" s="50" t="s">
        <v>131</v>
      </c>
      <c r="I192" s="57">
        <v>6.0</v>
      </c>
      <c r="J192" s="55">
        <v>45108.0</v>
      </c>
      <c r="K192" s="50" t="s">
        <v>131</v>
      </c>
      <c r="L192" s="57">
        <v>2.0</v>
      </c>
      <c r="M192" s="55">
        <v>43952.0</v>
      </c>
      <c r="N192" s="50">
        <v>0.0</v>
      </c>
      <c r="O192" s="55">
        <v>45139.0</v>
      </c>
      <c r="P192" s="50" t="s">
        <v>132</v>
      </c>
      <c r="Q192" s="36" t="s">
        <v>133</v>
      </c>
      <c r="R192" s="36" t="s">
        <v>133</v>
      </c>
      <c r="S192" s="36" t="s">
        <v>133</v>
      </c>
      <c r="T192" s="36" t="s">
        <v>133</v>
      </c>
      <c r="U192" s="36" t="s">
        <v>133</v>
      </c>
      <c r="V192" s="36" t="str">
        <f t="shared" si="178"/>
        <v>Paciente ambulatorio</v>
      </c>
      <c r="W192" s="50" t="s">
        <v>190</v>
      </c>
      <c r="X192" s="50" t="s">
        <v>132</v>
      </c>
      <c r="Y192" s="57">
        <v>1.0</v>
      </c>
      <c r="Z192" s="57">
        <v>1.0</v>
      </c>
      <c r="AA192" s="57">
        <v>3.0</v>
      </c>
      <c r="AB192" s="57">
        <v>3.0</v>
      </c>
      <c r="AC192" s="57">
        <v>3.0</v>
      </c>
      <c r="AD192" s="57">
        <v>1.0</v>
      </c>
      <c r="AE192" s="57">
        <v>1.0</v>
      </c>
      <c r="AF192" s="57">
        <v>1.0</v>
      </c>
      <c r="AG192" s="57">
        <v>1.0</v>
      </c>
      <c r="AH192" s="57">
        <v>1.0</v>
      </c>
      <c r="AI192" s="57">
        <v>1.0</v>
      </c>
      <c r="AJ192" s="57">
        <v>1.0</v>
      </c>
      <c r="AK192" s="57" t="s">
        <v>624</v>
      </c>
      <c r="AL192" s="79" t="s">
        <v>132</v>
      </c>
      <c r="AM192" s="50" t="s">
        <v>132</v>
      </c>
      <c r="AN192" s="50" t="s">
        <v>132</v>
      </c>
      <c r="AO192" s="50" t="s">
        <v>132</v>
      </c>
      <c r="AP192" s="50" t="s">
        <v>132</v>
      </c>
      <c r="AQ192" s="50" t="s">
        <v>132</v>
      </c>
      <c r="AR192" s="50" t="s">
        <v>132</v>
      </c>
      <c r="AS192" s="50" t="s">
        <v>132</v>
      </c>
      <c r="AT192" s="50" t="s">
        <v>132</v>
      </c>
      <c r="AU192" s="50" t="s">
        <v>132</v>
      </c>
      <c r="AV192" s="50" t="s">
        <v>131</v>
      </c>
      <c r="AW192" s="36" t="s">
        <v>133</v>
      </c>
      <c r="AX192" s="50" t="s">
        <v>131</v>
      </c>
      <c r="AY192" s="50">
        <v>3.0</v>
      </c>
      <c r="AZ192" s="50">
        <v>20.0</v>
      </c>
      <c r="BA192" s="36" t="s">
        <v>133</v>
      </c>
      <c r="BB192" s="50" t="s">
        <v>145</v>
      </c>
      <c r="BC192" s="36" t="s">
        <v>133</v>
      </c>
      <c r="BD192" s="79">
        <v>3.0</v>
      </c>
      <c r="BE192" s="50">
        <v>3.0</v>
      </c>
      <c r="BF192" s="50">
        <v>4.0</v>
      </c>
      <c r="BG192" s="50">
        <v>5.0</v>
      </c>
      <c r="BH192" s="50">
        <v>2.0</v>
      </c>
      <c r="BI192" s="44" t="str">
        <f t="shared" si="205"/>
        <v>33452</v>
      </c>
      <c r="BJ192" s="50">
        <v>30.0</v>
      </c>
      <c r="BK192" s="50">
        <v>3.0</v>
      </c>
      <c r="BL192" s="50">
        <v>3.0</v>
      </c>
      <c r="BM192" s="50">
        <v>2.0</v>
      </c>
      <c r="BN192" s="50">
        <v>1.0</v>
      </c>
      <c r="BO192" s="50">
        <v>3.0</v>
      </c>
      <c r="BP192" s="50">
        <v>3.0</v>
      </c>
      <c r="BQ192" s="50">
        <v>2.0</v>
      </c>
      <c r="BR192" s="50">
        <v>2.0</v>
      </c>
      <c r="BS192" s="50">
        <v>2.0</v>
      </c>
      <c r="BT192" s="50">
        <v>2.0</v>
      </c>
      <c r="BU192" s="53">
        <f t="shared" si="301"/>
        <v>5</v>
      </c>
      <c r="BV192" s="53">
        <f t="shared" si="302"/>
        <v>4</v>
      </c>
      <c r="BW192" s="53">
        <f t="shared" si="183"/>
        <v>26</v>
      </c>
      <c r="BX192" s="53" t="str">
        <f t="shared" si="303"/>
        <v>FATIGA</v>
      </c>
      <c r="BY192" s="50">
        <v>0.0</v>
      </c>
      <c r="BZ192" s="50">
        <v>0.0</v>
      </c>
      <c r="CA192" s="50">
        <v>0.0</v>
      </c>
      <c r="CB192" s="50">
        <v>0.0</v>
      </c>
      <c r="CC192" s="50">
        <v>0.0</v>
      </c>
      <c r="CD192" s="50">
        <v>0.0</v>
      </c>
      <c r="CE192" s="50">
        <v>6.0</v>
      </c>
      <c r="CF192" s="50">
        <v>0.0</v>
      </c>
      <c r="CG192" s="50">
        <v>45.0</v>
      </c>
      <c r="CH192" s="50">
        <v>6.0</v>
      </c>
      <c r="CI192" s="50">
        <v>0.0</v>
      </c>
      <c r="CJ192" s="53">
        <f t="shared" si="254"/>
        <v>891</v>
      </c>
      <c r="CK192" s="53">
        <f t="shared" si="206"/>
        <v>6</v>
      </c>
      <c r="CL192" s="44" t="b">
        <f t="shared" si="207"/>
        <v>0</v>
      </c>
      <c r="CM192" s="44" t="str">
        <f t="shared" si="208"/>
        <v>Nivel de actividad física moderado</v>
      </c>
      <c r="CN192" s="45" t="str">
        <f t="shared" si="209"/>
        <v>Nivel de actividad física moderado</v>
      </c>
      <c r="CO192" s="78">
        <v>0.9375</v>
      </c>
      <c r="CP192" s="50">
        <v>10.0</v>
      </c>
      <c r="CQ192" s="44">
        <f>IF(CP192&gt;60,3,IF(CP192&gt;30,2,IF(CP192&gt;15,1,0)))</f>
        <v>0</v>
      </c>
      <c r="CR192" s="50">
        <v>9.0</v>
      </c>
      <c r="CS192" s="50">
        <v>0.0</v>
      </c>
      <c r="CT192" s="50">
        <v>10.5</v>
      </c>
      <c r="CU192" s="50">
        <v>10.0</v>
      </c>
      <c r="CV192" s="50">
        <v>2.0</v>
      </c>
      <c r="CW192" s="50">
        <v>3.0</v>
      </c>
      <c r="CX192" s="50">
        <v>1.0</v>
      </c>
      <c r="CY192" s="50">
        <v>0.0</v>
      </c>
      <c r="CZ192" s="50">
        <v>1.0</v>
      </c>
      <c r="DA192" s="50">
        <v>3.0</v>
      </c>
      <c r="DB192" s="50">
        <v>2.0</v>
      </c>
      <c r="DC192" s="50">
        <v>0.0</v>
      </c>
      <c r="DD192" s="50">
        <v>3.0</v>
      </c>
      <c r="DE192" s="50">
        <v>0.0</v>
      </c>
      <c r="DF192" s="36" t="s">
        <v>133</v>
      </c>
      <c r="DG192" s="53">
        <f t="shared" si="55"/>
        <v>13</v>
      </c>
      <c r="DH192" s="57">
        <v>1.0</v>
      </c>
      <c r="DI192" s="57">
        <v>3.0</v>
      </c>
      <c r="DJ192" s="57">
        <v>1.0</v>
      </c>
      <c r="DK192" s="57">
        <v>0.0</v>
      </c>
      <c r="DL192" s="68">
        <f t="shared" si="237"/>
        <v>95.23809524</v>
      </c>
      <c r="DM192" s="53">
        <f t="shared" si="238"/>
        <v>0</v>
      </c>
      <c r="DN192" s="53">
        <f t="shared" si="239"/>
        <v>2</v>
      </c>
      <c r="DO192" s="53">
        <f t="shared" si="240"/>
        <v>1</v>
      </c>
      <c r="DP192" s="53">
        <f t="shared" si="241"/>
        <v>1</v>
      </c>
      <c r="DQ192" s="53">
        <f t="shared" si="242"/>
        <v>0</v>
      </c>
      <c r="DR192" s="53">
        <f t="shared" ref="DR192:DS192" si="305">(DH192)</f>
        <v>1</v>
      </c>
      <c r="DS192" s="53">
        <f t="shared" si="305"/>
        <v>3</v>
      </c>
      <c r="DT192" s="53">
        <f t="shared" si="41"/>
        <v>8</v>
      </c>
      <c r="DU192" s="53" t="str">
        <f t="shared" si="244"/>
        <v>poor sleep quality</v>
      </c>
      <c r="DV192" s="57">
        <v>0.0</v>
      </c>
      <c r="DW192" s="36" t="s">
        <v>133</v>
      </c>
      <c r="DX192" s="57" t="s">
        <v>146</v>
      </c>
      <c r="DY192" s="57">
        <v>1.0</v>
      </c>
      <c r="DZ192" s="57" t="s">
        <v>131</v>
      </c>
      <c r="EA192" s="57" t="s">
        <v>157</v>
      </c>
      <c r="EB192" s="57" t="s">
        <v>219</v>
      </c>
      <c r="EC192" s="36" t="s">
        <v>133</v>
      </c>
      <c r="ED192" s="57" t="s">
        <v>132</v>
      </c>
      <c r="EE192" s="57" t="s">
        <v>140</v>
      </c>
      <c r="EF192" s="35">
        <f t="shared" si="306"/>
        <v>1618</v>
      </c>
      <c r="EG192" s="35">
        <f t="shared" ref="EG192:EG193" si="308">C192-O192</f>
        <v>431</v>
      </c>
      <c r="EH192" s="47">
        <f t="shared" si="24"/>
        <v>25.03991871</v>
      </c>
    </row>
    <row r="193" ht="15.75" customHeight="1">
      <c r="A193" s="57" t="s">
        <v>629</v>
      </c>
      <c r="B193" s="57" t="s">
        <v>175</v>
      </c>
      <c r="C193" s="74">
        <v>45570.0</v>
      </c>
      <c r="D193" s="64">
        <v>50.0</v>
      </c>
      <c r="E193" s="50" t="s">
        <v>153</v>
      </c>
      <c r="F193" s="57">
        <v>169.0</v>
      </c>
      <c r="G193" s="92">
        <v>82.0</v>
      </c>
      <c r="H193" s="50" t="s">
        <v>131</v>
      </c>
      <c r="I193" s="57">
        <v>2.0</v>
      </c>
      <c r="J193" s="55">
        <v>44465.0</v>
      </c>
      <c r="K193" s="50" t="s">
        <v>131</v>
      </c>
      <c r="L193" s="57">
        <v>2.0</v>
      </c>
      <c r="M193" s="55">
        <v>44136.0</v>
      </c>
      <c r="N193" s="50">
        <v>0.0</v>
      </c>
      <c r="O193" s="55">
        <v>44562.0</v>
      </c>
      <c r="P193" s="50" t="s">
        <v>132</v>
      </c>
      <c r="Q193" s="36" t="s">
        <v>133</v>
      </c>
      <c r="R193" s="36" t="s">
        <v>133</v>
      </c>
      <c r="S193" s="36" t="s">
        <v>133</v>
      </c>
      <c r="T193" s="36" t="s">
        <v>133</v>
      </c>
      <c r="U193" s="36" t="s">
        <v>133</v>
      </c>
      <c r="V193" s="36" t="str">
        <f t="shared" si="178"/>
        <v>Paciente ambulatorio</v>
      </c>
      <c r="W193" s="50" t="s">
        <v>183</v>
      </c>
      <c r="X193" s="50" t="s">
        <v>132</v>
      </c>
      <c r="Y193" s="57">
        <v>2.0</v>
      </c>
      <c r="Z193" s="57">
        <v>2.0</v>
      </c>
      <c r="AA193" s="57">
        <v>2.0</v>
      </c>
      <c r="AB193" s="57">
        <v>3.0</v>
      </c>
      <c r="AC193" s="57">
        <v>3.0</v>
      </c>
      <c r="AD193" s="57">
        <v>2.0</v>
      </c>
      <c r="AE193" s="57">
        <v>2.0</v>
      </c>
      <c r="AF193" s="57">
        <v>3.0</v>
      </c>
      <c r="AG193" s="57">
        <v>3.0</v>
      </c>
      <c r="AH193" s="57">
        <v>3.0</v>
      </c>
      <c r="AI193" s="57">
        <v>3.0</v>
      </c>
      <c r="AJ193" s="57">
        <v>3.0</v>
      </c>
      <c r="AK193" s="57" t="s">
        <v>630</v>
      </c>
      <c r="AL193" s="79" t="s">
        <v>132</v>
      </c>
      <c r="AM193" s="50" t="s">
        <v>132</v>
      </c>
      <c r="AN193" s="50" t="s">
        <v>132</v>
      </c>
      <c r="AO193" s="50" t="s">
        <v>132</v>
      </c>
      <c r="AP193" s="50" t="s">
        <v>132</v>
      </c>
      <c r="AQ193" s="50" t="s">
        <v>132</v>
      </c>
      <c r="AR193" s="50" t="s">
        <v>132</v>
      </c>
      <c r="AS193" s="50" t="s">
        <v>132</v>
      </c>
      <c r="AT193" s="50" t="s">
        <v>132</v>
      </c>
      <c r="AU193" s="50" t="s">
        <v>132</v>
      </c>
      <c r="AV193" s="50" t="s">
        <v>132</v>
      </c>
      <c r="AW193" s="36" t="s">
        <v>133</v>
      </c>
      <c r="AX193" s="50" t="s">
        <v>132</v>
      </c>
      <c r="AY193" s="36" t="s">
        <v>133</v>
      </c>
      <c r="AZ193" s="36" t="s">
        <v>133</v>
      </c>
      <c r="BA193" s="36" t="s">
        <v>133</v>
      </c>
      <c r="BB193" s="50" t="s">
        <v>135</v>
      </c>
      <c r="BC193" s="57">
        <v>2.0</v>
      </c>
      <c r="BD193" s="57">
        <v>1.0</v>
      </c>
      <c r="BE193" s="57">
        <v>1.0</v>
      </c>
      <c r="BF193" s="57">
        <v>1.0</v>
      </c>
      <c r="BG193" s="57">
        <v>1.0</v>
      </c>
      <c r="BH193" s="57">
        <v>1.0</v>
      </c>
      <c r="BI193" s="44" t="str">
        <f t="shared" si="205"/>
        <v>11111</v>
      </c>
      <c r="BJ193" s="57">
        <v>100.0</v>
      </c>
      <c r="BK193" s="57">
        <v>2.0</v>
      </c>
      <c r="BL193" s="57">
        <v>2.0</v>
      </c>
      <c r="BM193" s="57">
        <v>1.0</v>
      </c>
      <c r="BN193" s="57">
        <v>5.0</v>
      </c>
      <c r="BO193" s="57">
        <v>2.0</v>
      </c>
      <c r="BP193" s="57">
        <v>2.0</v>
      </c>
      <c r="BQ193" s="57">
        <v>2.0</v>
      </c>
      <c r="BR193" s="57">
        <v>1.0</v>
      </c>
      <c r="BS193" s="57">
        <v>2.0</v>
      </c>
      <c r="BT193" s="57">
        <v>4.0</v>
      </c>
      <c r="BU193" s="53">
        <f t="shared" si="301"/>
        <v>1</v>
      </c>
      <c r="BV193" s="53">
        <f t="shared" si="302"/>
        <v>2</v>
      </c>
      <c r="BW193" s="53">
        <f t="shared" si="183"/>
        <v>20</v>
      </c>
      <c r="BX193" s="53" t="str">
        <f t="shared" si="303"/>
        <v>NO HAY FATIGA</v>
      </c>
      <c r="BY193" s="57">
        <v>2.0</v>
      </c>
      <c r="BZ193" s="57">
        <v>1.0</v>
      </c>
      <c r="CA193" s="57">
        <v>0.0</v>
      </c>
      <c r="CB193" s="57">
        <v>4.0</v>
      </c>
      <c r="CC193" s="57">
        <v>0.0</v>
      </c>
      <c r="CD193" s="57">
        <v>30.0</v>
      </c>
      <c r="CE193" s="57">
        <v>0.0</v>
      </c>
      <c r="CF193" s="57">
        <v>0.0</v>
      </c>
      <c r="CG193" s="57">
        <v>0.0</v>
      </c>
      <c r="CH193" s="57">
        <v>6.0</v>
      </c>
      <c r="CI193" s="57">
        <v>0.0</v>
      </c>
      <c r="CJ193" s="53">
        <f t="shared" si="254"/>
        <v>1440</v>
      </c>
      <c r="CK193" s="53">
        <f t="shared" si="206"/>
        <v>6</v>
      </c>
      <c r="CL193" s="44" t="b">
        <f t="shared" si="207"/>
        <v>0</v>
      </c>
      <c r="CM193" s="44" t="str">
        <f t="shared" si="208"/>
        <v>Nivel de actividad física moderado</v>
      </c>
      <c r="CN193" s="45" t="str">
        <f t="shared" si="209"/>
        <v>Nivel de actividad física moderado</v>
      </c>
      <c r="CO193" s="57">
        <v>0.0</v>
      </c>
      <c r="CP193" s="57">
        <v>30.0</v>
      </c>
      <c r="CQ193" s="53">
        <f t="shared" ref="CQ193:CQ196" si="309">IF(CP193&gt;60,3,IF(CP193&gt;30,2,IF(CP193&gt;15,1,0)))</f>
        <v>1</v>
      </c>
      <c r="CR193" s="57">
        <v>7.0</v>
      </c>
      <c r="CS193" s="57">
        <v>0.0</v>
      </c>
      <c r="CT193" s="57">
        <v>7.0</v>
      </c>
      <c r="CU193" s="57">
        <v>6.0</v>
      </c>
      <c r="CV193" s="57">
        <v>1.0</v>
      </c>
      <c r="CW193" s="57">
        <v>3.0</v>
      </c>
      <c r="CX193" s="57">
        <v>3.0</v>
      </c>
      <c r="CY193" s="57">
        <v>0.0</v>
      </c>
      <c r="CZ193" s="57">
        <v>0.0</v>
      </c>
      <c r="DA193" s="57">
        <v>0.0</v>
      </c>
      <c r="DB193" s="57">
        <v>0.0</v>
      </c>
      <c r="DC193" s="57">
        <v>0.0</v>
      </c>
      <c r="DD193" s="57">
        <v>0.0</v>
      </c>
      <c r="DE193" s="57">
        <v>0.0</v>
      </c>
      <c r="DF193" s="36" t="s">
        <v>133</v>
      </c>
      <c r="DG193" s="53">
        <f t="shared" si="55"/>
        <v>6</v>
      </c>
      <c r="DH193" s="57">
        <v>1.0</v>
      </c>
      <c r="DI193" s="57">
        <v>0.0</v>
      </c>
      <c r="DJ193" s="57">
        <v>3.0</v>
      </c>
      <c r="DK193" s="57">
        <v>0.0</v>
      </c>
      <c r="DL193" s="68">
        <f t="shared" si="237"/>
        <v>85.71428571</v>
      </c>
      <c r="DM193" s="53">
        <f t="shared" si="238"/>
        <v>1</v>
      </c>
      <c r="DN193" s="53">
        <f t="shared" si="239"/>
        <v>1</v>
      </c>
      <c r="DO193" s="53">
        <f t="shared" si="240"/>
        <v>1</v>
      </c>
      <c r="DP193" s="53">
        <f t="shared" si="241"/>
        <v>2</v>
      </c>
      <c r="DQ193" s="53">
        <f t="shared" si="242"/>
        <v>0</v>
      </c>
      <c r="DR193" s="53">
        <f t="shared" ref="DR193:DS193" si="307">(DH193)</f>
        <v>1</v>
      </c>
      <c r="DS193" s="53">
        <f t="shared" si="307"/>
        <v>0</v>
      </c>
      <c r="DT193" s="53">
        <f t="shared" si="41"/>
        <v>6</v>
      </c>
      <c r="DU193" s="53" t="str">
        <f t="shared" si="244"/>
        <v>poor sleep quality</v>
      </c>
      <c r="DV193" s="57">
        <v>0.0</v>
      </c>
      <c r="DW193" s="36" t="s">
        <v>133</v>
      </c>
      <c r="DX193" s="57" t="s">
        <v>137</v>
      </c>
      <c r="DY193" s="57">
        <v>1.0</v>
      </c>
      <c r="DZ193" s="57" t="s">
        <v>131</v>
      </c>
      <c r="EA193" s="57" t="s">
        <v>162</v>
      </c>
      <c r="EB193" s="57" t="s">
        <v>172</v>
      </c>
      <c r="EC193" s="36" t="s">
        <v>133</v>
      </c>
      <c r="ED193" s="57" t="s">
        <v>132</v>
      </c>
      <c r="EE193" s="57" t="s">
        <v>151</v>
      </c>
      <c r="EF193" s="35">
        <f t="shared" si="306"/>
        <v>1434</v>
      </c>
      <c r="EG193" s="35">
        <f t="shared" si="308"/>
        <v>1008</v>
      </c>
      <c r="EH193" s="47">
        <f t="shared" si="24"/>
        <v>28.71047932</v>
      </c>
    </row>
    <row r="194" ht="15.75" customHeight="1">
      <c r="A194" s="57" t="s">
        <v>631</v>
      </c>
      <c r="B194" s="57" t="s">
        <v>175</v>
      </c>
      <c r="C194" s="94">
        <v>45619.0</v>
      </c>
      <c r="D194" s="64">
        <v>53.0</v>
      </c>
      <c r="E194" s="50" t="s">
        <v>153</v>
      </c>
      <c r="F194" s="50">
        <v>176.0</v>
      </c>
      <c r="G194" s="91">
        <v>110.0</v>
      </c>
      <c r="H194" s="50" t="s">
        <v>131</v>
      </c>
      <c r="I194" s="50">
        <v>3.0</v>
      </c>
      <c r="J194" s="76">
        <v>44682.0</v>
      </c>
      <c r="K194" s="50" t="s">
        <v>131</v>
      </c>
      <c r="L194" s="50">
        <v>1.0</v>
      </c>
      <c r="M194" s="76">
        <v>44896.0</v>
      </c>
      <c r="N194" s="50">
        <v>2.0</v>
      </c>
      <c r="O194" s="55" t="s">
        <v>133</v>
      </c>
      <c r="P194" s="50" t="s">
        <v>132</v>
      </c>
      <c r="Q194" s="36" t="s">
        <v>133</v>
      </c>
      <c r="R194" s="36" t="s">
        <v>133</v>
      </c>
      <c r="S194" s="36" t="s">
        <v>133</v>
      </c>
      <c r="T194" s="36" t="s">
        <v>133</v>
      </c>
      <c r="U194" s="36" t="s">
        <v>133</v>
      </c>
      <c r="V194" s="36" t="str">
        <f t="shared" si="178"/>
        <v>Paciente ambulatorio</v>
      </c>
      <c r="W194" s="50" t="s">
        <v>183</v>
      </c>
      <c r="X194" s="50" t="s">
        <v>132</v>
      </c>
      <c r="Y194" s="50">
        <v>2.0</v>
      </c>
      <c r="Z194" s="50">
        <v>1.0</v>
      </c>
      <c r="AA194" s="50">
        <v>3.0</v>
      </c>
      <c r="AB194" s="50">
        <v>2.0</v>
      </c>
      <c r="AC194" s="50">
        <v>1.0</v>
      </c>
      <c r="AD194" s="50">
        <v>1.0</v>
      </c>
      <c r="AE194" s="50">
        <v>1.0</v>
      </c>
      <c r="AF194" s="50">
        <v>1.0</v>
      </c>
      <c r="AG194" s="50">
        <v>1.0</v>
      </c>
      <c r="AH194" s="50">
        <v>3.0</v>
      </c>
      <c r="AI194" s="50">
        <v>1.0</v>
      </c>
      <c r="AJ194" s="50">
        <v>1.0</v>
      </c>
      <c r="AK194" s="36" t="s">
        <v>133</v>
      </c>
      <c r="AL194" s="79" t="s">
        <v>132</v>
      </c>
      <c r="AM194" s="50" t="s">
        <v>132</v>
      </c>
      <c r="AN194" s="50" t="s">
        <v>132</v>
      </c>
      <c r="AO194" s="50" t="s">
        <v>132</v>
      </c>
      <c r="AP194" s="50" t="s">
        <v>132</v>
      </c>
      <c r="AQ194" s="50" t="s">
        <v>132</v>
      </c>
      <c r="AR194" s="50" t="s">
        <v>132</v>
      </c>
      <c r="AS194" s="50" t="s">
        <v>132</v>
      </c>
      <c r="AT194" s="50" t="s">
        <v>132</v>
      </c>
      <c r="AU194" s="50" t="s">
        <v>132</v>
      </c>
      <c r="AV194" s="50" t="s">
        <v>132</v>
      </c>
      <c r="AW194" s="36" t="s">
        <v>133</v>
      </c>
      <c r="AX194" s="50" t="s">
        <v>165</v>
      </c>
      <c r="AY194" s="36" t="s">
        <v>133</v>
      </c>
      <c r="AZ194" s="36" t="s">
        <v>133</v>
      </c>
      <c r="BA194" s="77">
        <v>9.0</v>
      </c>
      <c r="BB194" s="50" t="s">
        <v>145</v>
      </c>
      <c r="BC194" s="36" t="s">
        <v>133</v>
      </c>
      <c r="BD194" s="79">
        <v>1.0</v>
      </c>
      <c r="BE194" s="50">
        <v>2.0</v>
      </c>
      <c r="BF194" s="50">
        <v>2.0</v>
      </c>
      <c r="BG194" s="50">
        <v>2.0</v>
      </c>
      <c r="BH194" s="50">
        <v>2.0</v>
      </c>
      <c r="BI194" s="44" t="str">
        <f t="shared" si="205"/>
        <v>12222</v>
      </c>
      <c r="BJ194" s="50">
        <v>60.0</v>
      </c>
      <c r="BK194" s="50">
        <v>4.0</v>
      </c>
      <c r="BL194" s="50">
        <v>5.0</v>
      </c>
      <c r="BM194" s="50">
        <v>5.0</v>
      </c>
      <c r="BN194" s="50">
        <v>1.0</v>
      </c>
      <c r="BO194" s="50">
        <v>4.0</v>
      </c>
      <c r="BP194" s="50">
        <v>3.0</v>
      </c>
      <c r="BQ194" s="50">
        <v>3.0</v>
      </c>
      <c r="BR194" s="50">
        <v>3.0</v>
      </c>
      <c r="BS194" s="50">
        <v>3.0</v>
      </c>
      <c r="BT194" s="50">
        <v>2.0</v>
      </c>
      <c r="BU194" s="53">
        <f t="shared" si="301"/>
        <v>5</v>
      </c>
      <c r="BV194" s="53">
        <f t="shared" si="302"/>
        <v>4</v>
      </c>
      <c r="BW194" s="53">
        <f t="shared" si="183"/>
        <v>36</v>
      </c>
      <c r="BX194" s="53" t="str">
        <f t="shared" si="303"/>
        <v>FATIGA EXTREMA</v>
      </c>
      <c r="BY194" s="50">
        <v>1.0</v>
      </c>
      <c r="BZ194" s="50">
        <v>0.0</v>
      </c>
      <c r="CA194" s="50">
        <v>20.0</v>
      </c>
      <c r="CB194" s="50">
        <v>0.0</v>
      </c>
      <c r="CC194" s="50">
        <v>0.0</v>
      </c>
      <c r="CD194" s="50">
        <v>0.0</v>
      </c>
      <c r="CE194" s="50">
        <v>7.0</v>
      </c>
      <c r="CF194" s="50">
        <v>0.0</v>
      </c>
      <c r="CG194" s="50">
        <v>30.0</v>
      </c>
      <c r="CH194" s="50">
        <v>12.0</v>
      </c>
      <c r="CI194" s="50">
        <v>0.0</v>
      </c>
      <c r="CJ194" s="53">
        <f t="shared" si="254"/>
        <v>853</v>
      </c>
      <c r="CK194" s="53">
        <f t="shared" si="206"/>
        <v>8</v>
      </c>
      <c r="CL194" s="44" t="b">
        <f t="shared" si="207"/>
        <v>0</v>
      </c>
      <c r="CM194" s="44" t="b">
        <f t="shared" si="208"/>
        <v>0</v>
      </c>
      <c r="CN194" s="45" t="str">
        <f t="shared" si="209"/>
        <v>Nivel de actividad física bajo</v>
      </c>
      <c r="CO194" s="50">
        <v>24.0</v>
      </c>
      <c r="CP194" s="50">
        <v>20.0</v>
      </c>
      <c r="CQ194" s="53">
        <f t="shared" si="309"/>
        <v>1</v>
      </c>
      <c r="CR194" s="50">
        <v>6.0</v>
      </c>
      <c r="CS194" s="50">
        <v>30.0</v>
      </c>
      <c r="CT194" s="50">
        <v>6.5</v>
      </c>
      <c r="CU194" s="50">
        <v>5.0</v>
      </c>
      <c r="CV194" s="50">
        <v>1.0</v>
      </c>
      <c r="CW194" s="50">
        <v>3.0</v>
      </c>
      <c r="CX194" s="50">
        <v>3.0</v>
      </c>
      <c r="CY194" s="50">
        <v>2.0</v>
      </c>
      <c r="CZ194" s="50">
        <v>2.0</v>
      </c>
      <c r="DA194" s="50">
        <v>1.0</v>
      </c>
      <c r="DB194" s="50">
        <v>0.0</v>
      </c>
      <c r="DC194" s="50">
        <v>2.0</v>
      </c>
      <c r="DD194" s="50">
        <v>2.0</v>
      </c>
      <c r="DE194" s="57">
        <v>1.0</v>
      </c>
      <c r="DF194" s="50" t="s">
        <v>380</v>
      </c>
      <c r="DG194" s="53">
        <f t="shared" si="55"/>
        <v>16</v>
      </c>
      <c r="DH194" s="50">
        <v>2.0</v>
      </c>
      <c r="DI194" s="50">
        <v>0.0</v>
      </c>
      <c r="DJ194" s="50">
        <v>2.0</v>
      </c>
      <c r="DK194" s="50">
        <v>2.0</v>
      </c>
      <c r="DL194" s="68">
        <f t="shared" si="237"/>
        <v>76.92307692</v>
      </c>
      <c r="DM194" s="53">
        <f t="shared" si="238"/>
        <v>2</v>
      </c>
      <c r="DN194" s="53">
        <f t="shared" si="239"/>
        <v>2</v>
      </c>
      <c r="DO194" s="53">
        <f t="shared" si="240"/>
        <v>1</v>
      </c>
      <c r="DP194" s="53">
        <f t="shared" si="241"/>
        <v>2</v>
      </c>
      <c r="DQ194" s="53">
        <f t="shared" si="242"/>
        <v>1</v>
      </c>
      <c r="DR194" s="53">
        <f t="shared" ref="DR194:DS194" si="310">(DH194)</f>
        <v>2</v>
      </c>
      <c r="DS194" s="53">
        <f t="shared" si="310"/>
        <v>0</v>
      </c>
      <c r="DT194" s="53">
        <f t="shared" si="41"/>
        <v>10</v>
      </c>
      <c r="DU194" s="53" t="str">
        <f t="shared" si="244"/>
        <v>poor sleep quality</v>
      </c>
      <c r="DV194" s="50">
        <v>4.0</v>
      </c>
      <c r="DW194" s="50" t="s">
        <v>149</v>
      </c>
      <c r="DX194" s="50" t="s">
        <v>146</v>
      </c>
      <c r="DY194" s="36" t="s">
        <v>133</v>
      </c>
      <c r="DZ194" s="36" t="s">
        <v>133</v>
      </c>
      <c r="EA194" s="36" t="s">
        <v>133</v>
      </c>
      <c r="EB194" s="36" t="s">
        <v>133</v>
      </c>
      <c r="EC194" s="36" t="s">
        <v>133</v>
      </c>
      <c r="ED194" s="36" t="s">
        <v>133</v>
      </c>
      <c r="EE194" s="36" t="s">
        <v>133</v>
      </c>
      <c r="EF194" s="35">
        <f t="shared" si="306"/>
        <v>723</v>
      </c>
      <c r="EG194" s="36" t="s">
        <v>133</v>
      </c>
      <c r="EH194" s="47">
        <f t="shared" si="24"/>
        <v>35.51136364</v>
      </c>
    </row>
    <row r="195" ht="15.75" customHeight="1">
      <c r="A195" s="85" t="s">
        <v>632</v>
      </c>
      <c r="B195" s="57" t="s">
        <v>175</v>
      </c>
      <c r="C195" s="95">
        <v>45605.0</v>
      </c>
      <c r="D195" s="64">
        <v>42.0</v>
      </c>
      <c r="E195" s="50" t="s">
        <v>130</v>
      </c>
      <c r="F195" s="50">
        <v>171.0</v>
      </c>
      <c r="G195" s="91">
        <v>110.0</v>
      </c>
      <c r="H195" s="50" t="s">
        <v>131</v>
      </c>
      <c r="I195" s="50">
        <v>3.0</v>
      </c>
      <c r="J195" s="76">
        <v>44531.0</v>
      </c>
      <c r="K195" s="50" t="s">
        <v>131</v>
      </c>
      <c r="L195" s="50">
        <v>3.0</v>
      </c>
      <c r="M195" s="76">
        <v>44075.0</v>
      </c>
      <c r="N195" s="50">
        <v>0.0</v>
      </c>
      <c r="O195" s="76">
        <v>44593.0</v>
      </c>
      <c r="P195" s="50" t="s">
        <v>132</v>
      </c>
      <c r="Q195" s="36" t="s">
        <v>133</v>
      </c>
      <c r="R195" s="36" t="s">
        <v>133</v>
      </c>
      <c r="S195" s="36" t="s">
        <v>133</v>
      </c>
      <c r="T195" s="36" t="s">
        <v>133</v>
      </c>
      <c r="U195" s="36" t="s">
        <v>133</v>
      </c>
      <c r="V195" s="36" t="str">
        <f t="shared" si="178"/>
        <v>Paciente ambulatorio</v>
      </c>
      <c r="W195" s="50" t="s">
        <v>183</v>
      </c>
      <c r="X195" s="50" t="s">
        <v>132</v>
      </c>
      <c r="Y195" s="50">
        <v>1.0</v>
      </c>
      <c r="Z195" s="50">
        <v>2.0</v>
      </c>
      <c r="AA195" s="50">
        <v>2.0</v>
      </c>
      <c r="AB195" s="50">
        <v>2.0</v>
      </c>
      <c r="AC195" s="50">
        <v>2.0</v>
      </c>
      <c r="AD195" s="50">
        <v>1.0</v>
      </c>
      <c r="AE195" s="50">
        <v>1.0</v>
      </c>
      <c r="AF195" s="50">
        <v>1.0</v>
      </c>
      <c r="AG195" s="50">
        <v>3.0</v>
      </c>
      <c r="AH195" s="50">
        <v>1.0</v>
      </c>
      <c r="AI195" s="50">
        <v>1.0</v>
      </c>
      <c r="AJ195" s="50">
        <v>1.0</v>
      </c>
      <c r="AK195" s="36" t="s">
        <v>133</v>
      </c>
      <c r="AL195" s="79" t="s">
        <v>132</v>
      </c>
      <c r="AM195" s="50" t="s">
        <v>132</v>
      </c>
      <c r="AN195" s="50" t="s">
        <v>132</v>
      </c>
      <c r="AO195" s="50" t="s">
        <v>132</v>
      </c>
      <c r="AP195" s="50" t="s">
        <v>132</v>
      </c>
      <c r="AQ195" s="50" t="s">
        <v>132</v>
      </c>
      <c r="AR195" s="50" t="s">
        <v>132</v>
      </c>
      <c r="AS195" s="50" t="s">
        <v>132</v>
      </c>
      <c r="AT195" s="50" t="s">
        <v>132</v>
      </c>
      <c r="AU195" s="50" t="s">
        <v>132</v>
      </c>
      <c r="AV195" s="50" t="s">
        <v>131</v>
      </c>
      <c r="AW195" s="50" t="s">
        <v>633</v>
      </c>
      <c r="AX195" s="36" t="s">
        <v>133</v>
      </c>
      <c r="AY195" s="36" t="s">
        <v>133</v>
      </c>
      <c r="AZ195" s="36" t="s">
        <v>133</v>
      </c>
      <c r="BA195" s="36" t="s">
        <v>133</v>
      </c>
      <c r="BB195" s="36" t="s">
        <v>133</v>
      </c>
      <c r="BC195" s="36" t="s">
        <v>133</v>
      </c>
      <c r="BD195" s="79">
        <v>2.0</v>
      </c>
      <c r="BE195" s="50">
        <v>1.0</v>
      </c>
      <c r="BF195" s="50">
        <v>2.0</v>
      </c>
      <c r="BG195" s="50">
        <v>3.0</v>
      </c>
      <c r="BH195" s="50">
        <v>4.0</v>
      </c>
      <c r="BI195" s="44" t="str">
        <f t="shared" si="205"/>
        <v>21234</v>
      </c>
      <c r="BJ195" s="50">
        <v>50.0</v>
      </c>
      <c r="BK195" s="50">
        <v>4.0</v>
      </c>
      <c r="BL195" s="50">
        <v>4.0</v>
      </c>
      <c r="BM195" s="50">
        <v>2.0</v>
      </c>
      <c r="BN195" s="50">
        <v>2.0</v>
      </c>
      <c r="BO195" s="50">
        <v>3.0</v>
      </c>
      <c r="BP195" s="50">
        <v>4.0</v>
      </c>
      <c r="BQ195" s="50">
        <v>2.0</v>
      </c>
      <c r="BR195" s="50">
        <v>2.0</v>
      </c>
      <c r="BS195" s="50">
        <v>3.0</v>
      </c>
      <c r="BT195" s="50">
        <v>4.0</v>
      </c>
      <c r="BU195" s="44">
        <f>IF(BN195=1,5,IF(BN195=2,4,IF(BN195=3,3,IF(BN195=4,2,IF(BN195=5,1)))))</f>
        <v>4</v>
      </c>
      <c r="BV195" s="44">
        <f>IF(BT195=1,5,IF(BT195=2,4,IF(BT195=3,3,IF(BT195=4,2,IF(BT195=5,1)))))</f>
        <v>2</v>
      </c>
      <c r="BW195" s="44">
        <f t="shared" si="183"/>
        <v>30</v>
      </c>
      <c r="BX195" s="44" t="str">
        <f>IF(BW195&lt;22,"NO HAY FATIGA",IF(BW195&lt;35,"FATIGA","FATIGA EXTREMA"))</f>
        <v>FATIGA</v>
      </c>
      <c r="BY195" s="50">
        <v>0.0</v>
      </c>
      <c r="BZ195" s="50">
        <v>0.0</v>
      </c>
      <c r="CA195" s="50">
        <v>0.0</v>
      </c>
      <c r="CB195" s="50">
        <v>7.0</v>
      </c>
      <c r="CC195" s="50">
        <v>0.0</v>
      </c>
      <c r="CD195" s="50">
        <v>30.0</v>
      </c>
      <c r="CE195" s="50">
        <v>3.0</v>
      </c>
      <c r="CF195" s="50">
        <v>1.0</v>
      </c>
      <c r="CG195" s="50">
        <v>0.0</v>
      </c>
      <c r="CH195" s="50">
        <v>6.0</v>
      </c>
      <c r="CI195" s="50">
        <v>0.0</v>
      </c>
      <c r="CJ195" s="53">
        <f t="shared" si="254"/>
        <v>1434</v>
      </c>
      <c r="CK195" s="53">
        <f t="shared" si="206"/>
        <v>10</v>
      </c>
      <c r="CL195" s="44" t="b">
        <f t="shared" si="207"/>
        <v>0</v>
      </c>
      <c r="CM195" s="44" t="str">
        <f t="shared" si="208"/>
        <v>Nivel de actividad física moderado</v>
      </c>
      <c r="CN195" s="45" t="str">
        <f t="shared" si="209"/>
        <v>Nivel de actividad física moderado</v>
      </c>
      <c r="CO195" s="50">
        <v>1.0</v>
      </c>
      <c r="CP195" s="50">
        <v>30.0</v>
      </c>
      <c r="CQ195" s="53">
        <f t="shared" si="309"/>
        <v>1</v>
      </c>
      <c r="CR195" s="50">
        <v>9.0</v>
      </c>
      <c r="CS195" s="50">
        <v>0.0</v>
      </c>
      <c r="CT195" s="50">
        <v>8.0</v>
      </c>
      <c r="CU195" s="50">
        <v>5.0</v>
      </c>
      <c r="CV195" s="50">
        <v>0.0</v>
      </c>
      <c r="CW195" s="50">
        <v>2.0</v>
      </c>
      <c r="CX195" s="50">
        <v>0.0</v>
      </c>
      <c r="CY195" s="50">
        <v>0.0</v>
      </c>
      <c r="CZ195" s="50">
        <v>0.0</v>
      </c>
      <c r="DA195" s="50">
        <v>2.0</v>
      </c>
      <c r="DB195" s="50">
        <v>3.0</v>
      </c>
      <c r="DC195" s="50">
        <v>3.0</v>
      </c>
      <c r="DD195" s="50">
        <v>3.0</v>
      </c>
      <c r="DE195" s="57">
        <v>2.0</v>
      </c>
      <c r="DF195" s="50" t="s">
        <v>634</v>
      </c>
      <c r="DG195" s="53">
        <f t="shared" si="55"/>
        <v>15</v>
      </c>
      <c r="DH195" s="50">
        <v>2.0</v>
      </c>
      <c r="DI195" s="50">
        <v>3.0</v>
      </c>
      <c r="DJ195" s="50">
        <v>3.0</v>
      </c>
      <c r="DK195" s="50">
        <v>3.0</v>
      </c>
      <c r="DL195" s="68">
        <f t="shared" si="237"/>
        <v>62.5</v>
      </c>
      <c r="DM195" s="53">
        <f t="shared" si="238"/>
        <v>2</v>
      </c>
      <c r="DN195" s="53">
        <f t="shared" si="239"/>
        <v>2</v>
      </c>
      <c r="DO195" s="53">
        <f t="shared" si="240"/>
        <v>1</v>
      </c>
      <c r="DP195" s="53">
        <f t="shared" si="241"/>
        <v>3</v>
      </c>
      <c r="DQ195" s="53">
        <f t="shared" si="242"/>
        <v>3</v>
      </c>
      <c r="DR195" s="53">
        <f t="shared" ref="DR195:DS195" si="311">(DH195)</f>
        <v>2</v>
      </c>
      <c r="DS195" s="53">
        <f t="shared" si="311"/>
        <v>3</v>
      </c>
      <c r="DT195" s="53">
        <f t="shared" si="41"/>
        <v>16</v>
      </c>
      <c r="DU195" s="53" t="str">
        <f t="shared" si="244"/>
        <v>poor sleep quality</v>
      </c>
      <c r="DV195" s="50">
        <v>3.0</v>
      </c>
      <c r="DW195" s="50" t="s">
        <v>635</v>
      </c>
      <c r="DX195" s="50" t="s">
        <v>146</v>
      </c>
      <c r="DY195" s="50">
        <v>1.0</v>
      </c>
      <c r="DZ195" s="50" t="s">
        <v>131</v>
      </c>
      <c r="EA195" s="50" t="s">
        <v>167</v>
      </c>
      <c r="EB195" s="50" t="s">
        <v>287</v>
      </c>
      <c r="EC195" s="77" t="s">
        <v>140</v>
      </c>
      <c r="ED195" s="77" t="s">
        <v>132</v>
      </c>
      <c r="EE195" s="50" t="s">
        <v>141</v>
      </c>
      <c r="EF195" s="35">
        <f t="shared" si="306"/>
        <v>1530</v>
      </c>
      <c r="EG195" s="35">
        <f t="shared" ref="EG195:EG196" si="313">C195-O195</f>
        <v>1012</v>
      </c>
      <c r="EH195" s="47">
        <f t="shared" si="24"/>
        <v>37.6184125</v>
      </c>
    </row>
    <row r="196" ht="15.75" customHeight="1">
      <c r="A196" s="85" t="s">
        <v>636</v>
      </c>
      <c r="B196" s="57" t="s">
        <v>175</v>
      </c>
      <c r="C196" s="95">
        <v>45605.0</v>
      </c>
      <c r="D196" s="64">
        <v>38.0</v>
      </c>
      <c r="E196" s="50" t="s">
        <v>130</v>
      </c>
      <c r="F196" s="50">
        <v>160.0</v>
      </c>
      <c r="G196" s="91">
        <v>100.0</v>
      </c>
      <c r="H196" s="50" t="s">
        <v>131</v>
      </c>
      <c r="I196" s="50">
        <v>3.0</v>
      </c>
      <c r="J196" s="55" t="s">
        <v>133</v>
      </c>
      <c r="K196" s="50" t="s">
        <v>131</v>
      </c>
      <c r="L196" s="50">
        <v>2.0</v>
      </c>
      <c r="M196" s="76">
        <v>44044.0</v>
      </c>
      <c r="N196" s="50">
        <v>0.0</v>
      </c>
      <c r="O196" s="42">
        <v>44593.0</v>
      </c>
      <c r="P196" s="50" t="s">
        <v>132</v>
      </c>
      <c r="Q196" s="36" t="s">
        <v>133</v>
      </c>
      <c r="R196" s="36" t="s">
        <v>133</v>
      </c>
      <c r="S196" s="36" t="s">
        <v>133</v>
      </c>
      <c r="T196" s="36" t="s">
        <v>133</v>
      </c>
      <c r="U196" s="36" t="s">
        <v>133</v>
      </c>
      <c r="V196" s="36" t="str">
        <f t="shared" si="178"/>
        <v>Paciente ambulatorio</v>
      </c>
      <c r="W196" s="50" t="s">
        <v>183</v>
      </c>
      <c r="X196" s="50" t="s">
        <v>132</v>
      </c>
      <c r="Y196" s="50">
        <v>2.0</v>
      </c>
      <c r="Z196" s="50">
        <v>1.0</v>
      </c>
      <c r="AA196" s="50">
        <v>1.0</v>
      </c>
      <c r="AB196" s="50">
        <v>1.0</v>
      </c>
      <c r="AC196" s="50">
        <v>2.0</v>
      </c>
      <c r="AD196" s="50">
        <v>2.0</v>
      </c>
      <c r="AE196" s="50">
        <v>2.0</v>
      </c>
      <c r="AF196" s="50">
        <v>1.0</v>
      </c>
      <c r="AG196" s="50">
        <v>1.0</v>
      </c>
      <c r="AH196" s="50">
        <v>1.0</v>
      </c>
      <c r="AI196" s="50">
        <v>1.0</v>
      </c>
      <c r="AJ196" s="50">
        <v>1.0</v>
      </c>
      <c r="AK196" s="36" t="s">
        <v>133</v>
      </c>
      <c r="AL196" s="79" t="s">
        <v>132</v>
      </c>
      <c r="AM196" s="50" t="s">
        <v>132</v>
      </c>
      <c r="AN196" s="50" t="s">
        <v>132</v>
      </c>
      <c r="AO196" s="50" t="s">
        <v>132</v>
      </c>
      <c r="AP196" s="50" t="s">
        <v>132</v>
      </c>
      <c r="AQ196" s="50" t="s">
        <v>132</v>
      </c>
      <c r="AR196" s="50" t="s">
        <v>132</v>
      </c>
      <c r="AS196" s="50" t="s">
        <v>132</v>
      </c>
      <c r="AT196" s="50" t="s">
        <v>132</v>
      </c>
      <c r="AU196" s="50" t="s">
        <v>132</v>
      </c>
      <c r="AV196" s="50" t="s">
        <v>131</v>
      </c>
      <c r="AW196" s="50" t="s">
        <v>590</v>
      </c>
      <c r="AX196" s="50" t="s">
        <v>131</v>
      </c>
      <c r="AY196" s="77">
        <v>1.0</v>
      </c>
      <c r="AZ196" s="77">
        <v>2.0</v>
      </c>
      <c r="BA196" s="36" t="s">
        <v>133</v>
      </c>
      <c r="BB196" s="50" t="s">
        <v>145</v>
      </c>
      <c r="BC196" s="36" t="s">
        <v>133</v>
      </c>
      <c r="BD196" s="79">
        <v>1.0</v>
      </c>
      <c r="BE196" s="50">
        <v>1.0</v>
      </c>
      <c r="BF196" s="50">
        <v>2.0</v>
      </c>
      <c r="BG196" s="50">
        <v>1.0</v>
      </c>
      <c r="BH196" s="50">
        <v>2.0</v>
      </c>
      <c r="BI196" s="44" t="str">
        <f t="shared" si="205"/>
        <v>11212</v>
      </c>
      <c r="BJ196" s="50">
        <v>75.0</v>
      </c>
      <c r="BK196" s="36" t="s">
        <v>133</v>
      </c>
      <c r="BL196" s="36" t="s">
        <v>133</v>
      </c>
      <c r="BM196" s="36" t="s">
        <v>133</v>
      </c>
      <c r="BN196" s="36" t="s">
        <v>133</v>
      </c>
      <c r="BO196" s="36" t="s">
        <v>133</v>
      </c>
      <c r="BP196" s="36" t="s">
        <v>133</v>
      </c>
      <c r="BQ196" s="36" t="s">
        <v>133</v>
      </c>
      <c r="BR196" s="36" t="s">
        <v>133</v>
      </c>
      <c r="BS196" s="36" t="s">
        <v>133</v>
      </c>
      <c r="BT196" s="36" t="s">
        <v>133</v>
      </c>
      <c r="BU196" s="53" t="b">
        <f t="shared" ref="BU196:BU200" si="314">IF(BN196=1,5,IF(BN196=2,4,IF(BN196=3,3,IF(BN196=4,2,IF(BN196=5,1)))))</f>
        <v>0</v>
      </c>
      <c r="BV196" s="53" t="b">
        <f t="shared" ref="BV196:BV200" si="315">IF(BT196=1,5,IF(BT196=2,4,IF(BT196=3,3,IF(BT196=4,2,IF(BT196=5,1)))))</f>
        <v>0</v>
      </c>
      <c r="BW196" s="53">
        <f t="shared" si="183"/>
        <v>0</v>
      </c>
      <c r="BX196" s="53" t="str">
        <f t="shared" ref="BX196:BX200" si="316">IF(BW196&lt;22,"NO HAY FATIGA",IF(BW196&lt;35,"FATIGA","FATIGA EXTREMA"))</f>
        <v>NO HAY FATIGA</v>
      </c>
      <c r="BY196" s="50">
        <v>0.0</v>
      </c>
      <c r="BZ196" s="50">
        <v>0.0</v>
      </c>
      <c r="CA196" s="50">
        <v>0.0</v>
      </c>
      <c r="CB196" s="50">
        <v>0.0</v>
      </c>
      <c r="CC196" s="50">
        <v>0.0</v>
      </c>
      <c r="CD196" s="50">
        <v>0.0</v>
      </c>
      <c r="CE196" s="50">
        <v>5.0</v>
      </c>
      <c r="CF196" s="50">
        <v>0.0</v>
      </c>
      <c r="CG196" s="50">
        <v>15.0</v>
      </c>
      <c r="CH196" s="50">
        <v>8.0</v>
      </c>
      <c r="CI196" s="50">
        <v>0.0</v>
      </c>
      <c r="CJ196" s="53">
        <f t="shared" si="254"/>
        <v>247.5</v>
      </c>
      <c r="CK196" s="53">
        <f t="shared" si="206"/>
        <v>5</v>
      </c>
      <c r="CL196" s="44" t="b">
        <f t="shared" si="207"/>
        <v>0</v>
      </c>
      <c r="CM196" s="44" t="b">
        <f t="shared" si="208"/>
        <v>0</v>
      </c>
      <c r="CN196" s="45" t="str">
        <f t="shared" si="209"/>
        <v>Nivel de actividad física bajo</v>
      </c>
      <c r="CO196" s="50">
        <v>21.0</v>
      </c>
      <c r="CP196" s="50">
        <v>90.0</v>
      </c>
      <c r="CQ196" s="53">
        <f t="shared" si="309"/>
        <v>3</v>
      </c>
      <c r="CR196" s="50">
        <v>5.0</v>
      </c>
      <c r="CS196" s="50">
        <v>30.0</v>
      </c>
      <c r="CT196" s="50">
        <v>8.5</v>
      </c>
      <c r="CU196" s="50">
        <v>4.0</v>
      </c>
      <c r="CV196" s="50">
        <v>3.0</v>
      </c>
      <c r="CW196" s="50">
        <v>3.0</v>
      </c>
      <c r="CX196" s="50">
        <v>3.0</v>
      </c>
      <c r="CY196" s="50">
        <v>0.0</v>
      </c>
      <c r="CZ196" s="50">
        <v>0.0</v>
      </c>
      <c r="DA196" s="50">
        <v>0.0</v>
      </c>
      <c r="DB196" s="50">
        <v>2.0</v>
      </c>
      <c r="DC196" s="50">
        <v>0.0</v>
      </c>
      <c r="DD196" s="50">
        <v>3.0</v>
      </c>
      <c r="DE196" s="57">
        <v>0.0</v>
      </c>
      <c r="DF196" s="36" t="s">
        <v>133</v>
      </c>
      <c r="DG196" s="53">
        <f t="shared" si="55"/>
        <v>11</v>
      </c>
      <c r="DH196" s="50">
        <v>2.0</v>
      </c>
      <c r="DI196" s="50">
        <v>3.0</v>
      </c>
      <c r="DJ196" s="50">
        <v>3.0</v>
      </c>
      <c r="DK196" s="50">
        <v>0.0</v>
      </c>
      <c r="DL196" s="68">
        <f t="shared" si="237"/>
        <v>47.05882353</v>
      </c>
      <c r="DM196" s="53">
        <f t="shared" si="238"/>
        <v>3</v>
      </c>
      <c r="DN196" s="53">
        <f t="shared" si="239"/>
        <v>2</v>
      </c>
      <c r="DO196" s="53">
        <f t="shared" si="240"/>
        <v>3</v>
      </c>
      <c r="DP196" s="53">
        <f t="shared" si="241"/>
        <v>2</v>
      </c>
      <c r="DQ196" s="53">
        <f t="shared" si="242"/>
        <v>3</v>
      </c>
      <c r="DR196" s="53">
        <f t="shared" ref="DR196:DS196" si="312">(DH196)</f>
        <v>2</v>
      </c>
      <c r="DS196" s="53">
        <f t="shared" si="312"/>
        <v>3</v>
      </c>
      <c r="DT196" s="53">
        <f t="shared" si="41"/>
        <v>18</v>
      </c>
      <c r="DU196" s="53" t="str">
        <f t="shared" si="244"/>
        <v>poor sleep quality</v>
      </c>
      <c r="DV196" s="50">
        <v>1.0</v>
      </c>
      <c r="DW196" s="85" t="s">
        <v>314</v>
      </c>
      <c r="DX196" s="50" t="s">
        <v>137</v>
      </c>
      <c r="DY196" s="50">
        <v>1.0</v>
      </c>
      <c r="DZ196" s="50" t="s">
        <v>131</v>
      </c>
      <c r="EA196" s="50" t="s">
        <v>157</v>
      </c>
      <c r="EB196" s="50" t="s">
        <v>139</v>
      </c>
      <c r="EC196" s="36" t="s">
        <v>133</v>
      </c>
      <c r="ED196" s="50" t="s">
        <v>131</v>
      </c>
      <c r="EE196" s="50" t="s">
        <v>203</v>
      </c>
      <c r="EF196" s="35">
        <f t="shared" si="306"/>
        <v>1561</v>
      </c>
      <c r="EG196" s="35">
        <f t="shared" si="313"/>
        <v>1012</v>
      </c>
      <c r="EH196" s="47">
        <f t="shared" si="24"/>
        <v>39.0625</v>
      </c>
    </row>
    <row r="197" ht="15.75" customHeight="1">
      <c r="A197" s="85" t="s">
        <v>637</v>
      </c>
      <c r="B197" s="57" t="s">
        <v>175</v>
      </c>
      <c r="C197" s="95">
        <v>45598.0</v>
      </c>
      <c r="D197" s="64">
        <v>49.0</v>
      </c>
      <c r="E197" s="50" t="s">
        <v>153</v>
      </c>
      <c r="F197" s="50">
        <v>172.0</v>
      </c>
      <c r="G197" s="91">
        <v>90.0</v>
      </c>
      <c r="H197" s="50" t="s">
        <v>132</v>
      </c>
      <c r="I197" s="50" t="s">
        <v>133</v>
      </c>
      <c r="J197" s="76" t="s">
        <v>133</v>
      </c>
      <c r="K197" s="85" t="s">
        <v>131</v>
      </c>
      <c r="L197" s="85">
        <v>1.0</v>
      </c>
      <c r="M197" s="76">
        <v>44704.0</v>
      </c>
      <c r="N197" s="57" t="s">
        <v>133</v>
      </c>
      <c r="O197" s="55" t="s">
        <v>133</v>
      </c>
      <c r="P197" s="85" t="s">
        <v>132</v>
      </c>
      <c r="Q197" s="36" t="s">
        <v>133</v>
      </c>
      <c r="R197" s="36" t="s">
        <v>133</v>
      </c>
      <c r="S197" s="36" t="s">
        <v>133</v>
      </c>
      <c r="T197" s="36" t="s">
        <v>133</v>
      </c>
      <c r="U197" s="36" t="s">
        <v>133</v>
      </c>
      <c r="V197" s="36" t="str">
        <f t="shared" si="178"/>
        <v>Paciente ambulatorio</v>
      </c>
      <c r="W197" s="85" t="s">
        <v>183</v>
      </c>
      <c r="X197" s="85" t="s">
        <v>132</v>
      </c>
      <c r="Y197" s="50">
        <v>2.0</v>
      </c>
      <c r="Z197" s="50">
        <v>1.0</v>
      </c>
      <c r="AA197" s="50">
        <v>2.0</v>
      </c>
      <c r="AB197" s="50">
        <v>2.0</v>
      </c>
      <c r="AC197" s="50">
        <v>3.0</v>
      </c>
      <c r="AD197" s="50">
        <v>1.0</v>
      </c>
      <c r="AE197" s="85">
        <v>2.0</v>
      </c>
      <c r="AF197" s="85">
        <v>1.0</v>
      </c>
      <c r="AG197" s="50">
        <v>3.0</v>
      </c>
      <c r="AH197" s="50">
        <v>1.0</v>
      </c>
      <c r="AI197" s="85">
        <v>1.0</v>
      </c>
      <c r="AJ197" s="85">
        <v>1.0</v>
      </c>
      <c r="AK197" s="36" t="s">
        <v>133</v>
      </c>
      <c r="AL197" s="85" t="s">
        <v>132</v>
      </c>
      <c r="AM197" s="85" t="s">
        <v>132</v>
      </c>
      <c r="AN197" s="85" t="s">
        <v>132</v>
      </c>
      <c r="AO197" s="85" t="s">
        <v>132</v>
      </c>
      <c r="AP197" s="85" t="s">
        <v>132</v>
      </c>
      <c r="AQ197" s="85" t="s">
        <v>132</v>
      </c>
      <c r="AR197" s="85" t="s">
        <v>132</v>
      </c>
      <c r="AS197" s="85" t="s">
        <v>132</v>
      </c>
      <c r="AT197" s="85" t="s">
        <v>132</v>
      </c>
      <c r="AU197" s="85" t="s">
        <v>132</v>
      </c>
      <c r="AV197" s="85" t="s">
        <v>132</v>
      </c>
      <c r="AW197" s="36" t="s">
        <v>133</v>
      </c>
      <c r="AX197" s="82" t="s">
        <v>132</v>
      </c>
      <c r="AY197" s="36" t="s">
        <v>133</v>
      </c>
      <c r="AZ197" s="36" t="s">
        <v>133</v>
      </c>
      <c r="BA197" s="36" t="s">
        <v>133</v>
      </c>
      <c r="BB197" s="85" t="s">
        <v>145</v>
      </c>
      <c r="BC197" s="36" t="s">
        <v>133</v>
      </c>
      <c r="BD197" s="90">
        <v>1.0</v>
      </c>
      <c r="BE197" s="85">
        <v>1.0</v>
      </c>
      <c r="BF197" s="50">
        <v>2.0</v>
      </c>
      <c r="BG197" s="85">
        <v>1.0</v>
      </c>
      <c r="BH197" s="50">
        <v>1.0</v>
      </c>
      <c r="BI197" s="44" t="str">
        <f t="shared" si="205"/>
        <v>11211</v>
      </c>
      <c r="BJ197" s="50">
        <v>90.0</v>
      </c>
      <c r="BK197" s="50">
        <v>4.0</v>
      </c>
      <c r="BL197" s="50">
        <v>4.0</v>
      </c>
      <c r="BM197" s="85">
        <v>1.0</v>
      </c>
      <c r="BN197" s="50">
        <v>5.0</v>
      </c>
      <c r="BO197" s="50">
        <v>4.0</v>
      </c>
      <c r="BP197" s="50">
        <v>1.0</v>
      </c>
      <c r="BQ197" s="50">
        <v>2.0</v>
      </c>
      <c r="BR197" s="50">
        <v>2.0</v>
      </c>
      <c r="BS197" s="85">
        <v>2.0</v>
      </c>
      <c r="BT197" s="50">
        <v>4.0</v>
      </c>
      <c r="BU197" s="53">
        <f t="shared" si="314"/>
        <v>1</v>
      </c>
      <c r="BV197" s="53">
        <f t="shared" si="315"/>
        <v>2</v>
      </c>
      <c r="BW197" s="53">
        <f t="shared" si="183"/>
        <v>26</v>
      </c>
      <c r="BX197" s="53" t="str">
        <f t="shared" si="316"/>
        <v>FATIGA</v>
      </c>
      <c r="BY197" s="50">
        <v>3.0</v>
      </c>
      <c r="BZ197" s="50">
        <v>0.0</v>
      </c>
      <c r="CA197" s="50">
        <v>45.0</v>
      </c>
      <c r="CB197" s="50">
        <v>2.0</v>
      </c>
      <c r="CC197" s="50">
        <v>2.0</v>
      </c>
      <c r="CD197" s="85">
        <v>0.0</v>
      </c>
      <c r="CE197" s="85">
        <v>5.0</v>
      </c>
      <c r="CF197" s="50">
        <v>0.0</v>
      </c>
      <c r="CG197" s="50">
        <v>10.0</v>
      </c>
      <c r="CH197" s="85">
        <v>1.0</v>
      </c>
      <c r="CI197" s="85">
        <v>0.0</v>
      </c>
      <c r="CJ197" s="53">
        <f t="shared" si="254"/>
        <v>2205</v>
      </c>
      <c r="CK197" s="53">
        <f t="shared" si="206"/>
        <v>10</v>
      </c>
      <c r="CL197" s="44" t="str">
        <f t="shared" si="207"/>
        <v>Nivel de actividad física alto</v>
      </c>
      <c r="CM197" s="44" t="str">
        <f t="shared" si="208"/>
        <v>Nivel de actividad física moderado</v>
      </c>
      <c r="CN197" s="45" t="str">
        <f t="shared" si="209"/>
        <v>Nivel de actividad física alto</v>
      </c>
      <c r="CO197" s="50">
        <v>23.0</v>
      </c>
      <c r="CP197" s="85">
        <v>5.0</v>
      </c>
      <c r="CQ197" s="44">
        <f>IF(CP197&gt;60,3,IF(CP197&gt;30,2,IF(CP197&gt;15,1,0)))</f>
        <v>0</v>
      </c>
      <c r="CR197" s="50">
        <v>6.0</v>
      </c>
      <c r="CS197" s="85">
        <v>0.0</v>
      </c>
      <c r="CT197" s="50">
        <v>7.0</v>
      </c>
      <c r="CU197" s="50">
        <v>5.0</v>
      </c>
      <c r="CV197" s="50">
        <v>2.0</v>
      </c>
      <c r="CW197" s="50">
        <v>2.0</v>
      </c>
      <c r="CX197" s="50">
        <v>2.0</v>
      </c>
      <c r="CY197" s="85">
        <v>0.0</v>
      </c>
      <c r="CZ197" s="85">
        <v>1.0</v>
      </c>
      <c r="DA197" s="50">
        <v>2.0</v>
      </c>
      <c r="DB197" s="50">
        <v>2.0</v>
      </c>
      <c r="DC197" s="85">
        <v>0.0</v>
      </c>
      <c r="DD197" s="50">
        <v>2.0</v>
      </c>
      <c r="DE197" s="82">
        <v>0.0</v>
      </c>
      <c r="DF197" s="36" t="s">
        <v>133</v>
      </c>
      <c r="DG197" s="53">
        <f t="shared" si="55"/>
        <v>11</v>
      </c>
      <c r="DH197" s="50">
        <v>2.0</v>
      </c>
      <c r="DI197" s="85">
        <v>0.0</v>
      </c>
      <c r="DJ197" s="85">
        <v>3.0</v>
      </c>
      <c r="DK197" s="85">
        <v>2.0</v>
      </c>
      <c r="DL197" s="68">
        <f t="shared" si="237"/>
        <v>71.42857143</v>
      </c>
      <c r="DM197" s="53">
        <f t="shared" si="238"/>
        <v>2</v>
      </c>
      <c r="DN197" s="53">
        <f t="shared" si="239"/>
        <v>2</v>
      </c>
      <c r="DO197" s="53">
        <f t="shared" si="240"/>
        <v>1</v>
      </c>
      <c r="DP197" s="53">
        <f t="shared" si="241"/>
        <v>3</v>
      </c>
      <c r="DQ197" s="53">
        <f t="shared" si="242"/>
        <v>2</v>
      </c>
      <c r="DR197" s="53">
        <f t="shared" ref="DR197:DS197" si="317">(DH197)</f>
        <v>2</v>
      </c>
      <c r="DS197" s="53">
        <f t="shared" si="317"/>
        <v>0</v>
      </c>
      <c r="DT197" s="53">
        <f t="shared" si="41"/>
        <v>12</v>
      </c>
      <c r="DU197" s="53" t="str">
        <f t="shared" si="244"/>
        <v>poor sleep quality</v>
      </c>
      <c r="DV197" s="50">
        <v>4.0</v>
      </c>
      <c r="DW197" s="50" t="s">
        <v>133</v>
      </c>
      <c r="DX197" s="50" t="s">
        <v>207</v>
      </c>
      <c r="DY197" s="50">
        <v>1.0</v>
      </c>
      <c r="DZ197" s="85" t="s">
        <v>131</v>
      </c>
      <c r="EA197" s="50" t="s">
        <v>162</v>
      </c>
      <c r="EB197" s="85" t="s">
        <v>139</v>
      </c>
      <c r="EC197" s="36" t="s">
        <v>133</v>
      </c>
      <c r="ED197" s="50" t="s">
        <v>131</v>
      </c>
      <c r="EE197" s="85" t="s">
        <v>141</v>
      </c>
      <c r="EF197" s="35">
        <f t="shared" si="306"/>
        <v>894</v>
      </c>
      <c r="EG197" s="36" t="s">
        <v>133</v>
      </c>
      <c r="EH197" s="47">
        <f t="shared" si="24"/>
        <v>30.42184965</v>
      </c>
    </row>
    <row r="198" ht="15.75" customHeight="1">
      <c r="A198" s="85" t="s">
        <v>638</v>
      </c>
      <c r="B198" s="57" t="s">
        <v>175</v>
      </c>
      <c r="C198" s="94">
        <v>45584.0</v>
      </c>
      <c r="D198" s="64">
        <v>60.0</v>
      </c>
      <c r="E198" s="85" t="s">
        <v>130</v>
      </c>
      <c r="F198" s="50">
        <v>165.0</v>
      </c>
      <c r="G198" s="91">
        <v>60.0</v>
      </c>
      <c r="H198" s="85" t="s">
        <v>131</v>
      </c>
      <c r="I198" s="50">
        <v>5.0</v>
      </c>
      <c r="J198" s="42">
        <v>45505.0</v>
      </c>
      <c r="K198" s="85" t="s">
        <v>131</v>
      </c>
      <c r="L198" s="50">
        <v>2.0</v>
      </c>
      <c r="M198" s="76">
        <v>43922.0</v>
      </c>
      <c r="N198" s="57">
        <v>0.0</v>
      </c>
      <c r="O198" s="55">
        <v>44201.0</v>
      </c>
      <c r="P198" s="85" t="s">
        <v>132</v>
      </c>
      <c r="Q198" s="36" t="s">
        <v>133</v>
      </c>
      <c r="R198" s="36" t="s">
        <v>133</v>
      </c>
      <c r="S198" s="36" t="s">
        <v>133</v>
      </c>
      <c r="T198" s="36" t="s">
        <v>133</v>
      </c>
      <c r="U198" s="36" t="s">
        <v>133</v>
      </c>
      <c r="V198" s="36" t="str">
        <f t="shared" si="178"/>
        <v>Paciente ambulatorio</v>
      </c>
      <c r="W198" s="50" t="s">
        <v>183</v>
      </c>
      <c r="X198" s="85" t="s">
        <v>132</v>
      </c>
      <c r="Y198" s="50">
        <v>2.0</v>
      </c>
      <c r="Z198" s="85">
        <v>1.0</v>
      </c>
      <c r="AA198" s="50">
        <v>3.0</v>
      </c>
      <c r="AB198" s="85">
        <v>3.0</v>
      </c>
      <c r="AC198" s="50">
        <v>3.0</v>
      </c>
      <c r="AD198" s="50">
        <v>2.0</v>
      </c>
      <c r="AE198" s="85">
        <v>2.0</v>
      </c>
      <c r="AF198" s="85">
        <v>1.0</v>
      </c>
      <c r="AG198" s="85">
        <v>3.0</v>
      </c>
      <c r="AH198" s="50">
        <v>3.0</v>
      </c>
      <c r="AI198" s="85">
        <v>1.0</v>
      </c>
      <c r="AJ198" s="85">
        <v>1.0</v>
      </c>
      <c r="AK198" s="85"/>
      <c r="AL198" s="50" t="s">
        <v>132</v>
      </c>
      <c r="AM198" s="85" t="s">
        <v>132</v>
      </c>
      <c r="AN198" s="85" t="s">
        <v>132</v>
      </c>
      <c r="AO198" s="85" t="s">
        <v>132</v>
      </c>
      <c r="AP198" s="85" t="s">
        <v>132</v>
      </c>
      <c r="AQ198" s="85" t="s">
        <v>132</v>
      </c>
      <c r="AR198" s="85" t="s">
        <v>132</v>
      </c>
      <c r="AS198" s="85" t="s">
        <v>132</v>
      </c>
      <c r="AT198" s="85" t="s">
        <v>132</v>
      </c>
      <c r="AU198" s="85" t="s">
        <v>132</v>
      </c>
      <c r="AV198" s="50" t="s">
        <v>131</v>
      </c>
      <c r="AW198" s="50" t="s">
        <v>639</v>
      </c>
      <c r="AX198" s="82" t="s">
        <v>132</v>
      </c>
      <c r="AY198" s="36" t="s">
        <v>133</v>
      </c>
      <c r="AZ198" s="36" t="s">
        <v>133</v>
      </c>
      <c r="BA198" s="36" t="s">
        <v>133</v>
      </c>
      <c r="BB198" s="85" t="s">
        <v>145</v>
      </c>
      <c r="BC198" s="36" t="s">
        <v>133</v>
      </c>
      <c r="BD198" s="79">
        <v>1.0</v>
      </c>
      <c r="BE198" s="85">
        <v>1.0</v>
      </c>
      <c r="BF198" s="85">
        <v>1.0</v>
      </c>
      <c r="BG198" s="50">
        <v>1.0</v>
      </c>
      <c r="BH198" s="50">
        <v>1.0</v>
      </c>
      <c r="BI198" s="44" t="str">
        <f t="shared" si="205"/>
        <v>11111</v>
      </c>
      <c r="BJ198" s="50">
        <v>75.0</v>
      </c>
      <c r="BK198" s="85">
        <v>2.0</v>
      </c>
      <c r="BL198" s="50">
        <v>2.0</v>
      </c>
      <c r="BM198" s="50">
        <v>1.0</v>
      </c>
      <c r="BN198" s="50">
        <v>4.0</v>
      </c>
      <c r="BO198" s="50">
        <v>1.0</v>
      </c>
      <c r="BP198" s="85">
        <v>2.0</v>
      </c>
      <c r="BQ198" s="85">
        <v>2.0</v>
      </c>
      <c r="BR198" s="50">
        <v>1.0</v>
      </c>
      <c r="BS198" s="50">
        <v>1.0</v>
      </c>
      <c r="BT198" s="50">
        <v>2.0</v>
      </c>
      <c r="BU198" s="53">
        <f t="shared" si="314"/>
        <v>2</v>
      </c>
      <c r="BV198" s="53">
        <f t="shared" si="315"/>
        <v>4</v>
      </c>
      <c r="BW198" s="53">
        <f t="shared" si="183"/>
        <v>18</v>
      </c>
      <c r="BX198" s="53" t="str">
        <f t="shared" si="316"/>
        <v>NO HAY FATIGA</v>
      </c>
      <c r="BY198" s="50">
        <v>3.0</v>
      </c>
      <c r="BZ198" s="50">
        <v>2.0</v>
      </c>
      <c r="CA198" s="85">
        <v>0.0</v>
      </c>
      <c r="CB198" s="50">
        <v>0.0</v>
      </c>
      <c r="CC198" s="85">
        <v>0.0</v>
      </c>
      <c r="CD198" s="50">
        <v>0.0</v>
      </c>
      <c r="CE198" s="50">
        <v>7.0</v>
      </c>
      <c r="CF198" s="85">
        <v>0.0</v>
      </c>
      <c r="CG198" s="50">
        <v>30.0</v>
      </c>
      <c r="CH198" s="50">
        <v>2.0</v>
      </c>
      <c r="CI198" s="85">
        <v>0.0</v>
      </c>
      <c r="CJ198" s="53">
        <f t="shared" si="254"/>
        <v>3573</v>
      </c>
      <c r="CK198" s="53">
        <f t="shared" si="206"/>
        <v>10</v>
      </c>
      <c r="CL198" s="44" t="str">
        <f t="shared" si="207"/>
        <v>Nivel de actividad física alto</v>
      </c>
      <c r="CM198" s="44" t="str">
        <f t="shared" si="208"/>
        <v>Nivel de actividad física moderado</v>
      </c>
      <c r="CN198" s="45" t="str">
        <f t="shared" si="209"/>
        <v>Nivel de actividad física alto</v>
      </c>
      <c r="CO198" s="67">
        <v>2.0</v>
      </c>
      <c r="CP198" s="50">
        <v>60.0</v>
      </c>
      <c r="CQ198" s="53">
        <f t="shared" ref="CQ198:CQ201" si="319">IF(CP198&gt;60,3,IF(CP198&gt;30,2,IF(CP198&gt;15,1,0)))</f>
        <v>2</v>
      </c>
      <c r="CR198" s="50">
        <v>9.0</v>
      </c>
      <c r="CS198" s="85">
        <v>0.0</v>
      </c>
      <c r="CT198" s="50">
        <v>9.0</v>
      </c>
      <c r="CU198" s="50">
        <v>7.0</v>
      </c>
      <c r="CV198" s="50">
        <v>3.0</v>
      </c>
      <c r="CW198" s="50">
        <v>0.0</v>
      </c>
      <c r="CX198" s="85">
        <v>0.0</v>
      </c>
      <c r="CY198" s="85">
        <v>0.0</v>
      </c>
      <c r="CZ198" s="50">
        <v>0.0</v>
      </c>
      <c r="DA198" s="85">
        <v>0.0</v>
      </c>
      <c r="DB198" s="50">
        <v>0.0</v>
      </c>
      <c r="DC198" s="85">
        <v>0.0</v>
      </c>
      <c r="DD198" s="50">
        <v>0.0</v>
      </c>
      <c r="DE198" s="50">
        <v>0.0</v>
      </c>
      <c r="DF198" s="50" t="s">
        <v>133</v>
      </c>
      <c r="DG198" s="53">
        <f t="shared" si="55"/>
        <v>0</v>
      </c>
      <c r="DH198" s="50">
        <v>1.0</v>
      </c>
      <c r="DI198" s="85">
        <v>0.0</v>
      </c>
      <c r="DJ198" s="50">
        <v>1.0</v>
      </c>
      <c r="DK198" s="50">
        <v>0.0</v>
      </c>
      <c r="DL198" s="68">
        <f t="shared" si="237"/>
        <v>77.77777778</v>
      </c>
      <c r="DM198" s="53">
        <f t="shared" si="238"/>
        <v>0</v>
      </c>
      <c r="DN198" s="53">
        <f t="shared" si="239"/>
        <v>0</v>
      </c>
      <c r="DO198" s="53">
        <f t="shared" si="240"/>
        <v>3</v>
      </c>
      <c r="DP198" s="53">
        <f t="shared" si="241"/>
        <v>1</v>
      </c>
      <c r="DQ198" s="53">
        <f t="shared" si="242"/>
        <v>1</v>
      </c>
      <c r="DR198" s="53">
        <f t="shared" ref="DR198:DS198" si="318">(DH198)</f>
        <v>1</v>
      </c>
      <c r="DS198" s="53">
        <f t="shared" si="318"/>
        <v>0</v>
      </c>
      <c r="DT198" s="53">
        <f t="shared" si="41"/>
        <v>6</v>
      </c>
      <c r="DU198" s="53" t="str">
        <f t="shared" si="244"/>
        <v>poor sleep quality</v>
      </c>
      <c r="DV198" s="50">
        <v>0.0</v>
      </c>
      <c r="DW198" s="50" t="s">
        <v>133</v>
      </c>
      <c r="DX198" s="50" t="s">
        <v>146</v>
      </c>
      <c r="DY198" s="85">
        <v>1.0</v>
      </c>
      <c r="DZ198" s="85" t="s">
        <v>131</v>
      </c>
      <c r="EA198" s="50" t="s">
        <v>147</v>
      </c>
      <c r="EB198" s="50" t="s">
        <v>261</v>
      </c>
      <c r="EC198" s="50" t="s">
        <v>640</v>
      </c>
      <c r="ED198" s="50" t="s">
        <v>132</v>
      </c>
      <c r="EE198" s="85" t="s">
        <v>141</v>
      </c>
      <c r="EF198" s="35">
        <f t="shared" si="306"/>
        <v>1662</v>
      </c>
      <c r="EG198" s="36" t="s">
        <v>133</v>
      </c>
      <c r="EH198" s="47">
        <f t="shared" si="24"/>
        <v>22.03856749</v>
      </c>
    </row>
    <row r="199" ht="15.75" customHeight="1">
      <c r="A199" s="85" t="s">
        <v>641</v>
      </c>
      <c r="B199" s="57" t="s">
        <v>175</v>
      </c>
      <c r="C199" s="94">
        <v>45584.0</v>
      </c>
      <c r="D199" s="64">
        <v>46.0</v>
      </c>
      <c r="E199" s="85" t="s">
        <v>130</v>
      </c>
      <c r="F199" s="50">
        <v>183.0</v>
      </c>
      <c r="G199" s="91">
        <v>95.0</v>
      </c>
      <c r="H199" s="85" t="s">
        <v>131</v>
      </c>
      <c r="I199" s="50">
        <v>5.0</v>
      </c>
      <c r="J199" s="55" t="s">
        <v>133</v>
      </c>
      <c r="K199" s="85" t="s">
        <v>131</v>
      </c>
      <c r="L199" s="50">
        <v>3.0</v>
      </c>
      <c r="M199" s="76">
        <v>44348.0</v>
      </c>
      <c r="N199" s="50">
        <v>0.0</v>
      </c>
      <c r="O199" s="55">
        <v>44986.0</v>
      </c>
      <c r="P199" s="85" t="s">
        <v>132</v>
      </c>
      <c r="Q199" s="36" t="s">
        <v>133</v>
      </c>
      <c r="R199" s="36" t="s">
        <v>133</v>
      </c>
      <c r="S199" s="36" t="s">
        <v>133</v>
      </c>
      <c r="T199" s="36" t="s">
        <v>133</v>
      </c>
      <c r="U199" s="36" t="s">
        <v>133</v>
      </c>
      <c r="V199" s="36" t="str">
        <f t="shared" si="178"/>
        <v>Paciente ambulatorio</v>
      </c>
      <c r="W199" s="85" t="s">
        <v>176</v>
      </c>
      <c r="X199" s="85" t="s">
        <v>132</v>
      </c>
      <c r="Y199" s="50">
        <v>2.0</v>
      </c>
      <c r="Z199" s="85">
        <v>2.0</v>
      </c>
      <c r="AA199" s="50">
        <v>2.0</v>
      </c>
      <c r="AB199" s="50">
        <v>2.0</v>
      </c>
      <c r="AC199" s="85">
        <v>3.0</v>
      </c>
      <c r="AD199" s="50">
        <v>2.0</v>
      </c>
      <c r="AE199" s="85">
        <v>2.0</v>
      </c>
      <c r="AF199" s="50">
        <v>2.0</v>
      </c>
      <c r="AG199" s="50">
        <v>3.0</v>
      </c>
      <c r="AH199" s="85">
        <v>3.0</v>
      </c>
      <c r="AI199" s="85">
        <v>1.0</v>
      </c>
      <c r="AJ199" s="85">
        <v>1.0</v>
      </c>
      <c r="AK199" s="85"/>
      <c r="AL199" s="85" t="s">
        <v>132</v>
      </c>
      <c r="AM199" s="85" t="s">
        <v>132</v>
      </c>
      <c r="AN199" s="50" t="s">
        <v>132</v>
      </c>
      <c r="AO199" s="50" t="s">
        <v>131</v>
      </c>
      <c r="AP199" s="85" t="s">
        <v>132</v>
      </c>
      <c r="AQ199" s="85" t="s">
        <v>132</v>
      </c>
      <c r="AR199" s="85" t="s">
        <v>132</v>
      </c>
      <c r="AS199" s="85" t="s">
        <v>132</v>
      </c>
      <c r="AT199" s="85" t="s">
        <v>132</v>
      </c>
      <c r="AU199" s="85" t="s">
        <v>132</v>
      </c>
      <c r="AV199" s="85" t="s">
        <v>131</v>
      </c>
      <c r="AW199" s="50" t="s">
        <v>642</v>
      </c>
      <c r="AX199" s="82" t="s">
        <v>132</v>
      </c>
      <c r="AY199" s="36" t="s">
        <v>133</v>
      </c>
      <c r="AZ199" s="36" t="s">
        <v>133</v>
      </c>
      <c r="BA199" s="36" t="s">
        <v>133</v>
      </c>
      <c r="BB199" s="85" t="s">
        <v>145</v>
      </c>
      <c r="BC199" s="36" t="s">
        <v>133</v>
      </c>
      <c r="BD199" s="90">
        <v>1.0</v>
      </c>
      <c r="BE199" s="85">
        <v>1.0</v>
      </c>
      <c r="BF199" s="85">
        <v>1.0</v>
      </c>
      <c r="BG199" s="50">
        <v>1.0</v>
      </c>
      <c r="BH199" s="50">
        <v>2.0</v>
      </c>
      <c r="BI199" s="44" t="str">
        <f t="shared" si="205"/>
        <v>11112</v>
      </c>
      <c r="BJ199" s="50">
        <v>95.0</v>
      </c>
      <c r="BK199" s="85">
        <v>2.0</v>
      </c>
      <c r="BL199" s="50">
        <v>1.0</v>
      </c>
      <c r="BM199" s="85">
        <v>1.0</v>
      </c>
      <c r="BN199" s="50">
        <v>4.0</v>
      </c>
      <c r="BO199" s="50">
        <v>2.0</v>
      </c>
      <c r="BP199" s="85">
        <v>1.0</v>
      </c>
      <c r="BQ199" s="50">
        <v>1.0</v>
      </c>
      <c r="BR199" s="85">
        <v>2.0</v>
      </c>
      <c r="BS199" s="50">
        <v>1.0</v>
      </c>
      <c r="BT199" s="50">
        <v>5.0</v>
      </c>
      <c r="BU199" s="53">
        <f t="shared" si="314"/>
        <v>2</v>
      </c>
      <c r="BV199" s="53">
        <f t="shared" si="315"/>
        <v>1</v>
      </c>
      <c r="BW199" s="53">
        <f t="shared" si="183"/>
        <v>17</v>
      </c>
      <c r="BX199" s="53" t="str">
        <f t="shared" si="316"/>
        <v>NO HAY FATIGA</v>
      </c>
      <c r="BY199" s="50">
        <v>2.0</v>
      </c>
      <c r="BZ199" s="85">
        <v>1.0</v>
      </c>
      <c r="CA199" s="50">
        <v>30.0</v>
      </c>
      <c r="CB199" s="50">
        <v>3.0</v>
      </c>
      <c r="CC199" s="85">
        <v>0.0</v>
      </c>
      <c r="CD199" s="50">
        <v>50.0</v>
      </c>
      <c r="CE199" s="50">
        <v>7.0</v>
      </c>
      <c r="CF199" s="85">
        <v>0.0</v>
      </c>
      <c r="CG199" s="50">
        <v>35.0</v>
      </c>
      <c r="CH199" s="50">
        <v>4.0</v>
      </c>
      <c r="CI199" s="50">
        <v>0.0</v>
      </c>
      <c r="CJ199" s="53">
        <f t="shared" si="254"/>
        <v>2848.5</v>
      </c>
      <c r="CK199" s="53">
        <f t="shared" si="206"/>
        <v>12</v>
      </c>
      <c r="CL199" s="44" t="b">
        <f t="shared" si="207"/>
        <v>0</v>
      </c>
      <c r="CM199" s="44" t="str">
        <f t="shared" si="208"/>
        <v>Nivel de actividad física moderado</v>
      </c>
      <c r="CN199" s="45" t="str">
        <f t="shared" si="209"/>
        <v>Nivel de actividad física moderado</v>
      </c>
      <c r="CO199" s="78">
        <v>0.9791666666666666</v>
      </c>
      <c r="CP199" s="50">
        <v>10.0</v>
      </c>
      <c r="CQ199" s="53">
        <f t="shared" si="319"/>
        <v>0</v>
      </c>
      <c r="CR199" s="50">
        <v>6.0</v>
      </c>
      <c r="CS199" s="50">
        <v>50.0</v>
      </c>
      <c r="CT199" s="50">
        <v>7.5</v>
      </c>
      <c r="CU199" s="50">
        <v>6.0</v>
      </c>
      <c r="CV199" s="50">
        <v>0.0</v>
      </c>
      <c r="CW199" s="50">
        <v>1.0</v>
      </c>
      <c r="CX199" s="50">
        <v>1.0</v>
      </c>
      <c r="CY199" s="85">
        <v>0.0</v>
      </c>
      <c r="CZ199" s="85">
        <v>0.0</v>
      </c>
      <c r="DA199" s="50">
        <v>0.0</v>
      </c>
      <c r="DB199" s="85">
        <v>0.0</v>
      </c>
      <c r="DC199" s="50">
        <v>0.0</v>
      </c>
      <c r="DD199" s="85">
        <v>0.0</v>
      </c>
      <c r="DE199" s="82">
        <v>0.0</v>
      </c>
      <c r="DF199" s="36" t="s">
        <v>133</v>
      </c>
      <c r="DG199" s="53">
        <f t="shared" si="55"/>
        <v>2</v>
      </c>
      <c r="DH199" s="85">
        <v>1.0</v>
      </c>
      <c r="DI199" s="50">
        <v>0.0</v>
      </c>
      <c r="DJ199" s="50">
        <v>1.0</v>
      </c>
      <c r="DK199" s="85">
        <v>0.0</v>
      </c>
      <c r="DL199" s="68">
        <f t="shared" si="237"/>
        <v>80</v>
      </c>
      <c r="DM199" s="53">
        <f t="shared" si="238"/>
        <v>1</v>
      </c>
      <c r="DN199" s="53">
        <f t="shared" si="239"/>
        <v>1</v>
      </c>
      <c r="DO199" s="53">
        <f t="shared" si="240"/>
        <v>0</v>
      </c>
      <c r="DP199" s="53">
        <f t="shared" si="241"/>
        <v>1</v>
      </c>
      <c r="DQ199" s="53">
        <f t="shared" si="242"/>
        <v>1</v>
      </c>
      <c r="DR199" s="53">
        <f t="shared" ref="DR199:DS199" si="320">(DH199)</f>
        <v>1</v>
      </c>
      <c r="DS199" s="53">
        <f t="shared" si="320"/>
        <v>0</v>
      </c>
      <c r="DT199" s="53">
        <f t="shared" si="41"/>
        <v>5</v>
      </c>
      <c r="DU199" s="53" t="str">
        <f t="shared" si="244"/>
        <v>good sleep quality</v>
      </c>
      <c r="DV199" s="50">
        <v>4.0</v>
      </c>
      <c r="DW199" s="85" t="s">
        <v>591</v>
      </c>
      <c r="DX199" s="50" t="s">
        <v>213</v>
      </c>
      <c r="DY199" s="85">
        <v>1.0</v>
      </c>
      <c r="DZ199" s="85" t="s">
        <v>131</v>
      </c>
      <c r="EA199" s="50" t="s">
        <v>138</v>
      </c>
      <c r="EB199" s="85" t="s">
        <v>139</v>
      </c>
      <c r="EC199" s="77" t="s">
        <v>140</v>
      </c>
      <c r="ED199" s="50" t="s">
        <v>131</v>
      </c>
      <c r="EE199" s="50" t="s">
        <v>158</v>
      </c>
      <c r="EF199" s="35">
        <f t="shared" si="306"/>
        <v>1236</v>
      </c>
      <c r="EG199" s="35">
        <f>C199-O199</f>
        <v>598</v>
      </c>
      <c r="EH199" s="47">
        <f t="shared" si="24"/>
        <v>28.36752366</v>
      </c>
    </row>
    <row r="200" ht="15.75" customHeight="1">
      <c r="A200" s="85" t="s">
        <v>643</v>
      </c>
      <c r="B200" s="57" t="s">
        <v>175</v>
      </c>
      <c r="C200" s="94">
        <v>45584.0</v>
      </c>
      <c r="D200" s="87">
        <v>42.0</v>
      </c>
      <c r="E200" s="85" t="s">
        <v>130</v>
      </c>
      <c r="F200" s="50">
        <v>164.0</v>
      </c>
      <c r="G200" s="91">
        <v>80.0</v>
      </c>
      <c r="H200" s="85" t="s">
        <v>131</v>
      </c>
      <c r="I200" s="85">
        <v>3.0</v>
      </c>
      <c r="J200" s="42">
        <v>44531.0</v>
      </c>
      <c r="K200" s="85" t="s">
        <v>131</v>
      </c>
      <c r="L200" s="85">
        <v>3.0</v>
      </c>
      <c r="M200" s="42">
        <v>44075.0</v>
      </c>
      <c r="N200" s="85">
        <v>0.0</v>
      </c>
      <c r="O200" s="76" t="s">
        <v>133</v>
      </c>
      <c r="P200" s="85" t="s">
        <v>132</v>
      </c>
      <c r="Q200" s="36" t="s">
        <v>133</v>
      </c>
      <c r="R200" s="36" t="s">
        <v>133</v>
      </c>
      <c r="S200" s="36" t="s">
        <v>133</v>
      </c>
      <c r="T200" s="36" t="s">
        <v>133</v>
      </c>
      <c r="U200" s="36" t="s">
        <v>133</v>
      </c>
      <c r="V200" s="36" t="str">
        <f t="shared" si="178"/>
        <v>Paciente ambulatorio</v>
      </c>
      <c r="W200" s="85" t="s">
        <v>183</v>
      </c>
      <c r="X200" s="85" t="s">
        <v>132</v>
      </c>
      <c r="Y200" s="50">
        <v>2.0</v>
      </c>
      <c r="Z200" s="50">
        <v>1.0</v>
      </c>
      <c r="AA200" s="85">
        <v>2.0</v>
      </c>
      <c r="AB200" s="85">
        <v>2.0</v>
      </c>
      <c r="AC200" s="50">
        <v>1.0</v>
      </c>
      <c r="AD200" s="85">
        <v>1.0</v>
      </c>
      <c r="AE200" s="50">
        <v>2.0</v>
      </c>
      <c r="AF200" s="50">
        <v>3.0</v>
      </c>
      <c r="AG200" s="85">
        <v>3.0</v>
      </c>
      <c r="AH200" s="85">
        <v>1.0</v>
      </c>
      <c r="AI200" s="85">
        <v>1.0</v>
      </c>
      <c r="AJ200" s="50">
        <v>3.0</v>
      </c>
      <c r="AK200" s="50" t="s">
        <v>644</v>
      </c>
      <c r="AL200" s="90" t="s">
        <v>132</v>
      </c>
      <c r="AM200" s="85" t="s">
        <v>132</v>
      </c>
      <c r="AN200" s="85" t="s">
        <v>132</v>
      </c>
      <c r="AO200" s="85" t="s">
        <v>132</v>
      </c>
      <c r="AP200" s="85" t="s">
        <v>132</v>
      </c>
      <c r="AQ200" s="85" t="s">
        <v>132</v>
      </c>
      <c r="AR200" s="85" t="s">
        <v>132</v>
      </c>
      <c r="AS200" s="85" t="s">
        <v>132</v>
      </c>
      <c r="AT200" s="85" t="s">
        <v>132</v>
      </c>
      <c r="AU200" s="85" t="s">
        <v>132</v>
      </c>
      <c r="AV200" s="85" t="s">
        <v>131</v>
      </c>
      <c r="AW200" s="50" t="s">
        <v>645</v>
      </c>
      <c r="AX200" s="82" t="s">
        <v>132</v>
      </c>
      <c r="AY200" s="36" t="s">
        <v>133</v>
      </c>
      <c r="AZ200" s="36" t="s">
        <v>133</v>
      </c>
      <c r="BA200" s="36" t="s">
        <v>133</v>
      </c>
      <c r="BB200" s="85" t="s">
        <v>145</v>
      </c>
      <c r="BC200" s="36" t="s">
        <v>133</v>
      </c>
      <c r="BD200" s="79">
        <v>1.0</v>
      </c>
      <c r="BE200" s="85">
        <v>1.0</v>
      </c>
      <c r="BF200" s="50">
        <v>1.0</v>
      </c>
      <c r="BG200" s="50">
        <v>4.0</v>
      </c>
      <c r="BH200" s="50">
        <v>3.0</v>
      </c>
      <c r="BI200" s="44" t="str">
        <f t="shared" si="205"/>
        <v>11143</v>
      </c>
      <c r="BJ200" s="50">
        <v>40.0</v>
      </c>
      <c r="BK200" s="50">
        <v>5.0</v>
      </c>
      <c r="BL200" s="50">
        <v>5.0</v>
      </c>
      <c r="BM200" s="50">
        <v>3.0</v>
      </c>
      <c r="BN200" s="85">
        <v>2.0</v>
      </c>
      <c r="BO200" s="50">
        <v>4.0</v>
      </c>
      <c r="BP200" s="50">
        <v>3.0</v>
      </c>
      <c r="BQ200" s="50">
        <v>1.0</v>
      </c>
      <c r="BR200" s="50">
        <v>1.0</v>
      </c>
      <c r="BS200" s="50">
        <v>1.0</v>
      </c>
      <c r="BT200" s="50">
        <v>5.0</v>
      </c>
      <c r="BU200" s="53">
        <f t="shared" si="314"/>
        <v>4</v>
      </c>
      <c r="BV200" s="53">
        <f t="shared" si="315"/>
        <v>1</v>
      </c>
      <c r="BW200" s="53">
        <f t="shared" si="183"/>
        <v>29</v>
      </c>
      <c r="BX200" s="53" t="str">
        <f t="shared" si="316"/>
        <v>FATIGA</v>
      </c>
      <c r="BY200" s="85">
        <v>0.0</v>
      </c>
      <c r="BZ200" s="85">
        <v>0.0</v>
      </c>
      <c r="CA200" s="85">
        <v>0.0</v>
      </c>
      <c r="CB200" s="50">
        <v>0.0</v>
      </c>
      <c r="CC200" s="85">
        <v>0.0</v>
      </c>
      <c r="CD200" s="50">
        <v>0.0</v>
      </c>
      <c r="CE200" s="85">
        <v>3.0</v>
      </c>
      <c r="CF200" s="85">
        <v>1.0</v>
      </c>
      <c r="CG200" s="85">
        <v>0.0</v>
      </c>
      <c r="CH200" s="50">
        <v>3.0</v>
      </c>
      <c r="CI200" s="85">
        <v>0.0</v>
      </c>
      <c r="CJ200" s="53">
        <f t="shared" si="254"/>
        <v>594</v>
      </c>
      <c r="CK200" s="53">
        <f t="shared" si="206"/>
        <v>3</v>
      </c>
      <c r="CL200" s="44" t="b">
        <f t="shared" si="207"/>
        <v>0</v>
      </c>
      <c r="CM200" s="44" t="b">
        <f t="shared" si="208"/>
        <v>0</v>
      </c>
      <c r="CN200" s="45" t="str">
        <f t="shared" si="209"/>
        <v>Nivel de actividad física bajo</v>
      </c>
      <c r="CO200" s="50">
        <v>4.0</v>
      </c>
      <c r="CP200" s="50">
        <v>60.0</v>
      </c>
      <c r="CQ200" s="53">
        <f t="shared" si="319"/>
        <v>2</v>
      </c>
      <c r="CR200" s="85">
        <v>9.0</v>
      </c>
      <c r="CS200" s="85">
        <v>0.0</v>
      </c>
      <c r="CT200" s="50">
        <v>5.0</v>
      </c>
      <c r="CU200" s="50">
        <v>4.0</v>
      </c>
      <c r="CV200" s="50">
        <v>3.0</v>
      </c>
      <c r="CW200" s="50">
        <v>3.0</v>
      </c>
      <c r="CX200" s="50">
        <v>3.0</v>
      </c>
      <c r="CY200" s="85">
        <v>0.0</v>
      </c>
      <c r="CZ200" s="85">
        <v>0.0</v>
      </c>
      <c r="DA200" s="50">
        <v>0.0</v>
      </c>
      <c r="DB200" s="50">
        <v>0.0</v>
      </c>
      <c r="DC200" s="50">
        <v>1.0</v>
      </c>
      <c r="DD200" s="85">
        <v>3.0</v>
      </c>
      <c r="DE200" s="50">
        <v>3.0</v>
      </c>
      <c r="DF200" s="50" t="s">
        <v>646</v>
      </c>
      <c r="DG200" s="53">
        <f t="shared" si="55"/>
        <v>13</v>
      </c>
      <c r="DH200" s="50">
        <v>3.0</v>
      </c>
      <c r="DI200" s="85">
        <v>3.0</v>
      </c>
      <c r="DJ200" s="85">
        <v>3.0</v>
      </c>
      <c r="DK200" s="50">
        <v>1.0</v>
      </c>
      <c r="DL200" s="68">
        <f t="shared" si="237"/>
        <v>80</v>
      </c>
      <c r="DM200" s="53">
        <f t="shared" si="238"/>
        <v>3</v>
      </c>
      <c r="DN200" s="53">
        <f t="shared" si="239"/>
        <v>2</v>
      </c>
      <c r="DO200" s="53">
        <f t="shared" si="240"/>
        <v>3</v>
      </c>
      <c r="DP200" s="53">
        <f t="shared" si="241"/>
        <v>2</v>
      </c>
      <c r="DQ200" s="53">
        <f t="shared" si="242"/>
        <v>1</v>
      </c>
      <c r="DR200" s="53">
        <f t="shared" ref="DR200:DS200" si="321">(DH200)</f>
        <v>3</v>
      </c>
      <c r="DS200" s="53">
        <f t="shared" si="321"/>
        <v>3</v>
      </c>
      <c r="DT200" s="53">
        <f t="shared" si="41"/>
        <v>17</v>
      </c>
      <c r="DU200" s="53" t="str">
        <f t="shared" si="244"/>
        <v>poor sleep quality</v>
      </c>
      <c r="DV200" s="50">
        <v>0.0</v>
      </c>
      <c r="DW200" s="50" t="s">
        <v>133</v>
      </c>
      <c r="DX200" s="85" t="s">
        <v>146</v>
      </c>
      <c r="DY200" s="85">
        <v>1.0</v>
      </c>
      <c r="DZ200" s="85" t="s">
        <v>131</v>
      </c>
      <c r="EA200" s="50" t="s">
        <v>147</v>
      </c>
      <c r="EB200" s="50" t="s">
        <v>172</v>
      </c>
      <c r="EC200" s="77" t="s">
        <v>131</v>
      </c>
      <c r="ED200" s="96" t="s">
        <v>132</v>
      </c>
      <c r="EE200" s="50" t="s">
        <v>203</v>
      </c>
      <c r="EF200" s="35">
        <f t="shared" si="306"/>
        <v>1509</v>
      </c>
      <c r="EG200" s="57" t="s">
        <v>133</v>
      </c>
      <c r="EH200" s="47">
        <f t="shared" si="24"/>
        <v>29.74419988</v>
      </c>
    </row>
    <row r="201" ht="15.75" customHeight="1">
      <c r="A201" s="85" t="s">
        <v>647</v>
      </c>
      <c r="B201" s="57" t="s">
        <v>175</v>
      </c>
      <c r="C201" s="94">
        <v>45584.0</v>
      </c>
      <c r="D201" s="64">
        <v>34.0</v>
      </c>
      <c r="E201" s="85" t="s">
        <v>130</v>
      </c>
      <c r="F201" s="50">
        <v>155.0</v>
      </c>
      <c r="G201" s="91">
        <v>74.0</v>
      </c>
      <c r="H201" s="85" t="s">
        <v>131</v>
      </c>
      <c r="I201" s="50">
        <v>2.0</v>
      </c>
      <c r="J201" s="55" t="s">
        <v>133</v>
      </c>
      <c r="K201" s="85" t="s">
        <v>131</v>
      </c>
      <c r="L201" s="50">
        <v>1.0</v>
      </c>
      <c r="M201" s="76">
        <v>44228.0</v>
      </c>
      <c r="N201" s="85">
        <v>0.0</v>
      </c>
      <c r="O201" s="55" t="s">
        <v>133</v>
      </c>
      <c r="P201" s="85" t="s">
        <v>132</v>
      </c>
      <c r="Q201" s="36" t="s">
        <v>133</v>
      </c>
      <c r="R201" s="36" t="s">
        <v>133</v>
      </c>
      <c r="S201" s="36" t="s">
        <v>133</v>
      </c>
      <c r="T201" s="36" t="s">
        <v>133</v>
      </c>
      <c r="U201" s="36" t="s">
        <v>133</v>
      </c>
      <c r="V201" s="36" t="str">
        <f t="shared" si="178"/>
        <v>Paciente ambulatorio</v>
      </c>
      <c r="W201" s="50" t="s">
        <v>190</v>
      </c>
      <c r="X201" s="85" t="s">
        <v>132</v>
      </c>
      <c r="Y201" s="50">
        <v>1.0</v>
      </c>
      <c r="Z201" s="85">
        <v>1.0</v>
      </c>
      <c r="AA201" s="85">
        <v>1.0</v>
      </c>
      <c r="AB201" s="50">
        <v>2.0</v>
      </c>
      <c r="AC201" s="50">
        <v>1.0</v>
      </c>
      <c r="AD201" s="50">
        <v>1.0</v>
      </c>
      <c r="AE201" s="85">
        <v>2.0</v>
      </c>
      <c r="AF201" s="85">
        <v>1.0</v>
      </c>
      <c r="AG201" s="85">
        <v>1.0</v>
      </c>
      <c r="AH201" s="85">
        <v>1.0</v>
      </c>
      <c r="AI201" s="85">
        <v>1.0</v>
      </c>
      <c r="AJ201" s="85">
        <v>1.0</v>
      </c>
      <c r="AK201" s="36" t="s">
        <v>133</v>
      </c>
      <c r="AL201" s="90" t="s">
        <v>132</v>
      </c>
      <c r="AM201" s="85" t="s">
        <v>132</v>
      </c>
      <c r="AN201" s="85" t="s">
        <v>132</v>
      </c>
      <c r="AO201" s="85" t="s">
        <v>132</v>
      </c>
      <c r="AP201" s="85" t="s">
        <v>132</v>
      </c>
      <c r="AQ201" s="85" t="s">
        <v>132</v>
      </c>
      <c r="AR201" s="85" t="s">
        <v>132</v>
      </c>
      <c r="AS201" s="85" t="s">
        <v>132</v>
      </c>
      <c r="AT201" s="85" t="s">
        <v>132</v>
      </c>
      <c r="AU201" s="85" t="s">
        <v>132</v>
      </c>
      <c r="AV201" s="85" t="s">
        <v>131</v>
      </c>
      <c r="AW201" s="50" t="s">
        <v>133</v>
      </c>
      <c r="AX201" s="50" t="s">
        <v>165</v>
      </c>
      <c r="AY201" s="50" t="s">
        <v>133</v>
      </c>
      <c r="AZ201" s="50" t="s">
        <v>133</v>
      </c>
      <c r="BA201" s="50">
        <v>1.0</v>
      </c>
      <c r="BB201" s="50" t="s">
        <v>135</v>
      </c>
      <c r="BC201" s="50">
        <v>2.0</v>
      </c>
      <c r="BD201" s="90">
        <v>1.0</v>
      </c>
      <c r="BE201" s="85">
        <v>1.0</v>
      </c>
      <c r="BF201" s="85">
        <v>2.0</v>
      </c>
      <c r="BG201" s="50">
        <v>3.0</v>
      </c>
      <c r="BH201" s="50">
        <v>4.0</v>
      </c>
      <c r="BI201" s="44" t="str">
        <f t="shared" si="205"/>
        <v>11234</v>
      </c>
      <c r="BJ201" s="50">
        <v>60.0</v>
      </c>
      <c r="BK201" s="50">
        <v>3.0</v>
      </c>
      <c r="BL201" s="50">
        <v>3.0</v>
      </c>
      <c r="BM201" s="50">
        <v>2.0</v>
      </c>
      <c r="BN201" s="50">
        <v>2.0</v>
      </c>
      <c r="BO201" s="50">
        <v>3.0</v>
      </c>
      <c r="BP201" s="50">
        <v>3.0</v>
      </c>
      <c r="BQ201" s="50">
        <v>2.0</v>
      </c>
      <c r="BR201" s="50">
        <v>3.0</v>
      </c>
      <c r="BS201" s="50">
        <v>3.0</v>
      </c>
      <c r="BT201" s="50">
        <v>4.0</v>
      </c>
      <c r="BU201" s="44">
        <f>IF(BN201=1,5,IF(BN201=2,4,IF(BN201=3,3,IF(BN201=4,2,IF(BN201=5,1)))))</f>
        <v>4</v>
      </c>
      <c r="BV201" s="44">
        <f>IF(BT201=1,5,IF(BT201=2,4,IF(BT201=3,3,IF(BT201=4,2,IF(BT201=5,1)))))</f>
        <v>2</v>
      </c>
      <c r="BW201" s="44">
        <f t="shared" si="183"/>
        <v>28</v>
      </c>
      <c r="BX201" s="44" t="str">
        <f>IF(BW201&lt;22,"NO HAY FATIGA",IF(BW201&lt;35,"FATIGA","FATIGA EXTREMA"))</f>
        <v>FATIGA</v>
      </c>
      <c r="BY201" s="85">
        <v>0.0</v>
      </c>
      <c r="BZ201" s="85">
        <v>0.0</v>
      </c>
      <c r="CA201" s="85">
        <v>0.0</v>
      </c>
      <c r="CB201" s="85">
        <v>0.0</v>
      </c>
      <c r="CC201" s="85">
        <v>0.0</v>
      </c>
      <c r="CD201" s="85">
        <v>0.0</v>
      </c>
      <c r="CE201" s="50">
        <v>7.0</v>
      </c>
      <c r="CF201" s="85">
        <v>0.0</v>
      </c>
      <c r="CG201" s="50">
        <v>20.0</v>
      </c>
      <c r="CH201" s="50">
        <v>2.0</v>
      </c>
      <c r="CI201" s="85">
        <v>0.0</v>
      </c>
      <c r="CJ201" s="53">
        <f t="shared" si="254"/>
        <v>462</v>
      </c>
      <c r="CK201" s="53">
        <f t="shared" si="206"/>
        <v>7</v>
      </c>
      <c r="CL201" s="44" t="b">
        <f t="shared" si="207"/>
        <v>0</v>
      </c>
      <c r="CM201" s="44" t="b">
        <f t="shared" si="208"/>
        <v>0</v>
      </c>
      <c r="CN201" s="45" t="str">
        <f t="shared" si="209"/>
        <v>Nivel de actividad física bajo</v>
      </c>
      <c r="CO201" s="50">
        <v>23.0</v>
      </c>
      <c r="CP201" s="50">
        <v>30.0</v>
      </c>
      <c r="CQ201" s="53">
        <f t="shared" si="319"/>
        <v>1</v>
      </c>
      <c r="CR201" s="50">
        <v>6.0</v>
      </c>
      <c r="CS201" s="50">
        <v>0.0</v>
      </c>
      <c r="CT201" s="50">
        <v>6.5</v>
      </c>
      <c r="CU201" s="85">
        <v>4.0</v>
      </c>
      <c r="CV201" s="50">
        <v>2.0</v>
      </c>
      <c r="CW201" s="85">
        <v>3.0</v>
      </c>
      <c r="CX201" s="85">
        <v>3.0</v>
      </c>
      <c r="CY201" s="85">
        <v>0.0</v>
      </c>
      <c r="CZ201" s="85">
        <v>0.0</v>
      </c>
      <c r="DA201" s="85">
        <v>0.0</v>
      </c>
      <c r="DB201" s="50">
        <v>0.0</v>
      </c>
      <c r="DC201" s="50">
        <v>2.0</v>
      </c>
      <c r="DD201" s="50">
        <v>0.0</v>
      </c>
      <c r="DE201" s="50">
        <v>3.0</v>
      </c>
      <c r="DF201" s="36" t="s">
        <v>133</v>
      </c>
      <c r="DG201" s="97">
        <f t="shared" si="55"/>
        <v>11</v>
      </c>
      <c r="DH201" s="85">
        <v>2.0</v>
      </c>
      <c r="DI201" s="50">
        <v>0.0</v>
      </c>
      <c r="DJ201" s="85">
        <v>3.0</v>
      </c>
      <c r="DK201" s="50">
        <v>3.0</v>
      </c>
      <c r="DL201" s="68">
        <f t="shared" si="237"/>
        <v>61.53846154</v>
      </c>
      <c r="DM201" s="53">
        <f t="shared" si="238"/>
        <v>3</v>
      </c>
      <c r="DN201" s="53">
        <f t="shared" si="239"/>
        <v>2</v>
      </c>
      <c r="DO201" s="53">
        <f t="shared" si="240"/>
        <v>2</v>
      </c>
      <c r="DP201" s="53">
        <f t="shared" si="241"/>
        <v>3</v>
      </c>
      <c r="DQ201" s="53">
        <f t="shared" si="242"/>
        <v>3</v>
      </c>
      <c r="DR201" s="53">
        <f t="shared" ref="DR201:DS201" si="322">(DH201)</f>
        <v>2</v>
      </c>
      <c r="DS201" s="53">
        <f t="shared" si="322"/>
        <v>0</v>
      </c>
      <c r="DT201" s="53">
        <f t="shared" si="41"/>
        <v>15</v>
      </c>
      <c r="DU201" s="53" t="str">
        <f t="shared" si="244"/>
        <v>poor sleep quality</v>
      </c>
      <c r="DV201" s="50">
        <v>3.0</v>
      </c>
      <c r="DW201" s="85" t="s">
        <v>591</v>
      </c>
      <c r="DX201" s="85" t="s">
        <v>137</v>
      </c>
      <c r="DY201" s="85">
        <v>1.0</v>
      </c>
      <c r="DZ201" s="85" t="s">
        <v>131</v>
      </c>
      <c r="EA201" s="50" t="s">
        <v>162</v>
      </c>
      <c r="EB201" s="50" t="s">
        <v>172</v>
      </c>
      <c r="EC201" s="36" t="s">
        <v>133</v>
      </c>
      <c r="ED201" s="85" t="s">
        <v>131</v>
      </c>
      <c r="EE201" s="85" t="s">
        <v>203</v>
      </c>
      <c r="EF201" s="35">
        <f t="shared" si="306"/>
        <v>1356</v>
      </c>
      <c r="EG201" s="57" t="s">
        <v>133</v>
      </c>
      <c r="EH201" s="47">
        <f t="shared" si="24"/>
        <v>30.8012487</v>
      </c>
    </row>
    <row r="202" ht="15.75" customHeight="1">
      <c r="A202" s="85" t="s">
        <v>648</v>
      </c>
      <c r="B202" s="57" t="s">
        <v>175</v>
      </c>
      <c r="C202" s="94">
        <v>45591.0</v>
      </c>
      <c r="D202" s="64">
        <v>41.0</v>
      </c>
      <c r="E202" s="50" t="s">
        <v>130</v>
      </c>
      <c r="F202" s="50">
        <v>156.0</v>
      </c>
      <c r="G202" s="91">
        <v>58.0</v>
      </c>
      <c r="H202" s="50" t="s">
        <v>131</v>
      </c>
      <c r="I202" s="50">
        <v>3.0</v>
      </c>
      <c r="J202" s="41">
        <v>44593.0</v>
      </c>
      <c r="K202" s="50" t="s">
        <v>131</v>
      </c>
      <c r="L202" s="50">
        <v>3.0</v>
      </c>
      <c r="M202" s="76">
        <v>44105.0</v>
      </c>
      <c r="N202" s="50">
        <v>0.0</v>
      </c>
      <c r="O202" s="76">
        <v>45536.0</v>
      </c>
      <c r="P202" s="50" t="s">
        <v>132</v>
      </c>
      <c r="Q202" s="36" t="s">
        <v>133</v>
      </c>
      <c r="R202" s="36" t="s">
        <v>133</v>
      </c>
      <c r="S202" s="36" t="s">
        <v>133</v>
      </c>
      <c r="T202" s="36" t="s">
        <v>133</v>
      </c>
      <c r="U202" s="36" t="s">
        <v>133</v>
      </c>
      <c r="V202" s="36" t="str">
        <f t="shared" si="178"/>
        <v>Paciente ambulatorio</v>
      </c>
      <c r="W202" s="36" t="s">
        <v>133</v>
      </c>
      <c r="X202" s="50" t="s">
        <v>131</v>
      </c>
      <c r="Y202" s="50">
        <v>1.0</v>
      </c>
      <c r="Z202" s="50">
        <v>1.0</v>
      </c>
      <c r="AA202" s="50">
        <v>1.0</v>
      </c>
      <c r="AB202" s="50">
        <v>1.0</v>
      </c>
      <c r="AC202" s="50">
        <v>1.0</v>
      </c>
      <c r="AD202" s="50">
        <v>2.0</v>
      </c>
      <c r="AE202" s="50">
        <v>1.0</v>
      </c>
      <c r="AF202" s="50">
        <v>3.0</v>
      </c>
      <c r="AG202" s="50">
        <v>3.0</v>
      </c>
      <c r="AH202" s="50">
        <v>3.0</v>
      </c>
      <c r="AI202" s="50">
        <v>3.0</v>
      </c>
      <c r="AJ202" s="50">
        <v>3.0</v>
      </c>
      <c r="AK202" s="50" t="s">
        <v>649</v>
      </c>
      <c r="AL202" s="79" t="s">
        <v>132</v>
      </c>
      <c r="AM202" s="50" t="s">
        <v>132</v>
      </c>
      <c r="AN202" s="50" t="s">
        <v>132</v>
      </c>
      <c r="AO202" s="50" t="s">
        <v>132</v>
      </c>
      <c r="AP202" s="50" t="s">
        <v>132</v>
      </c>
      <c r="AQ202" s="50" t="s">
        <v>132</v>
      </c>
      <c r="AR202" s="50" t="s">
        <v>132</v>
      </c>
      <c r="AS202" s="50" t="s">
        <v>132</v>
      </c>
      <c r="AT202" s="50" t="s">
        <v>132</v>
      </c>
      <c r="AU202" s="50" t="s">
        <v>132</v>
      </c>
      <c r="AV202" s="50" t="s">
        <v>132</v>
      </c>
      <c r="AW202" s="36" t="s">
        <v>133</v>
      </c>
      <c r="AX202" s="50" t="s">
        <v>131</v>
      </c>
      <c r="AY202" s="50">
        <v>1.0</v>
      </c>
      <c r="AZ202" s="50">
        <v>21.0</v>
      </c>
      <c r="BA202" s="36" t="s">
        <v>133</v>
      </c>
      <c r="BB202" s="50" t="s">
        <v>135</v>
      </c>
      <c r="BC202" s="81">
        <v>3.0</v>
      </c>
      <c r="BD202" s="79">
        <v>1.0</v>
      </c>
      <c r="BE202" s="50">
        <v>1.0</v>
      </c>
      <c r="BF202" s="50">
        <v>1.0</v>
      </c>
      <c r="BG202" s="50">
        <v>3.0</v>
      </c>
      <c r="BH202" s="50">
        <v>4.0</v>
      </c>
      <c r="BI202" s="44" t="str">
        <f t="shared" si="205"/>
        <v>11134</v>
      </c>
      <c r="BJ202" s="50">
        <v>60.0</v>
      </c>
      <c r="BK202" s="50">
        <v>2.0</v>
      </c>
      <c r="BL202" s="50">
        <v>2.0</v>
      </c>
      <c r="BM202" s="50">
        <v>1.0</v>
      </c>
      <c r="BN202" s="50">
        <v>4.0</v>
      </c>
      <c r="BO202" s="50">
        <v>2.0</v>
      </c>
      <c r="BP202" s="50">
        <v>2.0</v>
      </c>
      <c r="BQ202" s="50">
        <v>1.0</v>
      </c>
      <c r="BR202" s="50">
        <v>2.0</v>
      </c>
      <c r="BS202" s="50">
        <v>4.0</v>
      </c>
      <c r="BT202" s="50">
        <v>4.0</v>
      </c>
      <c r="BU202" s="53">
        <f t="shared" ref="BU202:BU206" si="324">IF(BN202=1,5,IF(BN202=2,4,IF(BN202=3,3,IF(BN202=4,2,IF(BN202=5,1)))))</f>
        <v>2</v>
      </c>
      <c r="BV202" s="53">
        <f t="shared" ref="BV202:BV206" si="325">IF(BT202=1,5,IF(BT202=2,4,IF(BT202=3,3,IF(BT202=4,2,IF(BT202=5,1)))))</f>
        <v>2</v>
      </c>
      <c r="BW202" s="53">
        <f t="shared" si="183"/>
        <v>22</v>
      </c>
      <c r="BX202" s="53" t="str">
        <f t="shared" ref="BX202:BX206" si="326">IF(BW202&lt;22,"NO HAY FATIGA",IF(BW202&lt;35,"FATIGA","FATIGA EXTREMA"))</f>
        <v>FATIGA</v>
      </c>
      <c r="BY202" s="50">
        <v>0.0</v>
      </c>
      <c r="BZ202" s="50">
        <v>0.0</v>
      </c>
      <c r="CA202" s="50">
        <v>0.0</v>
      </c>
      <c r="CB202" s="50">
        <v>0.0</v>
      </c>
      <c r="CC202" s="50">
        <v>0.0</v>
      </c>
      <c r="CD202" s="50">
        <v>0.0</v>
      </c>
      <c r="CE202" s="50">
        <v>0.0</v>
      </c>
      <c r="CF202" s="50">
        <v>0.0</v>
      </c>
      <c r="CG202" s="50">
        <v>0.0</v>
      </c>
      <c r="CH202" s="50">
        <v>1.0</v>
      </c>
      <c r="CI202" s="50">
        <v>30.0</v>
      </c>
      <c r="CJ202" s="53">
        <f t="shared" si="254"/>
        <v>0</v>
      </c>
      <c r="CK202" s="53">
        <f t="shared" si="206"/>
        <v>0</v>
      </c>
      <c r="CL202" s="44" t="b">
        <f t="shared" si="207"/>
        <v>0</v>
      </c>
      <c r="CM202" s="44" t="b">
        <f t="shared" si="208"/>
        <v>0</v>
      </c>
      <c r="CN202" s="45" t="str">
        <f t="shared" si="209"/>
        <v>Nivel de actividad física bajo</v>
      </c>
      <c r="CO202" s="50">
        <v>22.0</v>
      </c>
      <c r="CP202" s="50">
        <v>10.0</v>
      </c>
      <c r="CQ202" s="44">
        <f>IF(CP202&gt;60,3,IF(CP202&gt;30,2,IF(CP202&gt;15,1,0)))</f>
        <v>0</v>
      </c>
      <c r="CR202" s="50">
        <v>5.0</v>
      </c>
      <c r="CS202" s="50">
        <v>50.0</v>
      </c>
      <c r="CT202" s="50">
        <v>7.7</v>
      </c>
      <c r="CU202" s="50">
        <v>6.0</v>
      </c>
      <c r="CV202" s="50">
        <v>0.0</v>
      </c>
      <c r="CW202" s="50">
        <v>3.0</v>
      </c>
      <c r="CX202" s="50">
        <v>0.0</v>
      </c>
      <c r="CY202" s="50">
        <v>0.0</v>
      </c>
      <c r="CZ202" s="50">
        <v>0.0</v>
      </c>
      <c r="DA202" s="50">
        <v>0.0</v>
      </c>
      <c r="DB202" s="50">
        <v>3.0</v>
      </c>
      <c r="DC202" s="50">
        <v>0.0</v>
      </c>
      <c r="DD202" s="50">
        <v>2.0</v>
      </c>
      <c r="DE202" s="57">
        <v>2.0</v>
      </c>
      <c r="DF202" s="36" t="s">
        <v>133</v>
      </c>
      <c r="DG202" s="97">
        <f t="shared" si="55"/>
        <v>10</v>
      </c>
      <c r="DH202" s="50">
        <v>1.0</v>
      </c>
      <c r="DI202" s="50">
        <v>1.0</v>
      </c>
      <c r="DJ202" s="50">
        <v>1.0</v>
      </c>
      <c r="DK202" s="50">
        <v>0.0</v>
      </c>
      <c r="DL202" s="68">
        <f t="shared" si="237"/>
        <v>77.92207792</v>
      </c>
      <c r="DM202" s="53">
        <f t="shared" si="238"/>
        <v>1</v>
      </c>
      <c r="DN202" s="53">
        <f t="shared" si="239"/>
        <v>2</v>
      </c>
      <c r="DO202" s="53">
        <f t="shared" si="240"/>
        <v>0</v>
      </c>
      <c r="DP202" s="53">
        <f t="shared" si="241"/>
        <v>1</v>
      </c>
      <c r="DQ202" s="53">
        <f t="shared" si="242"/>
        <v>1</v>
      </c>
      <c r="DR202" s="53">
        <f t="shared" ref="DR202:DS202" si="323">(DH202)</f>
        <v>1</v>
      </c>
      <c r="DS202" s="53">
        <f t="shared" si="323"/>
        <v>1</v>
      </c>
      <c r="DT202" s="53">
        <f t="shared" si="41"/>
        <v>7</v>
      </c>
      <c r="DU202" s="53" t="str">
        <f t="shared" si="244"/>
        <v>poor sleep quality</v>
      </c>
      <c r="DV202" s="50">
        <v>2.0</v>
      </c>
      <c r="DW202" s="50" t="s">
        <v>617</v>
      </c>
      <c r="DX202" s="50" t="s">
        <v>137</v>
      </c>
      <c r="DY202" s="50">
        <v>1.0</v>
      </c>
      <c r="DZ202" s="50" t="s">
        <v>131</v>
      </c>
      <c r="EA202" s="50" t="s">
        <v>138</v>
      </c>
      <c r="EB202" s="50" t="s">
        <v>139</v>
      </c>
      <c r="EC202" s="36" t="s">
        <v>133</v>
      </c>
      <c r="ED202" s="77" t="s">
        <v>131</v>
      </c>
      <c r="EE202" s="50" t="s">
        <v>203</v>
      </c>
      <c r="EF202" s="35">
        <f t="shared" si="306"/>
        <v>1486</v>
      </c>
      <c r="EG202" s="35">
        <f>C202-O202</f>
        <v>55</v>
      </c>
      <c r="EH202" s="47">
        <f t="shared" si="24"/>
        <v>23.8330046</v>
      </c>
    </row>
    <row r="203" ht="15.75" customHeight="1">
      <c r="A203" s="85" t="s">
        <v>650</v>
      </c>
      <c r="B203" s="57" t="s">
        <v>175</v>
      </c>
      <c r="C203" s="95">
        <v>45605.0</v>
      </c>
      <c r="D203" s="64">
        <v>41.0</v>
      </c>
      <c r="E203" s="50" t="s">
        <v>130</v>
      </c>
      <c r="F203" s="50">
        <v>153.0</v>
      </c>
      <c r="G203" s="91">
        <v>85.0</v>
      </c>
      <c r="H203" s="50" t="s">
        <v>131</v>
      </c>
      <c r="I203" s="50">
        <v>4.0</v>
      </c>
      <c r="J203" s="76">
        <v>44743.0</v>
      </c>
      <c r="K203" s="50" t="s">
        <v>131</v>
      </c>
      <c r="L203" s="50">
        <v>1.0</v>
      </c>
      <c r="M203" s="76">
        <v>44621.0</v>
      </c>
      <c r="N203" s="50" t="s">
        <v>131</v>
      </c>
      <c r="O203" s="55" t="s">
        <v>133</v>
      </c>
      <c r="P203" s="50" t="s">
        <v>132</v>
      </c>
      <c r="Q203" s="36" t="s">
        <v>133</v>
      </c>
      <c r="R203" s="36" t="s">
        <v>133</v>
      </c>
      <c r="S203" s="36" t="s">
        <v>133</v>
      </c>
      <c r="T203" s="36" t="s">
        <v>133</v>
      </c>
      <c r="U203" s="36" t="s">
        <v>133</v>
      </c>
      <c r="V203" s="36" t="str">
        <f t="shared" si="178"/>
        <v>Paciente ambulatorio</v>
      </c>
      <c r="W203" s="50" t="s">
        <v>176</v>
      </c>
      <c r="X203" s="50" t="s">
        <v>132</v>
      </c>
      <c r="Y203" s="50">
        <v>1.0</v>
      </c>
      <c r="Z203" s="50">
        <v>1.0</v>
      </c>
      <c r="AA203" s="50">
        <v>1.0</v>
      </c>
      <c r="AB203" s="50">
        <v>2.0</v>
      </c>
      <c r="AC203" s="50">
        <v>1.0</v>
      </c>
      <c r="AD203" s="50">
        <v>1.0</v>
      </c>
      <c r="AE203" s="50">
        <v>1.0</v>
      </c>
      <c r="AF203" s="50">
        <v>1.0</v>
      </c>
      <c r="AG203" s="50">
        <v>1.0</v>
      </c>
      <c r="AH203" s="50">
        <v>3.0</v>
      </c>
      <c r="AI203" s="50">
        <v>3.0</v>
      </c>
      <c r="AJ203" s="50">
        <v>1.0</v>
      </c>
      <c r="AK203" s="50" t="s">
        <v>651</v>
      </c>
      <c r="AL203" s="79" t="s">
        <v>132</v>
      </c>
      <c r="AM203" s="50" t="s">
        <v>132</v>
      </c>
      <c r="AN203" s="50" t="s">
        <v>132</v>
      </c>
      <c r="AO203" s="50" t="s">
        <v>132</v>
      </c>
      <c r="AP203" s="50" t="s">
        <v>132</v>
      </c>
      <c r="AQ203" s="50" t="s">
        <v>132</v>
      </c>
      <c r="AR203" s="50" t="s">
        <v>132</v>
      </c>
      <c r="AS203" s="50" t="s">
        <v>132</v>
      </c>
      <c r="AT203" s="50" t="s">
        <v>132</v>
      </c>
      <c r="AU203" s="50" t="s">
        <v>132</v>
      </c>
      <c r="AV203" s="50" t="s">
        <v>132</v>
      </c>
      <c r="AW203" s="36" t="s">
        <v>133</v>
      </c>
      <c r="AX203" s="50" t="s">
        <v>165</v>
      </c>
      <c r="AY203" s="36" t="s">
        <v>133</v>
      </c>
      <c r="AZ203" s="36" t="s">
        <v>133</v>
      </c>
      <c r="BA203" s="77">
        <v>2.0</v>
      </c>
      <c r="BB203" s="50" t="s">
        <v>145</v>
      </c>
      <c r="BC203" s="36" t="s">
        <v>133</v>
      </c>
      <c r="BD203" s="79">
        <v>3.0</v>
      </c>
      <c r="BE203" s="50">
        <v>1.0</v>
      </c>
      <c r="BF203" s="50">
        <v>3.0</v>
      </c>
      <c r="BG203" s="50">
        <v>3.0</v>
      </c>
      <c r="BH203" s="50">
        <v>4.0</v>
      </c>
      <c r="BI203" s="44" t="str">
        <f t="shared" si="205"/>
        <v>31334</v>
      </c>
      <c r="BJ203" s="50">
        <v>60.0</v>
      </c>
      <c r="BK203" s="50">
        <v>4.0</v>
      </c>
      <c r="BL203" s="50">
        <v>4.0</v>
      </c>
      <c r="BM203" s="50">
        <v>4.0</v>
      </c>
      <c r="BN203" s="50">
        <v>3.0</v>
      </c>
      <c r="BO203" s="50">
        <v>3.0</v>
      </c>
      <c r="BP203" s="50">
        <v>3.0</v>
      </c>
      <c r="BQ203" s="50">
        <v>3.0</v>
      </c>
      <c r="BR203" s="50">
        <v>2.0</v>
      </c>
      <c r="BS203" s="50">
        <v>2.0</v>
      </c>
      <c r="BT203" s="50">
        <v>3.0</v>
      </c>
      <c r="BU203" s="53">
        <f t="shared" si="324"/>
        <v>3</v>
      </c>
      <c r="BV203" s="53">
        <f t="shared" si="325"/>
        <v>3</v>
      </c>
      <c r="BW203" s="53">
        <f t="shared" si="183"/>
        <v>31</v>
      </c>
      <c r="BX203" s="53" t="str">
        <f t="shared" si="326"/>
        <v>FATIGA</v>
      </c>
      <c r="BY203" s="50">
        <v>0.0</v>
      </c>
      <c r="BZ203" s="50">
        <v>0.0</v>
      </c>
      <c r="CA203" s="50">
        <v>0.0</v>
      </c>
      <c r="CB203" s="50">
        <v>3.0</v>
      </c>
      <c r="CC203" s="50">
        <v>1.0</v>
      </c>
      <c r="CD203" s="50">
        <v>30.0</v>
      </c>
      <c r="CE203" s="50">
        <v>6.0</v>
      </c>
      <c r="CF203" s="50">
        <v>0.0</v>
      </c>
      <c r="CG203" s="50">
        <v>15.0</v>
      </c>
      <c r="CH203" s="50">
        <v>2.0</v>
      </c>
      <c r="CI203" s="50">
        <v>0.0</v>
      </c>
      <c r="CJ203" s="53">
        <f t="shared" si="254"/>
        <v>1377</v>
      </c>
      <c r="CK203" s="53">
        <f t="shared" si="206"/>
        <v>9</v>
      </c>
      <c r="CL203" s="44" t="b">
        <f t="shared" si="207"/>
        <v>0</v>
      </c>
      <c r="CM203" s="44" t="str">
        <f t="shared" si="208"/>
        <v>Nivel de actividad física moderado</v>
      </c>
      <c r="CN203" s="45" t="str">
        <f t="shared" si="209"/>
        <v>Nivel de actividad física moderado</v>
      </c>
      <c r="CO203" s="78">
        <v>0.3125</v>
      </c>
      <c r="CP203" s="50">
        <v>5.0</v>
      </c>
      <c r="CQ203" s="53">
        <f t="shared" ref="CQ203:CQ206" si="328">IF(CP203&gt;60,3,IF(CP203&gt;30,2,IF(CP203&gt;15,1,0)))</f>
        <v>0</v>
      </c>
      <c r="CR203" s="50">
        <v>12.0</v>
      </c>
      <c r="CS203" s="50">
        <v>30.0</v>
      </c>
      <c r="CT203" s="50">
        <v>5.0</v>
      </c>
      <c r="CU203" s="50">
        <v>4.5</v>
      </c>
      <c r="CV203" s="50">
        <v>0.0</v>
      </c>
      <c r="CW203" s="50">
        <v>3.0</v>
      </c>
      <c r="CX203" s="50">
        <v>2.0</v>
      </c>
      <c r="CY203" s="50">
        <v>2.0</v>
      </c>
      <c r="CZ203" s="50">
        <v>2.0</v>
      </c>
      <c r="DA203" s="50">
        <v>0.0</v>
      </c>
      <c r="DB203" s="50">
        <v>0.0</v>
      </c>
      <c r="DC203" s="50">
        <v>1.0</v>
      </c>
      <c r="DD203" s="50">
        <v>2.0</v>
      </c>
      <c r="DE203" s="57">
        <v>0.0</v>
      </c>
      <c r="DF203" s="36" t="s">
        <v>133</v>
      </c>
      <c r="DG203" s="97">
        <f t="shared" si="55"/>
        <v>12</v>
      </c>
      <c r="DH203" s="50">
        <v>1.0</v>
      </c>
      <c r="DI203" s="50">
        <v>0.0</v>
      </c>
      <c r="DJ203" s="50">
        <v>3.0</v>
      </c>
      <c r="DK203" s="50">
        <v>3.0</v>
      </c>
      <c r="DL203" s="68">
        <f t="shared" si="237"/>
        <v>90</v>
      </c>
      <c r="DM203" s="53">
        <f t="shared" si="238"/>
        <v>3</v>
      </c>
      <c r="DN203" s="53">
        <f t="shared" si="239"/>
        <v>2</v>
      </c>
      <c r="DO203" s="53">
        <f t="shared" si="240"/>
        <v>0</v>
      </c>
      <c r="DP203" s="53">
        <f t="shared" si="241"/>
        <v>3</v>
      </c>
      <c r="DQ203" s="53">
        <f t="shared" si="242"/>
        <v>0</v>
      </c>
      <c r="DR203" s="53">
        <f t="shared" ref="DR203:DS203" si="327">(DH203)</f>
        <v>1</v>
      </c>
      <c r="DS203" s="53">
        <f t="shared" si="327"/>
        <v>0</v>
      </c>
      <c r="DT203" s="53">
        <f t="shared" si="41"/>
        <v>9</v>
      </c>
      <c r="DU203" s="53" t="str">
        <f t="shared" si="244"/>
        <v>poor sleep quality</v>
      </c>
      <c r="DV203" s="50">
        <v>2.0</v>
      </c>
      <c r="DW203" s="50" t="s">
        <v>617</v>
      </c>
      <c r="DX203" s="50" t="s">
        <v>137</v>
      </c>
      <c r="DY203" s="50">
        <v>1.0</v>
      </c>
      <c r="DZ203" s="50" t="s">
        <v>131</v>
      </c>
      <c r="EA203" s="50" t="s">
        <v>162</v>
      </c>
      <c r="EB203" s="50" t="s">
        <v>139</v>
      </c>
      <c r="EC203" s="36" t="s">
        <v>133</v>
      </c>
      <c r="ED203" s="50" t="s">
        <v>132</v>
      </c>
      <c r="EE203" s="50" t="s">
        <v>141</v>
      </c>
      <c r="EF203" s="35">
        <f t="shared" si="306"/>
        <v>984</v>
      </c>
      <c r="EG203" s="36" t="s">
        <v>133</v>
      </c>
      <c r="EH203" s="47">
        <f t="shared" si="24"/>
        <v>36.31082062</v>
      </c>
    </row>
    <row r="204" ht="15.75" customHeight="1">
      <c r="A204" s="85" t="s">
        <v>652</v>
      </c>
      <c r="B204" s="57" t="s">
        <v>175</v>
      </c>
      <c r="C204" s="94">
        <v>45591.0</v>
      </c>
      <c r="D204" s="64">
        <v>51.0</v>
      </c>
      <c r="E204" s="50" t="s">
        <v>130</v>
      </c>
      <c r="F204" s="50">
        <v>160.0</v>
      </c>
      <c r="G204" s="91">
        <v>100.0</v>
      </c>
      <c r="H204" s="50" t="s">
        <v>131</v>
      </c>
      <c r="I204" s="50">
        <v>3.0</v>
      </c>
      <c r="J204" s="76">
        <v>44593.0</v>
      </c>
      <c r="K204" s="50" t="s">
        <v>131</v>
      </c>
      <c r="L204" s="50">
        <v>1.0</v>
      </c>
      <c r="M204" s="55" t="s">
        <v>133</v>
      </c>
      <c r="N204" s="57" t="s">
        <v>133</v>
      </c>
      <c r="O204" s="55" t="s">
        <v>133</v>
      </c>
      <c r="P204" s="50" t="s">
        <v>132</v>
      </c>
      <c r="Q204" s="36" t="s">
        <v>133</v>
      </c>
      <c r="R204" s="36" t="s">
        <v>133</v>
      </c>
      <c r="S204" s="36" t="s">
        <v>133</v>
      </c>
      <c r="T204" s="36" t="s">
        <v>133</v>
      </c>
      <c r="U204" s="36" t="s">
        <v>133</v>
      </c>
      <c r="V204" s="36" t="str">
        <f t="shared" si="178"/>
        <v>Paciente ambulatorio</v>
      </c>
      <c r="W204" s="50" t="s">
        <v>183</v>
      </c>
      <c r="X204" s="50" t="s">
        <v>132</v>
      </c>
      <c r="Y204" s="50">
        <v>1.0</v>
      </c>
      <c r="Z204" s="50">
        <v>1.0</v>
      </c>
      <c r="AA204" s="50">
        <v>1.0</v>
      </c>
      <c r="AB204" s="50">
        <v>2.0</v>
      </c>
      <c r="AC204" s="50">
        <v>2.0</v>
      </c>
      <c r="AD204" s="50">
        <v>2.0</v>
      </c>
      <c r="AE204" s="50">
        <v>2.0</v>
      </c>
      <c r="AF204" s="50">
        <v>1.0</v>
      </c>
      <c r="AG204" s="50">
        <v>3.0</v>
      </c>
      <c r="AH204" s="50">
        <v>3.0</v>
      </c>
      <c r="AI204" s="50">
        <v>1.0</v>
      </c>
      <c r="AJ204" s="50">
        <v>1.0</v>
      </c>
      <c r="AK204" s="50" t="s">
        <v>653</v>
      </c>
      <c r="AL204" s="79" t="s">
        <v>132</v>
      </c>
      <c r="AM204" s="50" t="s">
        <v>132</v>
      </c>
      <c r="AN204" s="50" t="s">
        <v>132</v>
      </c>
      <c r="AO204" s="50" t="s">
        <v>132</v>
      </c>
      <c r="AP204" s="50" t="s">
        <v>132</v>
      </c>
      <c r="AQ204" s="50" t="s">
        <v>132</v>
      </c>
      <c r="AR204" s="50" t="s">
        <v>132</v>
      </c>
      <c r="AS204" s="50" t="s">
        <v>132</v>
      </c>
      <c r="AT204" s="50" t="s">
        <v>132</v>
      </c>
      <c r="AU204" s="50" t="s">
        <v>132</v>
      </c>
      <c r="AV204" s="50" t="s">
        <v>131</v>
      </c>
      <c r="AW204" s="50" t="s">
        <v>654</v>
      </c>
      <c r="AX204" s="50" t="s">
        <v>165</v>
      </c>
      <c r="AY204" s="36" t="s">
        <v>133</v>
      </c>
      <c r="AZ204" s="36" t="s">
        <v>133</v>
      </c>
      <c r="BA204" s="77">
        <v>14.0</v>
      </c>
      <c r="BB204" s="50" t="s">
        <v>145</v>
      </c>
      <c r="BC204" s="36" t="s">
        <v>133</v>
      </c>
      <c r="BD204" s="79">
        <v>1.0</v>
      </c>
      <c r="BE204" s="50">
        <v>1.0</v>
      </c>
      <c r="BF204" s="50">
        <v>2.0</v>
      </c>
      <c r="BG204" s="50">
        <v>2.0</v>
      </c>
      <c r="BH204" s="50">
        <v>1.0</v>
      </c>
      <c r="BI204" s="44" t="str">
        <f t="shared" si="205"/>
        <v>11221</v>
      </c>
      <c r="BJ204" s="50">
        <v>70.0</v>
      </c>
      <c r="BK204" s="50">
        <v>2.0</v>
      </c>
      <c r="BL204" s="50">
        <v>3.0</v>
      </c>
      <c r="BM204" s="50">
        <v>2.0</v>
      </c>
      <c r="BN204" s="50">
        <v>3.0</v>
      </c>
      <c r="BO204" s="50">
        <v>4.0</v>
      </c>
      <c r="BP204" s="50">
        <v>2.0</v>
      </c>
      <c r="BQ204" s="50">
        <v>2.0</v>
      </c>
      <c r="BR204" s="50">
        <v>2.0</v>
      </c>
      <c r="BS204" s="50">
        <v>2.0</v>
      </c>
      <c r="BT204" s="50">
        <v>2.0</v>
      </c>
      <c r="BU204" s="53">
        <f t="shared" si="324"/>
        <v>3</v>
      </c>
      <c r="BV204" s="53">
        <f t="shared" si="325"/>
        <v>4</v>
      </c>
      <c r="BW204" s="53">
        <f t="shared" si="183"/>
        <v>25</v>
      </c>
      <c r="BX204" s="53" t="str">
        <f t="shared" si="326"/>
        <v>FATIGA</v>
      </c>
      <c r="BY204" s="50">
        <v>0.0</v>
      </c>
      <c r="BZ204" s="50">
        <v>0.0</v>
      </c>
      <c r="CA204" s="50">
        <v>0.0</v>
      </c>
      <c r="CB204" s="50">
        <v>1.0</v>
      </c>
      <c r="CC204" s="50">
        <v>4.0</v>
      </c>
      <c r="CD204" s="50">
        <v>0.0</v>
      </c>
      <c r="CE204" s="50">
        <v>2.0</v>
      </c>
      <c r="CF204" s="50">
        <v>1.0</v>
      </c>
      <c r="CG204" s="50">
        <v>30.0</v>
      </c>
      <c r="CH204" s="50">
        <v>2.0</v>
      </c>
      <c r="CI204" s="50">
        <v>0.0</v>
      </c>
      <c r="CJ204" s="53">
        <f t="shared" si="254"/>
        <v>1554</v>
      </c>
      <c r="CK204" s="53">
        <f t="shared" si="206"/>
        <v>3</v>
      </c>
      <c r="CL204" s="44" t="b">
        <f t="shared" si="207"/>
        <v>0</v>
      </c>
      <c r="CM204" s="44" t="b">
        <f t="shared" si="208"/>
        <v>0</v>
      </c>
      <c r="CN204" s="45" t="str">
        <f t="shared" si="209"/>
        <v>Nivel de actividad física bajo</v>
      </c>
      <c r="CO204" s="50">
        <v>23.0</v>
      </c>
      <c r="CP204" s="50">
        <v>10.0</v>
      </c>
      <c r="CQ204" s="53">
        <f t="shared" si="328"/>
        <v>0</v>
      </c>
      <c r="CR204" s="50">
        <v>6.0</v>
      </c>
      <c r="CS204" s="50">
        <v>30.0</v>
      </c>
      <c r="CT204" s="50">
        <v>7.5</v>
      </c>
      <c r="CU204" s="50">
        <v>7.0</v>
      </c>
      <c r="CV204" s="50">
        <v>0.0</v>
      </c>
      <c r="CW204" s="50">
        <v>3.0</v>
      </c>
      <c r="CX204" s="50">
        <v>3.0</v>
      </c>
      <c r="CY204" s="50">
        <v>0.0</v>
      </c>
      <c r="CZ204" s="50">
        <v>0.0</v>
      </c>
      <c r="DA204" s="50">
        <v>2.0</v>
      </c>
      <c r="DB204" s="50">
        <v>0.0</v>
      </c>
      <c r="DC204" s="50">
        <v>0.0</v>
      </c>
      <c r="DD204" s="50">
        <v>2.0</v>
      </c>
      <c r="DE204" s="57">
        <v>3.0</v>
      </c>
      <c r="DF204" s="50" t="s">
        <v>627</v>
      </c>
      <c r="DG204" s="97">
        <f t="shared" si="55"/>
        <v>13</v>
      </c>
      <c r="DH204" s="50">
        <v>1.0</v>
      </c>
      <c r="DI204" s="50">
        <v>0.0</v>
      </c>
      <c r="DJ204" s="50">
        <v>0.0</v>
      </c>
      <c r="DK204" s="50">
        <v>1.0</v>
      </c>
      <c r="DL204" s="68">
        <f t="shared" si="237"/>
        <v>93.33333333</v>
      </c>
      <c r="DM204" s="53">
        <f t="shared" si="238"/>
        <v>0</v>
      </c>
      <c r="DN204" s="53">
        <f t="shared" si="239"/>
        <v>2</v>
      </c>
      <c r="DO204" s="53">
        <f t="shared" si="240"/>
        <v>0</v>
      </c>
      <c r="DP204" s="53">
        <f t="shared" si="241"/>
        <v>1</v>
      </c>
      <c r="DQ204" s="53">
        <f t="shared" si="242"/>
        <v>0</v>
      </c>
      <c r="DR204" s="53">
        <f t="shared" ref="DR204:DS204" si="329">(DH204)</f>
        <v>1</v>
      </c>
      <c r="DS204" s="53">
        <f t="shared" si="329"/>
        <v>0</v>
      </c>
      <c r="DT204" s="53">
        <f t="shared" si="41"/>
        <v>4</v>
      </c>
      <c r="DU204" s="53" t="str">
        <f t="shared" si="244"/>
        <v>good sleep quality</v>
      </c>
      <c r="DV204" s="50">
        <v>3.0</v>
      </c>
      <c r="DW204" s="50" t="s">
        <v>655</v>
      </c>
      <c r="DX204" s="50" t="s">
        <v>146</v>
      </c>
      <c r="DY204" s="50">
        <v>2.0</v>
      </c>
      <c r="DZ204" s="50" t="s">
        <v>131</v>
      </c>
      <c r="EA204" s="50" t="s">
        <v>162</v>
      </c>
      <c r="EB204" s="50" t="s">
        <v>222</v>
      </c>
      <c r="EC204" s="36" t="s">
        <v>133</v>
      </c>
      <c r="ED204" s="50" t="s">
        <v>131</v>
      </c>
      <c r="EE204" s="50" t="s">
        <v>151</v>
      </c>
      <c r="EF204" s="36" t="s">
        <v>133</v>
      </c>
      <c r="EG204" s="36" t="s">
        <v>133</v>
      </c>
      <c r="EH204" s="47">
        <f t="shared" si="24"/>
        <v>39.0625</v>
      </c>
    </row>
    <row r="205" ht="15.75" customHeight="1">
      <c r="A205" s="85" t="s">
        <v>656</v>
      </c>
      <c r="B205" s="57" t="s">
        <v>175</v>
      </c>
      <c r="C205" s="94">
        <v>45591.0</v>
      </c>
      <c r="D205" s="64">
        <v>60.0</v>
      </c>
      <c r="E205" s="50" t="s">
        <v>130</v>
      </c>
      <c r="F205" s="50">
        <v>165.0</v>
      </c>
      <c r="G205" s="91">
        <v>57.0</v>
      </c>
      <c r="H205" s="50" t="s">
        <v>131</v>
      </c>
      <c r="I205" s="57">
        <v>3.0</v>
      </c>
      <c r="J205" s="55" t="s">
        <v>133</v>
      </c>
      <c r="K205" s="50" t="s">
        <v>131</v>
      </c>
      <c r="L205" s="50">
        <v>1.0</v>
      </c>
      <c r="M205" s="76">
        <v>44317.0</v>
      </c>
      <c r="N205" s="50">
        <v>1.0</v>
      </c>
      <c r="O205" s="55" t="s">
        <v>133</v>
      </c>
      <c r="P205" s="50" t="s">
        <v>132</v>
      </c>
      <c r="Q205" s="36" t="s">
        <v>133</v>
      </c>
      <c r="R205" s="36" t="s">
        <v>133</v>
      </c>
      <c r="S205" s="36" t="s">
        <v>133</v>
      </c>
      <c r="T205" s="36" t="s">
        <v>133</v>
      </c>
      <c r="U205" s="36" t="s">
        <v>133</v>
      </c>
      <c r="V205" s="36" t="str">
        <f t="shared" si="178"/>
        <v>Paciente ambulatorio</v>
      </c>
      <c r="W205" s="36" t="s">
        <v>133</v>
      </c>
      <c r="X205" s="50" t="s">
        <v>132</v>
      </c>
      <c r="Y205" s="50">
        <v>3.0</v>
      </c>
      <c r="Z205" s="50">
        <v>1.0</v>
      </c>
      <c r="AA205" s="50">
        <v>3.0</v>
      </c>
      <c r="AB205" s="50">
        <v>3.0</v>
      </c>
      <c r="AC205" s="50">
        <v>3.0</v>
      </c>
      <c r="AD205" s="50">
        <v>1.0</v>
      </c>
      <c r="AE205" s="50">
        <v>1.0</v>
      </c>
      <c r="AF205" s="50">
        <v>1.0</v>
      </c>
      <c r="AG205" s="50">
        <v>1.0</v>
      </c>
      <c r="AH205" s="50">
        <v>1.0</v>
      </c>
      <c r="AI205" s="50">
        <v>1.0</v>
      </c>
      <c r="AJ205" s="50">
        <v>1.0</v>
      </c>
      <c r="AK205" s="50" t="s">
        <v>657</v>
      </c>
      <c r="AL205" s="79" t="s">
        <v>132</v>
      </c>
      <c r="AM205" s="50" t="s">
        <v>132</v>
      </c>
      <c r="AN205" s="50" t="s">
        <v>132</v>
      </c>
      <c r="AO205" s="50" t="s">
        <v>131</v>
      </c>
      <c r="AP205" s="50" t="s">
        <v>132</v>
      </c>
      <c r="AQ205" s="50" t="s">
        <v>132</v>
      </c>
      <c r="AR205" s="50" t="s">
        <v>132</v>
      </c>
      <c r="AS205" s="50" t="s">
        <v>132</v>
      </c>
      <c r="AT205" s="50" t="s">
        <v>132</v>
      </c>
      <c r="AU205" s="50" t="s">
        <v>132</v>
      </c>
      <c r="AV205" s="50" t="s">
        <v>131</v>
      </c>
      <c r="AW205" s="50" t="s">
        <v>177</v>
      </c>
      <c r="AX205" s="50" t="s">
        <v>165</v>
      </c>
      <c r="AY205" s="36" t="s">
        <v>133</v>
      </c>
      <c r="AZ205" s="36" t="s">
        <v>133</v>
      </c>
      <c r="BA205" s="77">
        <v>6.0</v>
      </c>
      <c r="BB205" s="50" t="s">
        <v>135</v>
      </c>
      <c r="BC205" s="83">
        <v>2.0</v>
      </c>
      <c r="BD205" s="79">
        <v>2.0</v>
      </c>
      <c r="BE205" s="50">
        <v>1.0</v>
      </c>
      <c r="BF205" s="50">
        <v>1.0</v>
      </c>
      <c r="BG205" s="50">
        <v>2.0</v>
      </c>
      <c r="BH205" s="50">
        <v>2.0</v>
      </c>
      <c r="BI205" s="44" t="str">
        <f t="shared" si="205"/>
        <v>21122</v>
      </c>
      <c r="BJ205" s="50">
        <v>65.0</v>
      </c>
      <c r="BK205" s="50">
        <v>2.0</v>
      </c>
      <c r="BL205" s="50">
        <v>3.0</v>
      </c>
      <c r="BM205" s="50">
        <v>1.0</v>
      </c>
      <c r="BN205" s="50">
        <v>3.0</v>
      </c>
      <c r="BO205" s="50">
        <v>3.0</v>
      </c>
      <c r="BP205" s="50">
        <v>3.0</v>
      </c>
      <c r="BQ205" s="50">
        <v>2.0</v>
      </c>
      <c r="BR205" s="50">
        <v>2.0</v>
      </c>
      <c r="BS205" s="50">
        <v>2.0</v>
      </c>
      <c r="BT205" s="50">
        <v>3.0</v>
      </c>
      <c r="BU205" s="53">
        <f t="shared" si="324"/>
        <v>3</v>
      </c>
      <c r="BV205" s="53">
        <f t="shared" si="325"/>
        <v>3</v>
      </c>
      <c r="BW205" s="53">
        <f t="shared" si="183"/>
        <v>24</v>
      </c>
      <c r="BX205" s="53" t="str">
        <f t="shared" si="326"/>
        <v>FATIGA</v>
      </c>
      <c r="BY205" s="50">
        <v>3.0</v>
      </c>
      <c r="BZ205" s="50">
        <v>1.0</v>
      </c>
      <c r="CA205" s="50">
        <v>0.0</v>
      </c>
      <c r="CB205" s="50">
        <v>0.0</v>
      </c>
      <c r="CC205" s="50">
        <v>0.0</v>
      </c>
      <c r="CD205" s="50">
        <v>0.0</v>
      </c>
      <c r="CE205" s="50">
        <v>7.0</v>
      </c>
      <c r="CF205" s="50">
        <v>1.0</v>
      </c>
      <c r="CG205" s="50">
        <v>0.0</v>
      </c>
      <c r="CH205" s="50">
        <v>4.0</v>
      </c>
      <c r="CI205" s="50">
        <v>0.0</v>
      </c>
      <c r="CJ205" s="53">
        <f t="shared" si="254"/>
        <v>2826</v>
      </c>
      <c r="CK205" s="53">
        <f t="shared" si="206"/>
        <v>10</v>
      </c>
      <c r="CL205" s="44" t="str">
        <f t="shared" si="207"/>
        <v>Nivel de actividad física alto</v>
      </c>
      <c r="CM205" s="44" t="str">
        <f t="shared" si="208"/>
        <v>Nivel de actividad física moderado</v>
      </c>
      <c r="CN205" s="45" t="str">
        <f t="shared" si="209"/>
        <v>Nivel de actividad física alto</v>
      </c>
      <c r="CO205" s="78">
        <v>0.9375</v>
      </c>
      <c r="CP205" s="50">
        <v>30.0</v>
      </c>
      <c r="CQ205" s="53">
        <f t="shared" si="328"/>
        <v>1</v>
      </c>
      <c r="CR205" s="50">
        <v>8.0</v>
      </c>
      <c r="CS205" s="50">
        <v>0.0</v>
      </c>
      <c r="CT205" s="50">
        <v>9.5</v>
      </c>
      <c r="CU205" s="50">
        <v>7.0</v>
      </c>
      <c r="CV205" s="50">
        <v>0.0</v>
      </c>
      <c r="CW205" s="50">
        <v>3.0</v>
      </c>
      <c r="CX205" s="50">
        <v>3.0</v>
      </c>
      <c r="CY205" s="50">
        <v>0.0</v>
      </c>
      <c r="CZ205" s="50">
        <v>0.0</v>
      </c>
      <c r="DA205" s="50">
        <v>0.0</v>
      </c>
      <c r="DB205" s="50">
        <v>0.0</v>
      </c>
      <c r="DC205" s="50">
        <v>0.0</v>
      </c>
      <c r="DD205" s="50">
        <v>0.0</v>
      </c>
      <c r="DE205" s="57">
        <v>3.0</v>
      </c>
      <c r="DF205" s="50" t="s">
        <v>658</v>
      </c>
      <c r="DG205" s="97">
        <f t="shared" si="55"/>
        <v>9</v>
      </c>
      <c r="DH205" s="50">
        <v>2.0</v>
      </c>
      <c r="DI205" s="50">
        <v>0.0</v>
      </c>
      <c r="DJ205" s="50">
        <v>3.0</v>
      </c>
      <c r="DK205" s="50">
        <v>2.0</v>
      </c>
      <c r="DL205" s="68">
        <f t="shared" si="237"/>
        <v>73.68421053</v>
      </c>
      <c r="DM205" s="53">
        <f t="shared" si="238"/>
        <v>0</v>
      </c>
      <c r="DN205" s="53">
        <f t="shared" si="239"/>
        <v>1</v>
      </c>
      <c r="DO205" s="53">
        <f t="shared" si="240"/>
        <v>1</v>
      </c>
      <c r="DP205" s="53">
        <f t="shared" si="241"/>
        <v>3</v>
      </c>
      <c r="DQ205" s="53">
        <f t="shared" si="242"/>
        <v>2</v>
      </c>
      <c r="DR205" s="53">
        <f t="shared" ref="DR205:DS205" si="330">(DH205)</f>
        <v>2</v>
      </c>
      <c r="DS205" s="53">
        <f t="shared" si="330"/>
        <v>0</v>
      </c>
      <c r="DT205" s="53">
        <f t="shared" si="41"/>
        <v>9</v>
      </c>
      <c r="DU205" s="53" t="str">
        <f t="shared" si="244"/>
        <v>poor sleep quality</v>
      </c>
      <c r="DV205" s="50">
        <v>1.0</v>
      </c>
      <c r="DW205" s="50" t="s">
        <v>136</v>
      </c>
      <c r="DX205" s="50" t="s">
        <v>146</v>
      </c>
      <c r="DY205" s="50">
        <v>2.0</v>
      </c>
      <c r="DZ205" s="50" t="s">
        <v>131</v>
      </c>
      <c r="EA205" s="50" t="s">
        <v>167</v>
      </c>
      <c r="EB205" s="50" t="s">
        <v>172</v>
      </c>
      <c r="EC205" s="77" t="s">
        <v>131</v>
      </c>
      <c r="ED205" s="77" t="s">
        <v>132</v>
      </c>
      <c r="EE205" s="50" t="s">
        <v>158</v>
      </c>
      <c r="EF205" s="35">
        <f t="shared" ref="EF205:EF207" si="332">C205-M205</f>
        <v>1274</v>
      </c>
      <c r="EG205" s="36" t="s">
        <v>133</v>
      </c>
      <c r="EH205" s="47">
        <f t="shared" si="24"/>
        <v>20.93663912</v>
      </c>
    </row>
    <row r="206" ht="15.75" customHeight="1">
      <c r="A206" s="85" t="s">
        <v>659</v>
      </c>
      <c r="B206" s="57" t="s">
        <v>175</v>
      </c>
      <c r="C206" s="94">
        <v>45591.0</v>
      </c>
      <c r="D206" s="64">
        <v>55.0</v>
      </c>
      <c r="E206" s="50" t="s">
        <v>130</v>
      </c>
      <c r="F206" s="50">
        <v>155.0</v>
      </c>
      <c r="G206" s="91">
        <v>88.0</v>
      </c>
      <c r="H206" s="50" t="s">
        <v>131</v>
      </c>
      <c r="I206" s="50">
        <v>6.0</v>
      </c>
      <c r="J206" s="76">
        <v>45280.0</v>
      </c>
      <c r="K206" s="50" t="s">
        <v>131</v>
      </c>
      <c r="L206" s="50">
        <v>1.0</v>
      </c>
      <c r="M206" s="76">
        <v>44382.0</v>
      </c>
      <c r="N206" s="50">
        <v>1.0</v>
      </c>
      <c r="O206" s="55" t="s">
        <v>133</v>
      </c>
      <c r="P206" s="50" t="s">
        <v>132</v>
      </c>
      <c r="Q206" s="36" t="s">
        <v>133</v>
      </c>
      <c r="R206" s="36" t="s">
        <v>133</v>
      </c>
      <c r="S206" s="36" t="s">
        <v>133</v>
      </c>
      <c r="T206" s="36" t="s">
        <v>133</v>
      </c>
      <c r="U206" s="36" t="s">
        <v>133</v>
      </c>
      <c r="V206" s="36" t="str">
        <f t="shared" si="178"/>
        <v>Paciente ambulatorio</v>
      </c>
      <c r="W206" s="50" t="s">
        <v>176</v>
      </c>
      <c r="X206" s="50" t="s">
        <v>131</v>
      </c>
      <c r="Y206" s="50">
        <v>1.0</v>
      </c>
      <c r="Z206" s="50">
        <v>1.0</v>
      </c>
      <c r="AA206" s="50">
        <v>3.0</v>
      </c>
      <c r="AB206" s="50">
        <v>3.0</v>
      </c>
      <c r="AC206" s="50">
        <v>1.0</v>
      </c>
      <c r="AD206" s="50">
        <v>1.0</v>
      </c>
      <c r="AE206" s="50">
        <v>2.0</v>
      </c>
      <c r="AF206" s="50">
        <v>1.0</v>
      </c>
      <c r="AG206" s="50">
        <v>1.0</v>
      </c>
      <c r="AH206" s="50">
        <v>1.0</v>
      </c>
      <c r="AI206" s="50">
        <v>1.0</v>
      </c>
      <c r="AJ206" s="50">
        <v>1.0</v>
      </c>
      <c r="AK206" s="50" t="s">
        <v>660</v>
      </c>
      <c r="AL206" s="79" t="s">
        <v>132</v>
      </c>
      <c r="AM206" s="50" t="s">
        <v>132</v>
      </c>
      <c r="AN206" s="50" t="s">
        <v>132</v>
      </c>
      <c r="AO206" s="50" t="s">
        <v>132</v>
      </c>
      <c r="AP206" s="50" t="s">
        <v>132</v>
      </c>
      <c r="AQ206" s="50" t="s">
        <v>132</v>
      </c>
      <c r="AR206" s="50" t="s">
        <v>132</v>
      </c>
      <c r="AS206" s="50" t="s">
        <v>132</v>
      </c>
      <c r="AT206" s="50" t="s">
        <v>132</v>
      </c>
      <c r="AU206" s="50" t="s">
        <v>132</v>
      </c>
      <c r="AV206" s="50" t="s">
        <v>132</v>
      </c>
      <c r="AW206" s="36" t="s">
        <v>133</v>
      </c>
      <c r="AX206" s="50" t="s">
        <v>132</v>
      </c>
      <c r="AY206" s="36" t="s">
        <v>133</v>
      </c>
      <c r="AZ206" s="36" t="s">
        <v>133</v>
      </c>
      <c r="BA206" s="36" t="s">
        <v>133</v>
      </c>
      <c r="BB206" s="50" t="s">
        <v>135</v>
      </c>
      <c r="BC206" s="83">
        <v>0.5</v>
      </c>
      <c r="BD206" s="79">
        <v>1.0</v>
      </c>
      <c r="BE206" s="50">
        <v>1.0</v>
      </c>
      <c r="BF206" s="50">
        <v>3.0</v>
      </c>
      <c r="BG206" s="50">
        <v>2.0</v>
      </c>
      <c r="BH206" s="50">
        <v>5.0</v>
      </c>
      <c r="BI206" s="44" t="str">
        <f t="shared" si="205"/>
        <v>11325</v>
      </c>
      <c r="BJ206" s="50">
        <v>30.0</v>
      </c>
      <c r="BK206" s="50">
        <v>4.0</v>
      </c>
      <c r="BL206" s="50">
        <v>3.0</v>
      </c>
      <c r="BM206" s="50">
        <v>2.0</v>
      </c>
      <c r="BN206" s="50">
        <v>1.0</v>
      </c>
      <c r="BO206" s="50">
        <v>4.0</v>
      </c>
      <c r="BP206" s="50">
        <v>3.0</v>
      </c>
      <c r="BQ206" s="50">
        <v>2.0</v>
      </c>
      <c r="BR206" s="50">
        <v>2.0</v>
      </c>
      <c r="BS206" s="50">
        <v>4.0</v>
      </c>
      <c r="BT206" s="50">
        <v>3.0</v>
      </c>
      <c r="BU206" s="53">
        <f t="shared" si="324"/>
        <v>5</v>
      </c>
      <c r="BV206" s="53">
        <f t="shared" si="325"/>
        <v>3</v>
      </c>
      <c r="BW206" s="53">
        <f t="shared" si="183"/>
        <v>30</v>
      </c>
      <c r="BX206" s="53" t="str">
        <f t="shared" si="326"/>
        <v>FATIGA</v>
      </c>
      <c r="BY206" s="50">
        <v>0.0</v>
      </c>
      <c r="BZ206" s="50">
        <v>0.0</v>
      </c>
      <c r="CA206" s="50">
        <v>0.0</v>
      </c>
      <c r="CB206" s="50">
        <v>3.0</v>
      </c>
      <c r="CC206" s="50">
        <v>2.0</v>
      </c>
      <c r="CD206" s="50">
        <v>30.0</v>
      </c>
      <c r="CE206" s="50">
        <v>7.0</v>
      </c>
      <c r="CF206" s="50">
        <v>0.0</v>
      </c>
      <c r="CG206" s="50">
        <v>40.0</v>
      </c>
      <c r="CH206" s="50">
        <v>3.0</v>
      </c>
      <c r="CI206" s="50">
        <v>0.0</v>
      </c>
      <c r="CJ206" s="53">
        <f t="shared" si="254"/>
        <v>2724</v>
      </c>
      <c r="CK206" s="53">
        <f t="shared" si="206"/>
        <v>10</v>
      </c>
      <c r="CL206" s="44" t="b">
        <f t="shared" si="207"/>
        <v>0</v>
      </c>
      <c r="CM206" s="44" t="str">
        <f t="shared" si="208"/>
        <v>Nivel de actividad física moderado</v>
      </c>
      <c r="CN206" s="45" t="str">
        <f t="shared" si="209"/>
        <v>Nivel de actividad física moderado</v>
      </c>
      <c r="CO206" s="50">
        <v>23.0</v>
      </c>
      <c r="CP206" s="50">
        <v>5.0</v>
      </c>
      <c r="CQ206" s="53">
        <f t="shared" si="328"/>
        <v>0</v>
      </c>
      <c r="CR206" s="50">
        <v>6.0</v>
      </c>
      <c r="CS206" s="50">
        <v>30.0</v>
      </c>
      <c r="CT206" s="50">
        <v>7.5</v>
      </c>
      <c r="CU206" s="50">
        <v>4.0</v>
      </c>
      <c r="CV206" s="50">
        <v>0.0</v>
      </c>
      <c r="CW206" s="50">
        <v>3.0</v>
      </c>
      <c r="CX206" s="50">
        <v>3.0</v>
      </c>
      <c r="CY206" s="50">
        <v>2.0</v>
      </c>
      <c r="CZ206" s="50">
        <v>3.0</v>
      </c>
      <c r="DA206" s="50">
        <v>0.0</v>
      </c>
      <c r="DB206" s="50">
        <v>3.0</v>
      </c>
      <c r="DC206" s="50">
        <v>2.0</v>
      </c>
      <c r="DD206" s="50">
        <v>2.0</v>
      </c>
      <c r="DE206" s="57">
        <v>2.0</v>
      </c>
      <c r="DF206" s="50" t="s">
        <v>661</v>
      </c>
      <c r="DG206" s="97">
        <f t="shared" si="55"/>
        <v>20</v>
      </c>
      <c r="DH206" s="50">
        <v>3.0</v>
      </c>
      <c r="DI206" s="50">
        <v>0.0</v>
      </c>
      <c r="DJ206" s="50">
        <v>3.0</v>
      </c>
      <c r="DK206" s="50">
        <v>3.0</v>
      </c>
      <c r="DL206" s="68">
        <f t="shared" si="237"/>
        <v>53.33333333</v>
      </c>
      <c r="DM206" s="53">
        <f t="shared" si="238"/>
        <v>3</v>
      </c>
      <c r="DN206" s="53">
        <f t="shared" si="239"/>
        <v>3</v>
      </c>
      <c r="DO206" s="53">
        <f t="shared" si="240"/>
        <v>0</v>
      </c>
      <c r="DP206" s="53">
        <f t="shared" si="241"/>
        <v>3</v>
      </c>
      <c r="DQ206" s="53">
        <f t="shared" si="242"/>
        <v>3</v>
      </c>
      <c r="DR206" s="53">
        <f t="shared" ref="DR206:DS206" si="331">(DH206)</f>
        <v>3</v>
      </c>
      <c r="DS206" s="53">
        <f t="shared" si="331"/>
        <v>0</v>
      </c>
      <c r="DT206" s="53">
        <f t="shared" si="41"/>
        <v>15</v>
      </c>
      <c r="DU206" s="53" t="str">
        <f t="shared" si="244"/>
        <v>poor sleep quality</v>
      </c>
      <c r="DV206" s="50">
        <v>1.0</v>
      </c>
      <c r="DW206" s="50" t="s">
        <v>655</v>
      </c>
      <c r="DX206" s="50" t="s">
        <v>146</v>
      </c>
      <c r="DY206" s="50">
        <v>2.0</v>
      </c>
      <c r="DZ206" s="50" t="s">
        <v>131</v>
      </c>
      <c r="EA206" s="50" t="s">
        <v>138</v>
      </c>
      <c r="EB206" s="50" t="s">
        <v>139</v>
      </c>
      <c r="EC206" s="36" t="s">
        <v>133</v>
      </c>
      <c r="ED206" s="50" t="s">
        <v>131</v>
      </c>
      <c r="EE206" s="50" t="s">
        <v>141</v>
      </c>
      <c r="EF206" s="35">
        <f t="shared" si="332"/>
        <v>1209</v>
      </c>
      <c r="EG206" s="36" t="s">
        <v>133</v>
      </c>
      <c r="EH206" s="47">
        <f t="shared" si="24"/>
        <v>36.62851197</v>
      </c>
    </row>
    <row r="207" ht="15.75" customHeight="1">
      <c r="A207" s="85" t="s">
        <v>662</v>
      </c>
      <c r="B207" s="57" t="s">
        <v>175</v>
      </c>
      <c r="C207" s="94">
        <v>45591.0</v>
      </c>
      <c r="D207" s="64">
        <v>38.0</v>
      </c>
      <c r="E207" s="50" t="s">
        <v>153</v>
      </c>
      <c r="F207" s="50">
        <v>178.0</v>
      </c>
      <c r="G207" s="91">
        <v>123.0</v>
      </c>
      <c r="H207" s="50" t="s">
        <v>131</v>
      </c>
      <c r="I207" s="57">
        <v>3.0</v>
      </c>
      <c r="J207" s="76">
        <v>44657.0</v>
      </c>
      <c r="K207" s="50" t="s">
        <v>131</v>
      </c>
      <c r="L207" s="50">
        <v>2.0</v>
      </c>
      <c r="M207" s="76">
        <v>44044.0</v>
      </c>
      <c r="N207" s="50">
        <v>0.0</v>
      </c>
      <c r="O207" s="76">
        <v>44593.0</v>
      </c>
      <c r="P207" s="50" t="s">
        <v>132</v>
      </c>
      <c r="Q207" s="36" t="s">
        <v>133</v>
      </c>
      <c r="R207" s="36" t="s">
        <v>133</v>
      </c>
      <c r="S207" s="36" t="s">
        <v>133</v>
      </c>
      <c r="T207" s="36" t="s">
        <v>133</v>
      </c>
      <c r="U207" s="36" t="s">
        <v>133</v>
      </c>
      <c r="V207" s="36" t="str">
        <f t="shared" si="178"/>
        <v>Paciente ambulatorio</v>
      </c>
      <c r="W207" s="50" t="s">
        <v>183</v>
      </c>
      <c r="X207" s="50" t="s">
        <v>132</v>
      </c>
      <c r="Y207" s="50">
        <v>1.0</v>
      </c>
      <c r="Z207" s="50">
        <v>1.0</v>
      </c>
      <c r="AA207" s="50">
        <v>1.0</v>
      </c>
      <c r="AB207" s="50">
        <v>2.0</v>
      </c>
      <c r="AC207" s="50">
        <v>1.0</v>
      </c>
      <c r="AD207" s="50">
        <v>1.0</v>
      </c>
      <c r="AE207" s="50">
        <v>2.0</v>
      </c>
      <c r="AF207" s="50">
        <v>1.0</v>
      </c>
      <c r="AG207" s="50">
        <v>1.0</v>
      </c>
      <c r="AH207" s="50">
        <v>1.0</v>
      </c>
      <c r="AI207" s="50">
        <v>1.0</v>
      </c>
      <c r="AJ207" s="50">
        <v>1.0</v>
      </c>
      <c r="AK207" s="50" t="s">
        <v>663</v>
      </c>
      <c r="AL207" s="79" t="s">
        <v>132</v>
      </c>
      <c r="AM207" s="50" t="s">
        <v>132</v>
      </c>
      <c r="AN207" s="50" t="s">
        <v>132</v>
      </c>
      <c r="AO207" s="50" t="s">
        <v>132</v>
      </c>
      <c r="AP207" s="50" t="s">
        <v>132</v>
      </c>
      <c r="AQ207" s="50" t="s">
        <v>132</v>
      </c>
      <c r="AR207" s="50" t="s">
        <v>132</v>
      </c>
      <c r="AS207" s="50" t="s">
        <v>132</v>
      </c>
      <c r="AT207" s="50" t="s">
        <v>132</v>
      </c>
      <c r="AU207" s="50" t="s">
        <v>132</v>
      </c>
      <c r="AV207" s="50" t="s">
        <v>132</v>
      </c>
      <c r="AW207" s="36" t="s">
        <v>133</v>
      </c>
      <c r="AX207" s="50" t="s">
        <v>132</v>
      </c>
      <c r="AY207" s="36" t="s">
        <v>133</v>
      </c>
      <c r="AZ207" s="36" t="s">
        <v>133</v>
      </c>
      <c r="BA207" s="36" t="s">
        <v>133</v>
      </c>
      <c r="BB207" s="50" t="s">
        <v>145</v>
      </c>
      <c r="BC207" s="36" t="s">
        <v>133</v>
      </c>
      <c r="BD207" s="79">
        <v>2.0</v>
      </c>
      <c r="BE207" s="50">
        <v>1.0</v>
      </c>
      <c r="BF207" s="50">
        <v>3.0</v>
      </c>
      <c r="BG207" s="50">
        <v>2.0</v>
      </c>
      <c r="BH207" s="50">
        <v>4.0</v>
      </c>
      <c r="BI207" s="44" t="str">
        <f t="shared" si="205"/>
        <v>21324</v>
      </c>
      <c r="BJ207" s="50">
        <v>70.0</v>
      </c>
      <c r="BK207" s="50">
        <v>3.0</v>
      </c>
      <c r="BL207" s="50">
        <v>4.0</v>
      </c>
      <c r="BM207" s="50">
        <v>4.0</v>
      </c>
      <c r="BN207" s="50">
        <v>3.0</v>
      </c>
      <c r="BO207" s="50">
        <v>4.0</v>
      </c>
      <c r="BP207" s="50">
        <v>3.0</v>
      </c>
      <c r="BQ207" s="50">
        <v>2.0</v>
      </c>
      <c r="BR207" s="50">
        <v>2.0</v>
      </c>
      <c r="BS207" s="50">
        <v>4.0</v>
      </c>
      <c r="BT207" s="50">
        <v>3.0</v>
      </c>
      <c r="BU207" s="44">
        <f>IF(BN207=1,5,IF(BN207=2,4,IF(BN207=3,3,IF(BN207=4,2,IF(BN207=5,1)))))</f>
        <v>3</v>
      </c>
      <c r="BV207" s="44">
        <f>IF(BT207=1,5,IF(BT207=2,4,IF(BT207=3,3,IF(BT207=4,2,IF(BT207=5,1)))))</f>
        <v>3</v>
      </c>
      <c r="BW207" s="44">
        <f t="shared" si="183"/>
        <v>32</v>
      </c>
      <c r="BX207" s="44" t="str">
        <f>IF(BW207&lt;22,"NO HAY FATIGA",IF(BW207&lt;35,"FATIGA","FATIGA EXTREMA"))</f>
        <v>FATIGA</v>
      </c>
      <c r="BY207" s="50">
        <v>0.0</v>
      </c>
      <c r="BZ207" s="50">
        <v>0.0</v>
      </c>
      <c r="CA207" s="50">
        <v>0.0</v>
      </c>
      <c r="CB207" s="50">
        <v>0.0</v>
      </c>
      <c r="CC207" s="50">
        <v>0.0</v>
      </c>
      <c r="CD207" s="50">
        <v>0.0</v>
      </c>
      <c r="CE207" s="50">
        <v>0.0</v>
      </c>
      <c r="CF207" s="50">
        <v>0.0</v>
      </c>
      <c r="CG207" s="50">
        <v>0.0</v>
      </c>
      <c r="CH207" s="50">
        <v>8.0</v>
      </c>
      <c r="CI207" s="50">
        <v>0.0</v>
      </c>
      <c r="CJ207" s="53">
        <f t="shared" si="254"/>
        <v>0</v>
      </c>
      <c r="CK207" s="53">
        <f t="shared" si="206"/>
        <v>0</v>
      </c>
      <c r="CL207" s="44" t="b">
        <f t="shared" si="207"/>
        <v>0</v>
      </c>
      <c r="CM207" s="44" t="b">
        <f t="shared" si="208"/>
        <v>0</v>
      </c>
      <c r="CN207" s="45" t="str">
        <f t="shared" si="209"/>
        <v>Nivel de actividad física bajo</v>
      </c>
      <c r="CO207" s="50">
        <v>0.0</v>
      </c>
      <c r="CP207" s="50">
        <v>15.0</v>
      </c>
      <c r="CQ207" s="44">
        <f>IF(CP207&gt;60,3,IF(CP207&gt;30,2,IF(CP207&gt;15,1,0)))</f>
        <v>0</v>
      </c>
      <c r="CR207" s="50">
        <v>6.0</v>
      </c>
      <c r="CS207" s="50">
        <v>30.0</v>
      </c>
      <c r="CT207" s="50">
        <v>6.5</v>
      </c>
      <c r="CU207" s="50">
        <v>5.0</v>
      </c>
      <c r="CV207" s="50">
        <v>1.0</v>
      </c>
      <c r="CW207" s="50">
        <v>2.0</v>
      </c>
      <c r="CX207" s="50">
        <v>2.0</v>
      </c>
      <c r="CY207" s="50">
        <v>2.0</v>
      </c>
      <c r="CZ207" s="50">
        <v>1.0</v>
      </c>
      <c r="DA207" s="50">
        <v>2.0</v>
      </c>
      <c r="DB207" s="50">
        <v>1.0</v>
      </c>
      <c r="DC207" s="50">
        <v>1.0</v>
      </c>
      <c r="DD207" s="50">
        <v>1.0</v>
      </c>
      <c r="DE207" s="57">
        <v>2.0</v>
      </c>
      <c r="DF207" s="50" t="s">
        <v>304</v>
      </c>
      <c r="DG207" s="97">
        <f t="shared" si="55"/>
        <v>14</v>
      </c>
      <c r="DH207" s="50">
        <v>2.0</v>
      </c>
      <c r="DI207" s="50">
        <v>0.0</v>
      </c>
      <c r="DJ207" s="50">
        <v>2.0</v>
      </c>
      <c r="DK207" s="50">
        <v>2.0</v>
      </c>
      <c r="DL207" s="68">
        <f t="shared" si="237"/>
        <v>76.92307692</v>
      </c>
      <c r="DM207" s="53">
        <f t="shared" si="238"/>
        <v>2</v>
      </c>
      <c r="DN207" s="53">
        <f t="shared" si="239"/>
        <v>2</v>
      </c>
      <c r="DO207" s="53">
        <f t="shared" si="240"/>
        <v>1</v>
      </c>
      <c r="DP207" s="53">
        <f t="shared" si="241"/>
        <v>2</v>
      </c>
      <c r="DQ207" s="53">
        <f t="shared" si="242"/>
        <v>1</v>
      </c>
      <c r="DR207" s="53">
        <f t="shared" ref="DR207:DS207" si="333">(DH207)</f>
        <v>2</v>
      </c>
      <c r="DS207" s="53">
        <f t="shared" si="333"/>
        <v>0</v>
      </c>
      <c r="DT207" s="53">
        <f t="shared" si="41"/>
        <v>10</v>
      </c>
      <c r="DU207" s="53" t="str">
        <f t="shared" si="244"/>
        <v>poor sleep quality</v>
      </c>
      <c r="DV207" s="50">
        <v>5.0</v>
      </c>
      <c r="DW207" s="50" t="s">
        <v>136</v>
      </c>
      <c r="DX207" s="50" t="s">
        <v>207</v>
      </c>
      <c r="DY207" s="50">
        <v>1.0</v>
      </c>
      <c r="DZ207" s="50" t="s">
        <v>131</v>
      </c>
      <c r="EA207" s="50" t="s">
        <v>138</v>
      </c>
      <c r="EB207" s="50" t="s">
        <v>139</v>
      </c>
      <c r="EC207" s="50" t="s">
        <v>140</v>
      </c>
      <c r="ED207" s="77" t="s">
        <v>132</v>
      </c>
      <c r="EE207" s="50" t="s">
        <v>141</v>
      </c>
      <c r="EF207" s="35">
        <f t="shared" si="332"/>
        <v>1547</v>
      </c>
      <c r="EG207" s="35">
        <f>C207-O207</f>
        <v>998</v>
      </c>
      <c r="EH207" s="47">
        <f t="shared" si="24"/>
        <v>38.82085595</v>
      </c>
    </row>
    <row r="208" ht="15.75" customHeight="1">
      <c r="A208" s="85" t="s">
        <v>664</v>
      </c>
      <c r="B208" s="57" t="s">
        <v>129</v>
      </c>
      <c r="C208" s="94">
        <v>45591.0</v>
      </c>
      <c r="D208" s="64">
        <v>48.0</v>
      </c>
      <c r="E208" s="50" t="s">
        <v>130</v>
      </c>
      <c r="F208" s="50">
        <v>150.0</v>
      </c>
      <c r="G208" s="91">
        <v>52.0</v>
      </c>
      <c r="H208" s="50" t="s">
        <v>131</v>
      </c>
      <c r="I208" s="50">
        <v>3.0</v>
      </c>
      <c r="J208" s="55" t="s">
        <v>133</v>
      </c>
      <c r="K208" s="50" t="s">
        <v>132</v>
      </c>
      <c r="L208" s="57" t="s">
        <v>133</v>
      </c>
      <c r="M208" s="55" t="s">
        <v>133</v>
      </c>
      <c r="N208" s="57" t="s">
        <v>133</v>
      </c>
      <c r="O208" s="55" t="s">
        <v>133</v>
      </c>
      <c r="P208" s="57" t="s">
        <v>133</v>
      </c>
      <c r="Q208" s="36" t="s">
        <v>133</v>
      </c>
      <c r="R208" s="36" t="s">
        <v>133</v>
      </c>
      <c r="S208" s="36" t="s">
        <v>133</v>
      </c>
      <c r="T208" s="36" t="s">
        <v>133</v>
      </c>
      <c r="U208" s="36" t="s">
        <v>133</v>
      </c>
      <c r="V208" s="36" t="str">
        <f t="shared" si="178"/>
        <v>No infectado</v>
      </c>
      <c r="W208" s="36" t="s">
        <v>133</v>
      </c>
      <c r="X208" s="36" t="s">
        <v>133</v>
      </c>
      <c r="Y208" s="36" t="s">
        <v>133</v>
      </c>
      <c r="Z208" s="36" t="s">
        <v>133</v>
      </c>
      <c r="AA208" s="36" t="s">
        <v>133</v>
      </c>
      <c r="AB208" s="36" t="s">
        <v>133</v>
      </c>
      <c r="AC208" s="36" t="s">
        <v>133</v>
      </c>
      <c r="AD208" s="36" t="s">
        <v>133</v>
      </c>
      <c r="AE208" s="36" t="s">
        <v>133</v>
      </c>
      <c r="AF208" s="36" t="s">
        <v>133</v>
      </c>
      <c r="AG208" s="36" t="s">
        <v>133</v>
      </c>
      <c r="AH208" s="36" t="s">
        <v>133</v>
      </c>
      <c r="AI208" s="36" t="s">
        <v>133</v>
      </c>
      <c r="AJ208" s="36" t="s">
        <v>133</v>
      </c>
      <c r="AK208" s="36" t="s">
        <v>133</v>
      </c>
      <c r="AL208" s="79" t="s">
        <v>132</v>
      </c>
      <c r="AM208" s="50" t="s">
        <v>132</v>
      </c>
      <c r="AN208" s="50" t="s">
        <v>132</v>
      </c>
      <c r="AO208" s="50" t="s">
        <v>132</v>
      </c>
      <c r="AP208" s="50" t="s">
        <v>132</v>
      </c>
      <c r="AQ208" s="50" t="s">
        <v>132</v>
      </c>
      <c r="AR208" s="50" t="s">
        <v>132</v>
      </c>
      <c r="AS208" s="50" t="s">
        <v>132</v>
      </c>
      <c r="AT208" s="50" t="s">
        <v>132</v>
      </c>
      <c r="AU208" s="50" t="s">
        <v>132</v>
      </c>
      <c r="AV208" s="50" t="s">
        <v>132</v>
      </c>
      <c r="AW208" s="36" t="s">
        <v>133</v>
      </c>
      <c r="AX208" s="50" t="s">
        <v>131</v>
      </c>
      <c r="AY208" s="50">
        <v>5.0</v>
      </c>
      <c r="AZ208" s="50">
        <v>25.0</v>
      </c>
      <c r="BA208" s="36" t="s">
        <v>133</v>
      </c>
      <c r="BB208" s="50" t="s">
        <v>145</v>
      </c>
      <c r="BC208" s="36" t="s">
        <v>133</v>
      </c>
      <c r="BD208" s="79">
        <v>0.0</v>
      </c>
      <c r="BE208" s="50">
        <v>0.0</v>
      </c>
      <c r="BF208" s="50">
        <v>0.0</v>
      </c>
      <c r="BG208" s="50">
        <v>0.0</v>
      </c>
      <c r="BH208" s="50">
        <v>0.0</v>
      </c>
      <c r="BI208" s="44" t="str">
        <f t="shared" si="205"/>
        <v>00000</v>
      </c>
      <c r="BJ208" s="50">
        <v>90.0</v>
      </c>
      <c r="BK208" s="50">
        <v>1.0</v>
      </c>
      <c r="BL208" s="50">
        <v>1.0</v>
      </c>
      <c r="BM208" s="50">
        <v>1.0</v>
      </c>
      <c r="BN208" s="50">
        <v>5.0</v>
      </c>
      <c r="BO208" s="50">
        <v>1.0</v>
      </c>
      <c r="BP208" s="50">
        <v>1.0</v>
      </c>
      <c r="BQ208" s="50">
        <v>1.0</v>
      </c>
      <c r="BR208" s="50">
        <v>2.0</v>
      </c>
      <c r="BS208" s="50">
        <v>1.0</v>
      </c>
      <c r="BT208" s="50">
        <v>5.0</v>
      </c>
      <c r="BU208" s="53">
        <f t="shared" ref="BU208:BU212" si="335">IF(BN208=1,5,IF(BN208=2,4,IF(BN208=3,3,IF(BN208=4,2,IF(BN208=5,1)))))</f>
        <v>1</v>
      </c>
      <c r="BV208" s="53">
        <f t="shared" ref="BV208:BV212" si="336">IF(BT208=1,5,IF(BT208=2,4,IF(BT208=3,3,IF(BT208=4,2,IF(BT208=5,1)))))</f>
        <v>1</v>
      </c>
      <c r="BW208" s="53">
        <f t="shared" si="183"/>
        <v>15</v>
      </c>
      <c r="BX208" s="53" t="str">
        <f t="shared" ref="BX208:BX212" si="337">IF(BW208&lt;22,"NO HAY FATIGA",IF(BW208&lt;35,"FATIGA","FATIGA EXTREMA"))</f>
        <v>NO HAY FATIGA</v>
      </c>
      <c r="BY208" s="50">
        <v>0.0</v>
      </c>
      <c r="BZ208" s="50">
        <v>0.0</v>
      </c>
      <c r="CA208" s="50">
        <v>0.0</v>
      </c>
      <c r="CB208" s="50">
        <v>0.0</v>
      </c>
      <c r="CC208" s="50">
        <v>0.0</v>
      </c>
      <c r="CD208" s="50">
        <v>0.0</v>
      </c>
      <c r="CE208" s="50">
        <v>6.0</v>
      </c>
      <c r="CF208" s="50">
        <v>0.0</v>
      </c>
      <c r="CG208" s="50">
        <v>15.0</v>
      </c>
      <c r="CH208" s="50">
        <v>8.0</v>
      </c>
      <c r="CI208" s="50">
        <v>0.0</v>
      </c>
      <c r="CJ208" s="53">
        <f t="shared" si="254"/>
        <v>297</v>
      </c>
      <c r="CK208" s="53">
        <f t="shared" si="206"/>
        <v>6</v>
      </c>
      <c r="CL208" s="44" t="b">
        <f t="shared" si="207"/>
        <v>0</v>
      </c>
      <c r="CM208" s="44" t="b">
        <f t="shared" si="208"/>
        <v>0</v>
      </c>
      <c r="CN208" s="45" t="str">
        <f t="shared" si="209"/>
        <v>Nivel de actividad física bajo</v>
      </c>
      <c r="CO208" s="78">
        <v>0.020833333333333332</v>
      </c>
      <c r="CP208" s="50">
        <v>5.0</v>
      </c>
      <c r="CQ208" s="53">
        <f t="shared" ref="CQ208:CQ211" si="338">IF(CP208&gt;60,3,IF(CP208&gt;30,2,IF(CP208&gt;15,1,0)))</f>
        <v>0</v>
      </c>
      <c r="CR208" s="50">
        <v>6.0</v>
      </c>
      <c r="CS208" s="50">
        <v>30.0</v>
      </c>
      <c r="CT208" s="50">
        <v>5.5</v>
      </c>
      <c r="CU208" s="50">
        <v>6.0</v>
      </c>
      <c r="CV208" s="50">
        <v>0.0</v>
      </c>
      <c r="CW208" s="50">
        <v>1.0</v>
      </c>
      <c r="CX208" s="50">
        <v>1.0</v>
      </c>
      <c r="CY208" s="50">
        <v>0.0</v>
      </c>
      <c r="CZ208" s="50">
        <v>0.0</v>
      </c>
      <c r="DA208" s="50">
        <v>0.0</v>
      </c>
      <c r="DB208" s="50">
        <v>0.0</v>
      </c>
      <c r="DC208" s="50">
        <v>0.0</v>
      </c>
      <c r="DD208" s="50">
        <v>0.0</v>
      </c>
      <c r="DE208" s="57">
        <v>1.0</v>
      </c>
      <c r="DF208" s="50" t="s">
        <v>304</v>
      </c>
      <c r="DG208" s="97">
        <f t="shared" si="55"/>
        <v>3</v>
      </c>
      <c r="DH208" s="50">
        <v>0.0</v>
      </c>
      <c r="DI208" s="50">
        <v>0.0</v>
      </c>
      <c r="DJ208" s="50">
        <v>1.0</v>
      </c>
      <c r="DK208" s="50">
        <v>0.0</v>
      </c>
      <c r="DL208" s="68">
        <f t="shared" si="237"/>
        <v>109.0909091</v>
      </c>
      <c r="DM208" s="53">
        <f t="shared" si="238"/>
        <v>1</v>
      </c>
      <c r="DN208" s="53">
        <f t="shared" si="239"/>
        <v>1</v>
      </c>
      <c r="DO208" s="53">
        <f t="shared" si="240"/>
        <v>0</v>
      </c>
      <c r="DP208" s="53">
        <f t="shared" si="241"/>
        <v>1</v>
      </c>
      <c r="DQ208" s="53">
        <f t="shared" si="242"/>
        <v>0</v>
      </c>
      <c r="DR208" s="53">
        <f t="shared" ref="DR208:DS208" si="334">(DH208)</f>
        <v>0</v>
      </c>
      <c r="DS208" s="53">
        <f t="shared" si="334"/>
        <v>0</v>
      </c>
      <c r="DT208" s="53">
        <f t="shared" si="41"/>
        <v>3</v>
      </c>
      <c r="DU208" s="53" t="str">
        <f t="shared" si="244"/>
        <v>good sleep quality</v>
      </c>
      <c r="DV208" s="50">
        <v>1.0</v>
      </c>
      <c r="DW208" s="50" t="s">
        <v>617</v>
      </c>
      <c r="DX208" s="50" t="s">
        <v>146</v>
      </c>
      <c r="DY208" s="50">
        <v>2.0</v>
      </c>
      <c r="DZ208" s="50" t="s">
        <v>131</v>
      </c>
      <c r="EA208" s="50" t="s">
        <v>147</v>
      </c>
      <c r="EB208" s="50" t="s">
        <v>172</v>
      </c>
      <c r="EC208" s="36" t="s">
        <v>133</v>
      </c>
      <c r="ED208" s="36" t="s">
        <v>133</v>
      </c>
      <c r="EE208" s="50" t="s">
        <v>151</v>
      </c>
      <c r="EF208" s="36" t="s">
        <v>133</v>
      </c>
      <c r="EG208" s="36" t="s">
        <v>133</v>
      </c>
      <c r="EH208" s="47">
        <f t="shared" si="24"/>
        <v>23.11111111</v>
      </c>
    </row>
    <row r="209" ht="15.75" customHeight="1">
      <c r="A209" s="85" t="s">
        <v>665</v>
      </c>
      <c r="B209" s="57" t="s">
        <v>129</v>
      </c>
      <c r="C209" s="94">
        <v>45591.0</v>
      </c>
      <c r="D209" s="64">
        <v>72.0</v>
      </c>
      <c r="E209" s="50" t="s">
        <v>130</v>
      </c>
      <c r="F209" s="50">
        <v>152.0</v>
      </c>
      <c r="G209" s="91">
        <v>68.0</v>
      </c>
      <c r="H209" s="50" t="s">
        <v>131</v>
      </c>
      <c r="I209" s="50">
        <v>5.0</v>
      </c>
      <c r="J209" s="76">
        <v>45413.0</v>
      </c>
      <c r="K209" s="50" t="s">
        <v>131</v>
      </c>
      <c r="L209" s="50">
        <v>1.0</v>
      </c>
      <c r="M209" s="76">
        <v>44562.0</v>
      </c>
      <c r="N209" s="50">
        <v>0.0</v>
      </c>
      <c r="O209" s="55" t="s">
        <v>133</v>
      </c>
      <c r="P209" s="50" t="s">
        <v>132</v>
      </c>
      <c r="Q209" s="36" t="s">
        <v>133</v>
      </c>
      <c r="R209" s="36" t="s">
        <v>133</v>
      </c>
      <c r="S209" s="36" t="s">
        <v>133</v>
      </c>
      <c r="T209" s="36" t="s">
        <v>133</v>
      </c>
      <c r="U209" s="36" t="s">
        <v>133</v>
      </c>
      <c r="V209" s="36" t="str">
        <f t="shared" si="178"/>
        <v>Paciente ambulatorio</v>
      </c>
      <c r="W209" s="50" t="s">
        <v>143</v>
      </c>
      <c r="X209" s="50" t="s">
        <v>132</v>
      </c>
      <c r="Y209" s="50">
        <v>2.0</v>
      </c>
      <c r="Z209" s="50">
        <v>2.0</v>
      </c>
      <c r="AA209" s="50">
        <v>3.0</v>
      </c>
      <c r="AB209" s="50">
        <v>3.0</v>
      </c>
      <c r="AC209" s="50">
        <v>3.0</v>
      </c>
      <c r="AD209" s="50">
        <v>2.0</v>
      </c>
      <c r="AE209" s="50">
        <v>2.0</v>
      </c>
      <c r="AF209" s="50">
        <v>3.0</v>
      </c>
      <c r="AG209" s="50">
        <v>3.0</v>
      </c>
      <c r="AH209" s="50">
        <v>3.0</v>
      </c>
      <c r="AI209" s="50">
        <v>3.0</v>
      </c>
      <c r="AJ209" s="50">
        <v>3.0</v>
      </c>
      <c r="AK209" s="36" t="s">
        <v>133</v>
      </c>
      <c r="AL209" s="79" t="s">
        <v>131</v>
      </c>
      <c r="AM209" s="50" t="s">
        <v>132</v>
      </c>
      <c r="AN209" s="50" t="s">
        <v>132</v>
      </c>
      <c r="AO209" s="50" t="s">
        <v>132</v>
      </c>
      <c r="AP209" s="50" t="s">
        <v>132</v>
      </c>
      <c r="AQ209" s="50" t="s">
        <v>132</v>
      </c>
      <c r="AR209" s="50" t="s">
        <v>132</v>
      </c>
      <c r="AS209" s="50" t="s">
        <v>131</v>
      </c>
      <c r="AT209" s="50" t="s">
        <v>132</v>
      </c>
      <c r="AU209" s="50" t="s">
        <v>132</v>
      </c>
      <c r="AV209" s="50" t="s">
        <v>132</v>
      </c>
      <c r="AW209" s="36" t="s">
        <v>133</v>
      </c>
      <c r="AX209" s="50" t="s">
        <v>132</v>
      </c>
      <c r="AY209" s="36" t="s">
        <v>133</v>
      </c>
      <c r="AZ209" s="36" t="s">
        <v>133</v>
      </c>
      <c r="BA209" s="36" t="s">
        <v>133</v>
      </c>
      <c r="BB209" s="50" t="s">
        <v>145</v>
      </c>
      <c r="BC209" s="36" t="s">
        <v>133</v>
      </c>
      <c r="BD209" s="79">
        <v>2.0</v>
      </c>
      <c r="BE209" s="50">
        <v>1.0</v>
      </c>
      <c r="BF209" s="50">
        <v>1.0</v>
      </c>
      <c r="BG209" s="50">
        <v>2.0</v>
      </c>
      <c r="BH209" s="50">
        <v>2.0</v>
      </c>
      <c r="BI209" s="44" t="str">
        <f t="shared" si="205"/>
        <v>21122</v>
      </c>
      <c r="BJ209" s="50">
        <v>80.0</v>
      </c>
      <c r="BK209" s="50">
        <v>2.0</v>
      </c>
      <c r="BL209" s="50">
        <v>2.0</v>
      </c>
      <c r="BM209" s="50">
        <v>2.0</v>
      </c>
      <c r="BN209" s="50">
        <v>3.0</v>
      </c>
      <c r="BO209" s="50">
        <v>2.0</v>
      </c>
      <c r="BP209" s="50">
        <v>2.0</v>
      </c>
      <c r="BQ209" s="50">
        <v>2.0</v>
      </c>
      <c r="BR209" s="50">
        <v>2.0</v>
      </c>
      <c r="BS209" s="50">
        <v>2.0</v>
      </c>
      <c r="BT209" s="50">
        <v>3.0</v>
      </c>
      <c r="BU209" s="53">
        <f t="shared" si="335"/>
        <v>3</v>
      </c>
      <c r="BV209" s="53">
        <f t="shared" si="336"/>
        <v>3</v>
      </c>
      <c r="BW209" s="53">
        <f t="shared" si="183"/>
        <v>22</v>
      </c>
      <c r="BX209" s="53" t="str">
        <f t="shared" si="337"/>
        <v>FATIGA</v>
      </c>
      <c r="BY209" s="50">
        <v>0.0</v>
      </c>
      <c r="BZ209" s="50">
        <v>0.0</v>
      </c>
      <c r="CA209" s="50">
        <v>0.0</v>
      </c>
      <c r="CB209" s="50">
        <v>0.0</v>
      </c>
      <c r="CC209" s="50">
        <v>0.0</v>
      </c>
      <c r="CD209" s="50">
        <v>0.0</v>
      </c>
      <c r="CE209" s="50">
        <v>3.0</v>
      </c>
      <c r="CF209" s="50">
        <v>0.0</v>
      </c>
      <c r="CG209" s="50">
        <v>15.0</v>
      </c>
      <c r="CH209" s="50">
        <v>5.0</v>
      </c>
      <c r="CI209" s="50">
        <v>0.0</v>
      </c>
      <c r="CJ209" s="53">
        <f t="shared" si="254"/>
        <v>148.5</v>
      </c>
      <c r="CK209" s="53">
        <f t="shared" si="206"/>
        <v>3</v>
      </c>
      <c r="CL209" s="44" t="b">
        <f t="shared" si="207"/>
        <v>0</v>
      </c>
      <c r="CM209" s="44" t="b">
        <f t="shared" si="208"/>
        <v>0</v>
      </c>
      <c r="CN209" s="45" t="str">
        <f t="shared" si="209"/>
        <v>Nivel de actividad física bajo</v>
      </c>
      <c r="CO209" s="50">
        <v>21.0</v>
      </c>
      <c r="CP209" s="50">
        <v>120.0</v>
      </c>
      <c r="CQ209" s="53">
        <f t="shared" si="338"/>
        <v>3</v>
      </c>
      <c r="CR209" s="50">
        <v>8.0</v>
      </c>
      <c r="CS209" s="50">
        <v>0.0</v>
      </c>
      <c r="CT209" s="50">
        <v>11.0</v>
      </c>
      <c r="CU209" s="50">
        <v>8.0</v>
      </c>
      <c r="CV209" s="50">
        <v>3.0</v>
      </c>
      <c r="CW209" s="50">
        <v>3.0</v>
      </c>
      <c r="CX209" s="50">
        <v>3.0</v>
      </c>
      <c r="CY209" s="50">
        <v>0.0</v>
      </c>
      <c r="CZ209" s="50">
        <v>1.0</v>
      </c>
      <c r="DA209" s="50">
        <v>0.0</v>
      </c>
      <c r="DB209" s="50">
        <v>2.0</v>
      </c>
      <c r="DC209" s="50">
        <v>0.0</v>
      </c>
      <c r="DD209" s="50">
        <v>0.0</v>
      </c>
      <c r="DE209" s="57">
        <v>0.0</v>
      </c>
      <c r="DF209" s="36" t="s">
        <v>133</v>
      </c>
      <c r="DG209" s="97">
        <f t="shared" si="55"/>
        <v>9</v>
      </c>
      <c r="DH209" s="50">
        <v>1.0</v>
      </c>
      <c r="DI209" s="50">
        <v>0.0</v>
      </c>
      <c r="DJ209" s="50">
        <v>3.0</v>
      </c>
      <c r="DK209" s="50">
        <v>2.0</v>
      </c>
      <c r="DL209" s="68">
        <f t="shared" si="237"/>
        <v>72.72727273</v>
      </c>
      <c r="DM209" s="53">
        <f t="shared" si="238"/>
        <v>0</v>
      </c>
      <c r="DN209" s="53">
        <f t="shared" si="239"/>
        <v>1</v>
      </c>
      <c r="DO209" s="53">
        <f t="shared" si="240"/>
        <v>3</v>
      </c>
      <c r="DP209" s="53">
        <f t="shared" si="241"/>
        <v>3</v>
      </c>
      <c r="DQ209" s="53">
        <f t="shared" si="242"/>
        <v>2</v>
      </c>
      <c r="DR209" s="53">
        <f t="shared" ref="DR209:DS209" si="339">(DH209)</f>
        <v>1</v>
      </c>
      <c r="DS209" s="53">
        <f t="shared" si="339"/>
        <v>0</v>
      </c>
      <c r="DT209" s="53">
        <f t="shared" si="41"/>
        <v>10</v>
      </c>
      <c r="DU209" s="53" t="str">
        <f t="shared" si="244"/>
        <v>poor sleep quality</v>
      </c>
      <c r="DV209" s="50">
        <v>1.0</v>
      </c>
      <c r="DW209" s="50" t="s">
        <v>136</v>
      </c>
      <c r="DX209" s="50" t="s">
        <v>146</v>
      </c>
      <c r="DY209" s="50">
        <v>2.0</v>
      </c>
      <c r="DZ209" s="50" t="s">
        <v>131</v>
      </c>
      <c r="EA209" s="50" t="s">
        <v>162</v>
      </c>
      <c r="EB209" s="50" t="s">
        <v>261</v>
      </c>
      <c r="EC209" s="50" t="s">
        <v>131</v>
      </c>
      <c r="ED209" s="50" t="s">
        <v>132</v>
      </c>
      <c r="EE209" s="50" t="s">
        <v>140</v>
      </c>
      <c r="EF209" s="35">
        <f>C209-M209</f>
        <v>1029</v>
      </c>
      <c r="EG209" s="36" t="s">
        <v>133</v>
      </c>
      <c r="EH209" s="47">
        <f t="shared" si="24"/>
        <v>29.43213296</v>
      </c>
    </row>
    <row r="210" ht="15.75" customHeight="1">
      <c r="A210" s="85" t="s">
        <v>666</v>
      </c>
      <c r="B210" s="57" t="s">
        <v>175</v>
      </c>
      <c r="C210" s="95">
        <v>45598.0</v>
      </c>
      <c r="D210" s="64">
        <v>38.0</v>
      </c>
      <c r="E210" s="85" t="s">
        <v>153</v>
      </c>
      <c r="F210" s="50">
        <v>171.0</v>
      </c>
      <c r="G210" s="91">
        <v>100.0</v>
      </c>
      <c r="H210" s="85" t="s">
        <v>131</v>
      </c>
      <c r="I210" s="50">
        <v>5.0</v>
      </c>
      <c r="J210" s="76">
        <v>45339.0</v>
      </c>
      <c r="K210" s="57" t="s">
        <v>133</v>
      </c>
      <c r="L210" s="50">
        <v>1.0</v>
      </c>
      <c r="M210" s="55">
        <v>44036.0</v>
      </c>
      <c r="N210" s="50">
        <v>0.0</v>
      </c>
      <c r="O210" s="55" t="s">
        <v>133</v>
      </c>
      <c r="P210" s="85" t="s">
        <v>132</v>
      </c>
      <c r="Q210" s="36" t="s">
        <v>133</v>
      </c>
      <c r="R210" s="36" t="s">
        <v>133</v>
      </c>
      <c r="S210" s="36" t="s">
        <v>133</v>
      </c>
      <c r="T210" s="36" t="s">
        <v>133</v>
      </c>
      <c r="U210" s="36" t="s">
        <v>133</v>
      </c>
      <c r="V210" s="36" t="str">
        <f t="shared" si="178"/>
        <v>Paciente ambulatorio</v>
      </c>
      <c r="W210" s="50" t="s">
        <v>143</v>
      </c>
      <c r="X210" s="85" t="s">
        <v>132</v>
      </c>
      <c r="Y210" s="50">
        <v>3.0</v>
      </c>
      <c r="Z210" s="50">
        <v>1.0</v>
      </c>
      <c r="AA210" s="50">
        <v>3.0</v>
      </c>
      <c r="AB210" s="50">
        <v>3.0</v>
      </c>
      <c r="AC210" s="50">
        <v>2.0</v>
      </c>
      <c r="AD210" s="50">
        <v>3.0</v>
      </c>
      <c r="AE210" s="50">
        <v>3.0</v>
      </c>
      <c r="AF210" s="50">
        <v>1.0</v>
      </c>
      <c r="AG210" s="85">
        <v>3.0</v>
      </c>
      <c r="AH210" s="85">
        <v>3.0</v>
      </c>
      <c r="AI210" s="85">
        <v>1.0</v>
      </c>
      <c r="AJ210" s="50">
        <v>1.0</v>
      </c>
      <c r="AK210" s="50" t="s">
        <v>667</v>
      </c>
      <c r="AL210" s="85" t="s">
        <v>132</v>
      </c>
      <c r="AM210" s="50" t="s">
        <v>131</v>
      </c>
      <c r="AN210" s="85" t="s">
        <v>132</v>
      </c>
      <c r="AO210" s="85" t="s">
        <v>132</v>
      </c>
      <c r="AP210" s="85" t="s">
        <v>132</v>
      </c>
      <c r="AQ210" s="85" t="s">
        <v>132</v>
      </c>
      <c r="AR210" s="85" t="s">
        <v>132</v>
      </c>
      <c r="AS210" s="85" t="s">
        <v>132</v>
      </c>
      <c r="AT210" s="85" t="s">
        <v>132</v>
      </c>
      <c r="AU210" s="85" t="s">
        <v>132</v>
      </c>
      <c r="AV210" s="50" t="s">
        <v>131</v>
      </c>
      <c r="AW210" s="50" t="s">
        <v>668</v>
      </c>
      <c r="AX210" s="50" t="s">
        <v>131</v>
      </c>
      <c r="AY210" s="50">
        <v>4.0</v>
      </c>
      <c r="AZ210" s="50">
        <v>12.0</v>
      </c>
      <c r="BA210" s="36" t="s">
        <v>133</v>
      </c>
      <c r="BB210" s="85" t="s">
        <v>145</v>
      </c>
      <c r="BC210" s="36" t="s">
        <v>133</v>
      </c>
      <c r="BD210" s="79">
        <v>1.0</v>
      </c>
      <c r="BE210" s="85">
        <v>1.0</v>
      </c>
      <c r="BF210" s="50">
        <v>2.0</v>
      </c>
      <c r="BG210" s="50">
        <v>3.0</v>
      </c>
      <c r="BH210" s="50">
        <v>3.0</v>
      </c>
      <c r="BI210" s="44" t="str">
        <f t="shared" si="205"/>
        <v>11233</v>
      </c>
      <c r="BJ210" s="85">
        <v>80.0</v>
      </c>
      <c r="BK210" s="50">
        <v>2.0</v>
      </c>
      <c r="BL210" s="85">
        <v>2.0</v>
      </c>
      <c r="BM210" s="50">
        <v>1.0</v>
      </c>
      <c r="BN210" s="50">
        <v>2.0</v>
      </c>
      <c r="BO210" s="85">
        <v>1.0</v>
      </c>
      <c r="BP210" s="85">
        <v>1.0</v>
      </c>
      <c r="BQ210" s="50">
        <v>3.0</v>
      </c>
      <c r="BR210" s="50">
        <v>1.0</v>
      </c>
      <c r="BS210" s="85">
        <v>1.0</v>
      </c>
      <c r="BT210" s="50">
        <v>2.0</v>
      </c>
      <c r="BU210" s="53">
        <f t="shared" si="335"/>
        <v>4</v>
      </c>
      <c r="BV210" s="53">
        <f t="shared" si="336"/>
        <v>4</v>
      </c>
      <c r="BW210" s="53">
        <f t="shared" si="183"/>
        <v>18</v>
      </c>
      <c r="BX210" s="53" t="str">
        <f t="shared" si="337"/>
        <v>NO HAY FATIGA</v>
      </c>
      <c r="BY210" s="50">
        <v>2.0</v>
      </c>
      <c r="BZ210" s="85">
        <v>0.0</v>
      </c>
      <c r="CA210" s="50">
        <v>30.0</v>
      </c>
      <c r="CB210" s="50">
        <v>2.0</v>
      </c>
      <c r="CC210" s="50">
        <v>0.0</v>
      </c>
      <c r="CD210" s="50">
        <v>40.0</v>
      </c>
      <c r="CE210" s="50">
        <v>6.0</v>
      </c>
      <c r="CF210" s="85">
        <v>0.0</v>
      </c>
      <c r="CG210" s="50">
        <v>30.0</v>
      </c>
      <c r="CH210" s="85">
        <v>2.0</v>
      </c>
      <c r="CI210" s="85">
        <v>0.0</v>
      </c>
      <c r="CJ210" s="53">
        <f t="shared" si="254"/>
        <v>1394</v>
      </c>
      <c r="CK210" s="53">
        <f t="shared" si="206"/>
        <v>10</v>
      </c>
      <c r="CL210" s="44" t="b">
        <f t="shared" si="207"/>
        <v>0</v>
      </c>
      <c r="CM210" s="44" t="str">
        <f t="shared" si="208"/>
        <v>Nivel de actividad física moderado</v>
      </c>
      <c r="CN210" s="45" t="str">
        <f t="shared" si="209"/>
        <v>Nivel de actividad física moderado</v>
      </c>
      <c r="CO210" s="50">
        <v>24.0</v>
      </c>
      <c r="CP210" s="50">
        <v>10.0</v>
      </c>
      <c r="CQ210" s="53">
        <f t="shared" si="338"/>
        <v>0</v>
      </c>
      <c r="CR210" s="85">
        <v>6.0</v>
      </c>
      <c r="CS210" s="50">
        <v>0.0</v>
      </c>
      <c r="CT210" s="50">
        <v>6.0</v>
      </c>
      <c r="CU210" s="50">
        <v>4.0</v>
      </c>
      <c r="CV210" s="50">
        <v>1.0</v>
      </c>
      <c r="CW210" s="50">
        <v>2.0</v>
      </c>
      <c r="CX210" s="50">
        <v>0.0</v>
      </c>
      <c r="CY210" s="85">
        <v>0.0</v>
      </c>
      <c r="CZ210" s="50">
        <v>2.0</v>
      </c>
      <c r="DA210" s="50">
        <v>3.0</v>
      </c>
      <c r="DB210" s="50">
        <v>0.0</v>
      </c>
      <c r="DC210" s="50">
        <v>3.0</v>
      </c>
      <c r="DD210" s="50">
        <v>0.0</v>
      </c>
      <c r="DE210" s="50">
        <v>3.0</v>
      </c>
      <c r="DF210" s="50" t="s">
        <v>669</v>
      </c>
      <c r="DG210" s="97">
        <f t="shared" si="55"/>
        <v>13</v>
      </c>
      <c r="DH210" s="50">
        <v>1.0</v>
      </c>
      <c r="DI210" s="85">
        <v>0.0</v>
      </c>
      <c r="DJ210" s="85">
        <v>3.0</v>
      </c>
      <c r="DK210" s="85">
        <v>0.0</v>
      </c>
      <c r="DL210" s="68">
        <f t="shared" si="237"/>
        <v>66.66666667</v>
      </c>
      <c r="DM210" s="53">
        <f t="shared" si="238"/>
        <v>3</v>
      </c>
      <c r="DN210" s="53">
        <f t="shared" si="239"/>
        <v>2</v>
      </c>
      <c r="DO210" s="53">
        <f t="shared" si="240"/>
        <v>1</v>
      </c>
      <c r="DP210" s="53">
        <f t="shared" si="241"/>
        <v>2</v>
      </c>
      <c r="DQ210" s="53">
        <f t="shared" si="242"/>
        <v>2</v>
      </c>
      <c r="DR210" s="53">
        <f t="shared" ref="DR210:DS210" si="340">(DH210)</f>
        <v>1</v>
      </c>
      <c r="DS210" s="53">
        <f t="shared" si="340"/>
        <v>0</v>
      </c>
      <c r="DT210" s="53">
        <f t="shared" si="41"/>
        <v>11</v>
      </c>
      <c r="DU210" s="53" t="str">
        <f t="shared" si="244"/>
        <v>poor sleep quality</v>
      </c>
      <c r="DV210" s="50">
        <v>2.0</v>
      </c>
      <c r="DW210" s="50" t="s">
        <v>670</v>
      </c>
      <c r="DX210" s="85" t="s">
        <v>146</v>
      </c>
      <c r="DY210" s="50">
        <v>1.0</v>
      </c>
      <c r="DZ210" s="85" t="s">
        <v>131</v>
      </c>
      <c r="EA210" s="85" t="s">
        <v>167</v>
      </c>
      <c r="EB210" s="85" t="s">
        <v>139</v>
      </c>
      <c r="EC210" s="50" t="s">
        <v>131</v>
      </c>
      <c r="ED210" s="85" t="s">
        <v>131</v>
      </c>
      <c r="EE210" s="50" t="s">
        <v>203</v>
      </c>
      <c r="EF210" s="36" t="s">
        <v>133</v>
      </c>
      <c r="EG210" s="36" t="s">
        <v>133</v>
      </c>
      <c r="EH210" s="47">
        <f t="shared" si="24"/>
        <v>34.19855682</v>
      </c>
    </row>
    <row r="211" ht="15.75" customHeight="1">
      <c r="A211" s="50" t="s">
        <v>671</v>
      </c>
      <c r="B211" s="57" t="s">
        <v>175</v>
      </c>
      <c r="C211" s="95">
        <v>45598.0</v>
      </c>
      <c r="D211" s="64">
        <v>45.0</v>
      </c>
      <c r="E211" s="50" t="s">
        <v>130</v>
      </c>
      <c r="F211" s="50">
        <v>150.0</v>
      </c>
      <c r="G211" s="91">
        <v>40.0</v>
      </c>
      <c r="H211" s="85" t="s">
        <v>131</v>
      </c>
      <c r="I211" s="50">
        <v>3.0</v>
      </c>
      <c r="J211" s="55" t="s">
        <v>133</v>
      </c>
      <c r="K211" s="85" t="s">
        <v>131</v>
      </c>
      <c r="L211" s="50">
        <v>1.0</v>
      </c>
      <c r="M211" s="76">
        <v>44108.0</v>
      </c>
      <c r="N211" s="50">
        <v>0.0</v>
      </c>
      <c r="O211" s="55" t="s">
        <v>133</v>
      </c>
      <c r="P211" s="85" t="s">
        <v>132</v>
      </c>
      <c r="Q211" s="36" t="s">
        <v>133</v>
      </c>
      <c r="R211" s="36" t="s">
        <v>133</v>
      </c>
      <c r="S211" s="36" t="s">
        <v>133</v>
      </c>
      <c r="T211" s="36" t="s">
        <v>133</v>
      </c>
      <c r="U211" s="36" t="s">
        <v>133</v>
      </c>
      <c r="V211" s="36" t="str">
        <f t="shared" si="178"/>
        <v>Paciente ambulatorio</v>
      </c>
      <c r="W211" s="85" t="s">
        <v>176</v>
      </c>
      <c r="X211" s="85" t="s">
        <v>132</v>
      </c>
      <c r="Y211" s="50">
        <v>1.0</v>
      </c>
      <c r="Z211" s="85">
        <v>1.0</v>
      </c>
      <c r="AA211" s="50">
        <v>2.0</v>
      </c>
      <c r="AB211" s="50">
        <v>2.0</v>
      </c>
      <c r="AC211" s="85">
        <v>1.0</v>
      </c>
      <c r="AD211" s="85">
        <v>2.0</v>
      </c>
      <c r="AE211" s="85">
        <v>2.0</v>
      </c>
      <c r="AF211" s="50">
        <v>1.0</v>
      </c>
      <c r="AG211" s="50">
        <v>1.0</v>
      </c>
      <c r="AH211" s="85">
        <v>3.0</v>
      </c>
      <c r="AI211" s="85">
        <v>1.0</v>
      </c>
      <c r="AJ211" s="85">
        <v>3.0</v>
      </c>
      <c r="AK211" s="50" t="s">
        <v>672</v>
      </c>
      <c r="AL211" s="85" t="s">
        <v>132</v>
      </c>
      <c r="AM211" s="85" t="s">
        <v>132</v>
      </c>
      <c r="AN211" s="85" t="s">
        <v>132</v>
      </c>
      <c r="AO211" s="85" t="s">
        <v>132</v>
      </c>
      <c r="AP211" s="85" t="s">
        <v>132</v>
      </c>
      <c r="AQ211" s="85" t="s">
        <v>132</v>
      </c>
      <c r="AR211" s="85" t="s">
        <v>132</v>
      </c>
      <c r="AS211" s="85" t="s">
        <v>132</v>
      </c>
      <c r="AT211" s="85" t="s">
        <v>132</v>
      </c>
      <c r="AU211" s="85" t="s">
        <v>132</v>
      </c>
      <c r="AV211" s="85" t="s">
        <v>132</v>
      </c>
      <c r="AW211" s="57" t="s">
        <v>133</v>
      </c>
      <c r="AX211" s="82" t="s">
        <v>132</v>
      </c>
      <c r="AY211" s="36" t="s">
        <v>133</v>
      </c>
      <c r="AZ211" s="36" t="s">
        <v>133</v>
      </c>
      <c r="BA211" s="36" t="s">
        <v>133</v>
      </c>
      <c r="BB211" s="85" t="s">
        <v>145</v>
      </c>
      <c r="BC211" s="36" t="s">
        <v>133</v>
      </c>
      <c r="BD211" s="79">
        <v>1.0</v>
      </c>
      <c r="BE211" s="85">
        <v>1.0</v>
      </c>
      <c r="BF211" s="50">
        <v>2.0</v>
      </c>
      <c r="BG211" s="85">
        <v>2.0</v>
      </c>
      <c r="BH211" s="50">
        <v>4.0</v>
      </c>
      <c r="BI211" s="44" t="str">
        <f t="shared" si="205"/>
        <v>11224</v>
      </c>
      <c r="BJ211" s="50">
        <v>90.0</v>
      </c>
      <c r="BK211" s="50">
        <v>2.0</v>
      </c>
      <c r="BL211" s="50">
        <v>2.0</v>
      </c>
      <c r="BM211" s="50">
        <v>1.0</v>
      </c>
      <c r="BN211" s="50">
        <v>2.0</v>
      </c>
      <c r="BO211" s="50">
        <v>2.0</v>
      </c>
      <c r="BP211" s="85">
        <v>2.0</v>
      </c>
      <c r="BQ211" s="50">
        <v>3.0</v>
      </c>
      <c r="BR211" s="85">
        <v>2.0</v>
      </c>
      <c r="BS211" s="50">
        <v>4.0</v>
      </c>
      <c r="BT211" s="85">
        <v>2.0</v>
      </c>
      <c r="BU211" s="53">
        <f t="shared" si="335"/>
        <v>4</v>
      </c>
      <c r="BV211" s="53">
        <f t="shared" si="336"/>
        <v>4</v>
      </c>
      <c r="BW211" s="53">
        <f t="shared" si="183"/>
        <v>24</v>
      </c>
      <c r="BX211" s="53" t="str">
        <f t="shared" si="337"/>
        <v>FATIGA</v>
      </c>
      <c r="BY211" s="85">
        <v>0.0</v>
      </c>
      <c r="BZ211" s="85">
        <v>0.0</v>
      </c>
      <c r="CA211" s="85">
        <v>0.0</v>
      </c>
      <c r="CB211" s="50">
        <v>2.0</v>
      </c>
      <c r="CC211" s="50">
        <v>1.0</v>
      </c>
      <c r="CD211" s="85">
        <v>0.0</v>
      </c>
      <c r="CE211" s="50">
        <v>3.0</v>
      </c>
      <c r="CF211" s="85">
        <v>0.0</v>
      </c>
      <c r="CG211" s="50">
        <v>15.0</v>
      </c>
      <c r="CH211" s="50">
        <v>0.0</v>
      </c>
      <c r="CI211" s="50">
        <v>20.0</v>
      </c>
      <c r="CJ211" s="53">
        <f t="shared" si="254"/>
        <v>628.5</v>
      </c>
      <c r="CK211" s="53">
        <f t="shared" si="206"/>
        <v>5</v>
      </c>
      <c r="CL211" s="44" t="b">
        <f t="shared" si="207"/>
        <v>0</v>
      </c>
      <c r="CM211" s="44" t="b">
        <f t="shared" si="208"/>
        <v>0</v>
      </c>
      <c r="CN211" s="45" t="str">
        <f t="shared" si="209"/>
        <v>Nivel de actividad física bajo</v>
      </c>
      <c r="CO211" s="78">
        <v>0.9791666666666666</v>
      </c>
      <c r="CP211" s="50">
        <v>90.0</v>
      </c>
      <c r="CQ211" s="53">
        <f t="shared" si="338"/>
        <v>3</v>
      </c>
      <c r="CR211" s="85">
        <v>8.0</v>
      </c>
      <c r="CS211" s="85">
        <v>0.0</v>
      </c>
      <c r="CT211" s="50">
        <v>8.5</v>
      </c>
      <c r="CU211" s="50">
        <v>6.0</v>
      </c>
      <c r="CV211" s="50">
        <v>3.0</v>
      </c>
      <c r="CW211" s="85">
        <v>3.0</v>
      </c>
      <c r="CX211" s="50">
        <v>0.0</v>
      </c>
      <c r="CY211" s="50">
        <v>1.0</v>
      </c>
      <c r="CZ211" s="85">
        <v>0.0</v>
      </c>
      <c r="DA211" s="50">
        <v>2.0</v>
      </c>
      <c r="DB211" s="50">
        <v>3.0</v>
      </c>
      <c r="DC211" s="50">
        <v>3.0</v>
      </c>
      <c r="DD211" s="50">
        <v>1.0</v>
      </c>
      <c r="DE211" s="50">
        <v>2.0</v>
      </c>
      <c r="DF211" s="50" t="s">
        <v>310</v>
      </c>
      <c r="DG211" s="97">
        <f t="shared" si="55"/>
        <v>15</v>
      </c>
      <c r="DH211" s="50">
        <v>2.0</v>
      </c>
      <c r="DI211" s="50">
        <v>0.0</v>
      </c>
      <c r="DJ211" s="85">
        <v>3.0</v>
      </c>
      <c r="DK211" s="50">
        <v>3.0</v>
      </c>
      <c r="DL211" s="68">
        <f t="shared" si="237"/>
        <v>70.58823529</v>
      </c>
      <c r="DM211" s="53">
        <f t="shared" si="238"/>
        <v>1</v>
      </c>
      <c r="DN211" s="53">
        <f t="shared" si="239"/>
        <v>2</v>
      </c>
      <c r="DO211" s="53">
        <f t="shared" si="240"/>
        <v>3</v>
      </c>
      <c r="DP211" s="53">
        <f t="shared" si="241"/>
        <v>3</v>
      </c>
      <c r="DQ211" s="53">
        <f t="shared" si="242"/>
        <v>2</v>
      </c>
      <c r="DR211" s="53">
        <f t="shared" ref="DR211:DS211" si="341">(DH211)</f>
        <v>2</v>
      </c>
      <c r="DS211" s="53">
        <f t="shared" si="341"/>
        <v>0</v>
      </c>
      <c r="DT211" s="53">
        <f t="shared" si="41"/>
        <v>13</v>
      </c>
      <c r="DU211" s="53" t="str">
        <f t="shared" si="244"/>
        <v>poor sleep quality</v>
      </c>
      <c r="DV211" s="50">
        <v>2.0</v>
      </c>
      <c r="DW211" s="50" t="s">
        <v>149</v>
      </c>
      <c r="DX211" s="50" t="s">
        <v>213</v>
      </c>
      <c r="DY211" s="50">
        <v>1.0</v>
      </c>
      <c r="DZ211" s="85" t="s">
        <v>131</v>
      </c>
      <c r="EA211" s="50" t="s">
        <v>162</v>
      </c>
      <c r="EB211" s="50" t="s">
        <v>230</v>
      </c>
      <c r="EC211" s="50" t="s">
        <v>131</v>
      </c>
      <c r="ED211" s="50" t="s">
        <v>132</v>
      </c>
      <c r="EE211" s="50" t="s">
        <v>151</v>
      </c>
      <c r="EF211" s="35">
        <f>C211-M211</f>
        <v>1490</v>
      </c>
      <c r="EG211" s="36" t="s">
        <v>133</v>
      </c>
      <c r="EH211" s="47">
        <f t="shared" si="24"/>
        <v>17.77777778</v>
      </c>
    </row>
    <row r="212" ht="15.75" customHeight="1">
      <c r="A212" s="85" t="s">
        <v>673</v>
      </c>
      <c r="B212" s="57" t="s">
        <v>129</v>
      </c>
      <c r="C212" s="98">
        <v>45598.0</v>
      </c>
      <c r="D212" s="64">
        <v>46.0</v>
      </c>
      <c r="E212" s="50" t="s">
        <v>153</v>
      </c>
      <c r="F212" s="50">
        <v>167.0</v>
      </c>
      <c r="G212" s="91">
        <v>71.0</v>
      </c>
      <c r="H212" s="50" t="s">
        <v>131</v>
      </c>
      <c r="I212" s="50">
        <v>2.0</v>
      </c>
      <c r="J212" s="55" t="s">
        <v>133</v>
      </c>
      <c r="K212" s="50" t="s">
        <v>132</v>
      </c>
      <c r="L212" s="57" t="s">
        <v>133</v>
      </c>
      <c r="M212" s="55" t="s">
        <v>133</v>
      </c>
      <c r="N212" s="57" t="s">
        <v>133</v>
      </c>
      <c r="O212" s="55" t="s">
        <v>133</v>
      </c>
      <c r="P212" s="57" t="s">
        <v>133</v>
      </c>
      <c r="Q212" s="36" t="s">
        <v>133</v>
      </c>
      <c r="R212" s="36" t="s">
        <v>133</v>
      </c>
      <c r="S212" s="36" t="s">
        <v>133</v>
      </c>
      <c r="T212" s="36" t="s">
        <v>133</v>
      </c>
      <c r="U212" s="36" t="s">
        <v>133</v>
      </c>
      <c r="V212" s="36" t="str">
        <f t="shared" si="178"/>
        <v>No infectado</v>
      </c>
      <c r="W212" s="36" t="s">
        <v>133</v>
      </c>
      <c r="X212" s="36" t="s">
        <v>133</v>
      </c>
      <c r="Y212" s="36" t="s">
        <v>133</v>
      </c>
      <c r="Z212" s="36" t="s">
        <v>133</v>
      </c>
      <c r="AA212" s="36" t="s">
        <v>133</v>
      </c>
      <c r="AB212" s="36" t="s">
        <v>133</v>
      </c>
      <c r="AC212" s="36" t="s">
        <v>133</v>
      </c>
      <c r="AD212" s="36" t="s">
        <v>133</v>
      </c>
      <c r="AE212" s="36" t="s">
        <v>133</v>
      </c>
      <c r="AF212" s="36" t="s">
        <v>133</v>
      </c>
      <c r="AG212" s="36" t="s">
        <v>133</v>
      </c>
      <c r="AH212" s="36" t="s">
        <v>133</v>
      </c>
      <c r="AI212" s="36" t="s">
        <v>133</v>
      </c>
      <c r="AJ212" s="36" t="s">
        <v>133</v>
      </c>
      <c r="AK212" s="36" t="s">
        <v>133</v>
      </c>
      <c r="AL212" s="79" t="s">
        <v>132</v>
      </c>
      <c r="AM212" s="50" t="s">
        <v>132</v>
      </c>
      <c r="AN212" s="50" t="s">
        <v>132</v>
      </c>
      <c r="AO212" s="50" t="s">
        <v>132</v>
      </c>
      <c r="AP212" s="50" t="s">
        <v>132</v>
      </c>
      <c r="AQ212" s="50" t="s">
        <v>132</v>
      </c>
      <c r="AR212" s="50" t="s">
        <v>132</v>
      </c>
      <c r="AS212" s="50" t="s">
        <v>132</v>
      </c>
      <c r="AT212" s="50" t="s">
        <v>132</v>
      </c>
      <c r="AU212" s="50" t="s">
        <v>132</v>
      </c>
      <c r="AV212" s="50" t="s">
        <v>132</v>
      </c>
      <c r="AW212" s="36" t="s">
        <v>133</v>
      </c>
      <c r="AX212" s="50" t="s">
        <v>132</v>
      </c>
      <c r="AY212" s="57" t="s">
        <v>133</v>
      </c>
      <c r="AZ212" s="57" t="s">
        <v>133</v>
      </c>
      <c r="BA212" s="36" t="s">
        <v>133</v>
      </c>
      <c r="BB212" s="50" t="s">
        <v>145</v>
      </c>
      <c r="BC212" s="36" t="s">
        <v>133</v>
      </c>
      <c r="BD212" s="79">
        <v>1.0</v>
      </c>
      <c r="BE212" s="50">
        <v>1.0</v>
      </c>
      <c r="BF212" s="50">
        <v>1.0</v>
      </c>
      <c r="BG212" s="50">
        <v>1.0</v>
      </c>
      <c r="BH212" s="50">
        <v>2.0</v>
      </c>
      <c r="BI212" s="44" t="str">
        <f t="shared" si="205"/>
        <v>11112</v>
      </c>
      <c r="BJ212" s="50">
        <v>95.0</v>
      </c>
      <c r="BK212" s="50">
        <v>2.0</v>
      </c>
      <c r="BL212" s="50">
        <v>1.0</v>
      </c>
      <c r="BM212" s="50">
        <v>1.0</v>
      </c>
      <c r="BN212" s="50">
        <v>5.0</v>
      </c>
      <c r="BO212" s="50">
        <v>1.0</v>
      </c>
      <c r="BP212" s="50">
        <v>1.0</v>
      </c>
      <c r="BQ212" s="50">
        <v>1.0</v>
      </c>
      <c r="BR212" s="50">
        <v>1.0</v>
      </c>
      <c r="BS212" s="50">
        <v>1.0</v>
      </c>
      <c r="BT212" s="50">
        <v>2.0</v>
      </c>
      <c r="BU212" s="53">
        <f t="shared" si="335"/>
        <v>1</v>
      </c>
      <c r="BV212" s="53">
        <f t="shared" si="336"/>
        <v>4</v>
      </c>
      <c r="BW212" s="53">
        <f t="shared" si="183"/>
        <v>15</v>
      </c>
      <c r="BX212" s="53" t="str">
        <f t="shared" si="337"/>
        <v>NO HAY FATIGA</v>
      </c>
      <c r="BY212" s="50">
        <v>3.0</v>
      </c>
      <c r="BZ212" s="50">
        <v>5.0</v>
      </c>
      <c r="CA212" s="50">
        <v>0.0</v>
      </c>
      <c r="CB212" s="50">
        <v>3.0</v>
      </c>
      <c r="CC212" s="50">
        <v>1.0</v>
      </c>
      <c r="CD212" s="50">
        <v>0.0</v>
      </c>
      <c r="CE212" s="50">
        <v>7.0</v>
      </c>
      <c r="CF212" s="50">
        <v>0.0</v>
      </c>
      <c r="CG212" s="50">
        <v>15.0</v>
      </c>
      <c r="CH212" s="50">
        <v>2.0</v>
      </c>
      <c r="CI212" s="50">
        <v>0.0</v>
      </c>
      <c r="CJ212" s="53">
        <f t="shared" si="254"/>
        <v>8266.5</v>
      </c>
      <c r="CK212" s="53">
        <f t="shared" si="206"/>
        <v>13</v>
      </c>
      <c r="CL212" s="44" t="str">
        <f t="shared" si="207"/>
        <v>Nivel de actividad física alto</v>
      </c>
      <c r="CM212" s="44" t="str">
        <f t="shared" si="208"/>
        <v>Nivel de actividad física moderado</v>
      </c>
      <c r="CN212" s="45" t="str">
        <f t="shared" si="209"/>
        <v>Nivel de actividad física alto</v>
      </c>
      <c r="CO212" s="78">
        <v>0.9791666666666666</v>
      </c>
      <c r="CP212" s="50">
        <v>60.0</v>
      </c>
      <c r="CQ212" s="44">
        <f>IF(CP212&gt;60,3,IF(CP212&gt;30,2,IF(CP212&gt;15,1,0)))</f>
        <v>2</v>
      </c>
      <c r="CR212" s="50">
        <v>5.0</v>
      </c>
      <c r="CS212" s="50">
        <v>0.0</v>
      </c>
      <c r="CT212" s="50">
        <v>5.5</v>
      </c>
      <c r="CU212" s="50">
        <v>6.0</v>
      </c>
      <c r="CV212" s="50">
        <v>3.0</v>
      </c>
      <c r="CW212" s="50">
        <v>3.0</v>
      </c>
      <c r="CX212" s="50">
        <v>0.0</v>
      </c>
      <c r="CY212" s="50">
        <v>0.0</v>
      </c>
      <c r="CZ212" s="50">
        <v>0.0</v>
      </c>
      <c r="DA212" s="50">
        <v>0.0</v>
      </c>
      <c r="DB212" s="50">
        <v>0.0</v>
      </c>
      <c r="DC212" s="50">
        <v>0.0</v>
      </c>
      <c r="DD212" s="50">
        <v>0.0</v>
      </c>
      <c r="DE212" s="57">
        <v>3.0</v>
      </c>
      <c r="DF212" s="50" t="s">
        <v>674</v>
      </c>
      <c r="DG212" s="97">
        <f t="shared" si="55"/>
        <v>6</v>
      </c>
      <c r="DH212" s="50">
        <v>1.0</v>
      </c>
      <c r="DI212" s="50">
        <v>1.0</v>
      </c>
      <c r="DJ212" s="50">
        <v>3.0</v>
      </c>
      <c r="DK212" s="50">
        <v>1.0</v>
      </c>
      <c r="DL212" s="68">
        <f t="shared" si="237"/>
        <v>109.0909091</v>
      </c>
      <c r="DM212" s="53">
        <f t="shared" si="238"/>
        <v>1</v>
      </c>
      <c r="DN212" s="53">
        <f t="shared" si="239"/>
        <v>1</v>
      </c>
      <c r="DO212" s="53">
        <f t="shared" si="240"/>
        <v>3</v>
      </c>
      <c r="DP212" s="53">
        <f t="shared" si="241"/>
        <v>2</v>
      </c>
      <c r="DQ212" s="53">
        <f t="shared" si="242"/>
        <v>0</v>
      </c>
      <c r="DR212" s="53">
        <f t="shared" ref="DR212:DS212" si="342">(DH212)</f>
        <v>1</v>
      </c>
      <c r="DS212" s="53">
        <f t="shared" si="342"/>
        <v>1</v>
      </c>
      <c r="DT212" s="53">
        <f t="shared" si="41"/>
        <v>9</v>
      </c>
      <c r="DU212" s="53" t="str">
        <f t="shared" si="244"/>
        <v>poor sleep quality</v>
      </c>
      <c r="DV212" s="50">
        <v>4.0</v>
      </c>
      <c r="DW212" s="50" t="s">
        <v>149</v>
      </c>
      <c r="DX212" s="50" t="s">
        <v>146</v>
      </c>
      <c r="DY212" s="50">
        <v>2.0</v>
      </c>
      <c r="DZ212" s="50" t="s">
        <v>131</v>
      </c>
      <c r="EA212" s="50" t="s">
        <v>162</v>
      </c>
      <c r="EB212" s="50" t="s">
        <v>139</v>
      </c>
      <c r="EC212" s="36" t="s">
        <v>133</v>
      </c>
      <c r="ED212" s="50" t="s">
        <v>131</v>
      </c>
      <c r="EE212" s="50" t="s">
        <v>158</v>
      </c>
      <c r="EF212" s="36" t="s">
        <v>133</v>
      </c>
      <c r="EG212" s="36" t="s">
        <v>133</v>
      </c>
      <c r="EH212" s="47">
        <f t="shared" si="24"/>
        <v>25.4580659</v>
      </c>
    </row>
    <row r="213" ht="15.75" customHeight="1">
      <c r="A213" s="85" t="s">
        <v>675</v>
      </c>
      <c r="B213" s="57" t="s">
        <v>175</v>
      </c>
      <c r="C213" s="98">
        <v>45605.0</v>
      </c>
      <c r="D213" s="64">
        <v>58.0</v>
      </c>
      <c r="E213" s="50" t="s">
        <v>130</v>
      </c>
      <c r="F213" s="50">
        <v>158.0</v>
      </c>
      <c r="G213" s="91">
        <v>77.0</v>
      </c>
      <c r="H213" s="50" t="s">
        <v>131</v>
      </c>
      <c r="I213" s="50">
        <v>3.0</v>
      </c>
      <c r="J213" s="76">
        <v>44562.0</v>
      </c>
      <c r="K213" s="50" t="s">
        <v>131</v>
      </c>
      <c r="L213" s="50">
        <v>4.0</v>
      </c>
      <c r="M213" s="42">
        <v>44013.0</v>
      </c>
      <c r="N213" s="50">
        <v>0.0</v>
      </c>
      <c r="O213" s="76">
        <v>45292.0</v>
      </c>
      <c r="P213" s="50" t="s">
        <v>132</v>
      </c>
      <c r="Q213" s="36" t="s">
        <v>133</v>
      </c>
      <c r="R213" s="36" t="s">
        <v>133</v>
      </c>
      <c r="S213" s="36" t="s">
        <v>133</v>
      </c>
      <c r="T213" s="36" t="s">
        <v>133</v>
      </c>
      <c r="U213" s="36" t="s">
        <v>133</v>
      </c>
      <c r="V213" s="36" t="str">
        <f t="shared" si="178"/>
        <v>Paciente ambulatorio</v>
      </c>
      <c r="W213" s="50" t="s">
        <v>183</v>
      </c>
      <c r="X213" s="50" t="s">
        <v>131</v>
      </c>
      <c r="Y213" s="50">
        <v>2.0</v>
      </c>
      <c r="Z213" s="50">
        <v>1.0</v>
      </c>
      <c r="AA213" s="50">
        <v>3.0</v>
      </c>
      <c r="AB213" s="50">
        <v>3.0</v>
      </c>
      <c r="AC213" s="50">
        <v>1.0</v>
      </c>
      <c r="AD213" s="50">
        <v>2.0</v>
      </c>
      <c r="AE213" s="50">
        <v>2.0</v>
      </c>
      <c r="AF213" s="50">
        <v>1.0</v>
      </c>
      <c r="AG213" s="50">
        <v>3.0</v>
      </c>
      <c r="AH213" s="50">
        <v>2.0</v>
      </c>
      <c r="AI213" s="50">
        <v>1.0</v>
      </c>
      <c r="AJ213" s="50">
        <v>3.0</v>
      </c>
      <c r="AK213" s="36" t="s">
        <v>133</v>
      </c>
      <c r="AL213" s="79" t="s">
        <v>131</v>
      </c>
      <c r="AM213" s="50" t="s">
        <v>132</v>
      </c>
      <c r="AN213" s="50" t="s">
        <v>132</v>
      </c>
      <c r="AO213" s="50" t="s">
        <v>131</v>
      </c>
      <c r="AP213" s="50" t="s">
        <v>132</v>
      </c>
      <c r="AQ213" s="50" t="s">
        <v>132</v>
      </c>
      <c r="AR213" s="50" t="s">
        <v>132</v>
      </c>
      <c r="AS213" s="50" t="s">
        <v>131</v>
      </c>
      <c r="AT213" s="50" t="s">
        <v>131</v>
      </c>
      <c r="AU213" s="50" t="s">
        <v>132</v>
      </c>
      <c r="AV213" s="50" t="s">
        <v>131</v>
      </c>
      <c r="AW213" s="50" t="s">
        <v>676</v>
      </c>
      <c r="AX213" s="50" t="s">
        <v>132</v>
      </c>
      <c r="AY213" s="36" t="s">
        <v>133</v>
      </c>
      <c r="AZ213" s="36" t="s">
        <v>133</v>
      </c>
      <c r="BA213" s="36" t="s">
        <v>133</v>
      </c>
      <c r="BB213" s="50" t="s">
        <v>145</v>
      </c>
      <c r="BC213" s="36" t="s">
        <v>133</v>
      </c>
      <c r="BD213" s="79">
        <v>3.0</v>
      </c>
      <c r="BE213" s="50">
        <v>1.0</v>
      </c>
      <c r="BF213" s="50">
        <v>3.0</v>
      </c>
      <c r="BG213" s="50">
        <v>3.0</v>
      </c>
      <c r="BH213" s="50">
        <v>2.0</v>
      </c>
      <c r="BI213" s="44" t="str">
        <f t="shared" si="205"/>
        <v>31332</v>
      </c>
      <c r="BJ213" s="50">
        <v>80.0</v>
      </c>
      <c r="BK213" s="50">
        <v>2.0</v>
      </c>
      <c r="BL213" s="50">
        <v>2.0</v>
      </c>
      <c r="BM213" s="50">
        <v>3.0</v>
      </c>
      <c r="BN213" s="50">
        <v>3.0</v>
      </c>
      <c r="BO213" s="50">
        <v>2.0</v>
      </c>
      <c r="BP213" s="50">
        <v>3.0</v>
      </c>
      <c r="BQ213" s="50">
        <v>2.0</v>
      </c>
      <c r="BR213" s="50">
        <v>4.0</v>
      </c>
      <c r="BS213" s="50">
        <v>1.0</v>
      </c>
      <c r="BT213" s="50">
        <v>3.0</v>
      </c>
      <c r="BU213" s="44">
        <f>IF(BN213=1,5,IF(BN213=2,4,IF(BN213=3,3,IF(BN213=4,2,IF(BN213=5,1)))))</f>
        <v>3</v>
      </c>
      <c r="BV213" s="44">
        <f>IF(BT213=1,5,IF(BT213=2,4,IF(BT213=3,3,IF(BT213=4,2,IF(BT213=5,1)))))</f>
        <v>3</v>
      </c>
      <c r="BW213" s="44">
        <f t="shared" si="183"/>
        <v>25</v>
      </c>
      <c r="BX213" s="44" t="str">
        <f>IF(BW213&lt;22,"NO HAY FATIGA",IF(BW213&lt;35,"FATIGA","FATIGA EXTREMA"))</f>
        <v>FATIGA</v>
      </c>
      <c r="BY213" s="50">
        <v>0.0</v>
      </c>
      <c r="BZ213" s="50">
        <v>0.0</v>
      </c>
      <c r="CA213" s="50">
        <v>0.0</v>
      </c>
      <c r="CB213" s="50">
        <v>1.0</v>
      </c>
      <c r="CC213" s="50">
        <v>1.0</v>
      </c>
      <c r="CD213" s="50">
        <v>30.0</v>
      </c>
      <c r="CE213" s="50">
        <v>2.0</v>
      </c>
      <c r="CF213" s="50">
        <v>0.0</v>
      </c>
      <c r="CG213" s="50">
        <v>10.0</v>
      </c>
      <c r="CH213" s="50">
        <v>3.0</v>
      </c>
      <c r="CI213" s="50">
        <v>0.0</v>
      </c>
      <c r="CJ213" s="53">
        <f t="shared" si="254"/>
        <v>426</v>
      </c>
      <c r="CK213" s="53">
        <f t="shared" si="206"/>
        <v>3</v>
      </c>
      <c r="CL213" s="44" t="b">
        <f t="shared" si="207"/>
        <v>0</v>
      </c>
      <c r="CM213" s="44" t="b">
        <f t="shared" si="208"/>
        <v>0</v>
      </c>
      <c r="CN213" s="45" t="str">
        <f t="shared" si="209"/>
        <v>Nivel de actividad física bajo</v>
      </c>
      <c r="CO213" s="50">
        <v>22.0</v>
      </c>
      <c r="CP213" s="50">
        <v>120.0</v>
      </c>
      <c r="CQ213" s="53">
        <f t="shared" ref="CQ213:CQ216" si="344">IF(CP213&gt;60,3,IF(CP213&gt;30,2,IF(CP213&gt;15,1,0)))</f>
        <v>3</v>
      </c>
      <c r="CR213" s="50">
        <v>6.0</v>
      </c>
      <c r="CS213" s="50">
        <v>30.0</v>
      </c>
      <c r="CT213" s="50">
        <v>8.5</v>
      </c>
      <c r="CU213" s="50">
        <v>6.0</v>
      </c>
      <c r="CV213" s="50">
        <v>0.0</v>
      </c>
      <c r="CW213" s="50">
        <v>3.0</v>
      </c>
      <c r="CX213" s="50">
        <v>3.0</v>
      </c>
      <c r="CY213" s="50">
        <v>0.0</v>
      </c>
      <c r="CZ213" s="50">
        <v>0.0</v>
      </c>
      <c r="DA213" s="50">
        <v>1.0</v>
      </c>
      <c r="DB213" s="50">
        <v>0.0</v>
      </c>
      <c r="DC213" s="50">
        <v>1.0</v>
      </c>
      <c r="DD213" s="50">
        <v>0.0</v>
      </c>
      <c r="DE213" s="57">
        <v>1.0</v>
      </c>
      <c r="DF213" s="50" t="s">
        <v>244</v>
      </c>
      <c r="DG213" s="97">
        <f t="shared" si="55"/>
        <v>9</v>
      </c>
      <c r="DH213" s="50">
        <v>1.0</v>
      </c>
      <c r="DI213" s="50">
        <v>3.0</v>
      </c>
      <c r="DJ213" s="50">
        <v>2.0</v>
      </c>
      <c r="DK213" s="50">
        <v>1.0</v>
      </c>
      <c r="DL213" s="68">
        <f t="shared" si="237"/>
        <v>70.58823529</v>
      </c>
      <c r="DM213" s="53">
        <f t="shared" si="238"/>
        <v>1</v>
      </c>
      <c r="DN213" s="53">
        <f t="shared" si="239"/>
        <v>1</v>
      </c>
      <c r="DO213" s="53">
        <f t="shared" si="240"/>
        <v>2</v>
      </c>
      <c r="DP213" s="53">
        <f t="shared" si="241"/>
        <v>2</v>
      </c>
      <c r="DQ213" s="53">
        <f t="shared" si="242"/>
        <v>2</v>
      </c>
      <c r="DR213" s="53">
        <f t="shared" ref="DR213:DS213" si="343">(DH213)</f>
        <v>1</v>
      </c>
      <c r="DS213" s="53">
        <f t="shared" si="343"/>
        <v>3</v>
      </c>
      <c r="DT213" s="53">
        <f t="shared" si="41"/>
        <v>12</v>
      </c>
      <c r="DU213" s="53" t="str">
        <f t="shared" si="244"/>
        <v>poor sleep quality</v>
      </c>
      <c r="DV213" s="50">
        <v>0.0</v>
      </c>
      <c r="DW213" s="36" t="s">
        <v>133</v>
      </c>
      <c r="DX213" s="50" t="s">
        <v>146</v>
      </c>
      <c r="DY213" s="50" t="s">
        <v>156</v>
      </c>
      <c r="DZ213" s="50" t="s">
        <v>131</v>
      </c>
      <c r="EA213" s="50" t="s">
        <v>138</v>
      </c>
      <c r="EB213" s="50" t="s">
        <v>172</v>
      </c>
      <c r="EC213" s="36" t="s">
        <v>133</v>
      </c>
      <c r="ED213" s="50" t="s">
        <v>131</v>
      </c>
      <c r="EE213" s="50" t="s">
        <v>141</v>
      </c>
      <c r="EF213" s="35">
        <f>C213-M213</f>
        <v>1592</v>
      </c>
      <c r="EG213" s="35">
        <f>C213-O213</f>
        <v>313</v>
      </c>
      <c r="EH213" s="47">
        <f t="shared" si="24"/>
        <v>30.84441596</v>
      </c>
    </row>
    <row r="214" ht="15.75" customHeight="1">
      <c r="A214" s="85" t="s">
        <v>677</v>
      </c>
      <c r="B214" s="57" t="s">
        <v>129</v>
      </c>
      <c r="C214" s="98">
        <v>45605.0</v>
      </c>
      <c r="D214" s="64">
        <v>51.0</v>
      </c>
      <c r="E214" s="50" t="s">
        <v>153</v>
      </c>
      <c r="F214" s="50">
        <v>170.0</v>
      </c>
      <c r="G214" s="91">
        <v>95.0</v>
      </c>
      <c r="H214" s="50" t="s">
        <v>131</v>
      </c>
      <c r="I214" s="50">
        <v>2.0</v>
      </c>
      <c r="J214" s="76">
        <v>44472.0</v>
      </c>
      <c r="K214" s="50" t="s">
        <v>132</v>
      </c>
      <c r="L214" s="57" t="s">
        <v>133</v>
      </c>
      <c r="M214" s="55" t="s">
        <v>133</v>
      </c>
      <c r="N214" s="57" t="s">
        <v>133</v>
      </c>
      <c r="O214" s="55" t="s">
        <v>133</v>
      </c>
      <c r="P214" s="57" t="s">
        <v>133</v>
      </c>
      <c r="Q214" s="36" t="s">
        <v>133</v>
      </c>
      <c r="R214" s="36" t="s">
        <v>133</v>
      </c>
      <c r="S214" s="36" t="s">
        <v>133</v>
      </c>
      <c r="T214" s="36" t="s">
        <v>133</v>
      </c>
      <c r="U214" s="36" t="s">
        <v>133</v>
      </c>
      <c r="V214" s="36" t="str">
        <f t="shared" si="178"/>
        <v>No infectado</v>
      </c>
      <c r="W214" s="36" t="s">
        <v>133</v>
      </c>
      <c r="X214" s="36" t="s">
        <v>133</v>
      </c>
      <c r="Y214" s="36" t="s">
        <v>133</v>
      </c>
      <c r="Z214" s="36" t="s">
        <v>133</v>
      </c>
      <c r="AA214" s="36" t="s">
        <v>133</v>
      </c>
      <c r="AB214" s="36" t="s">
        <v>133</v>
      </c>
      <c r="AC214" s="36" t="s">
        <v>133</v>
      </c>
      <c r="AD214" s="36" t="s">
        <v>133</v>
      </c>
      <c r="AE214" s="36" t="s">
        <v>133</v>
      </c>
      <c r="AF214" s="36" t="s">
        <v>133</v>
      </c>
      <c r="AG214" s="36" t="s">
        <v>133</v>
      </c>
      <c r="AH214" s="36" t="s">
        <v>133</v>
      </c>
      <c r="AI214" s="36" t="s">
        <v>133</v>
      </c>
      <c r="AJ214" s="36" t="s">
        <v>133</v>
      </c>
      <c r="AK214" s="36" t="s">
        <v>133</v>
      </c>
      <c r="AL214" s="79" t="s">
        <v>132</v>
      </c>
      <c r="AM214" s="50" t="s">
        <v>132</v>
      </c>
      <c r="AN214" s="50" t="s">
        <v>132</v>
      </c>
      <c r="AO214" s="50" t="s">
        <v>132</v>
      </c>
      <c r="AP214" s="50" t="s">
        <v>132</v>
      </c>
      <c r="AQ214" s="50" t="s">
        <v>132</v>
      </c>
      <c r="AR214" s="50" t="s">
        <v>132</v>
      </c>
      <c r="AS214" s="50" t="s">
        <v>132</v>
      </c>
      <c r="AT214" s="50" t="s">
        <v>132</v>
      </c>
      <c r="AU214" s="50" t="s">
        <v>132</v>
      </c>
      <c r="AV214" s="50" t="s">
        <v>132</v>
      </c>
      <c r="AW214" s="36" t="s">
        <v>133</v>
      </c>
      <c r="AX214" s="50" t="s">
        <v>132</v>
      </c>
      <c r="AY214" s="36" t="s">
        <v>133</v>
      </c>
      <c r="AZ214" s="36" t="s">
        <v>133</v>
      </c>
      <c r="BA214" s="36" t="s">
        <v>133</v>
      </c>
      <c r="BB214" s="50" t="s">
        <v>135</v>
      </c>
      <c r="BC214" s="81">
        <v>2.0</v>
      </c>
      <c r="BD214" s="79">
        <v>1.0</v>
      </c>
      <c r="BE214" s="50">
        <v>1.0</v>
      </c>
      <c r="BF214" s="50">
        <v>1.0</v>
      </c>
      <c r="BG214" s="50">
        <v>1.0</v>
      </c>
      <c r="BH214" s="50">
        <v>1.0</v>
      </c>
      <c r="BI214" s="44" t="str">
        <f t="shared" si="205"/>
        <v>11111</v>
      </c>
      <c r="BJ214" s="50">
        <v>90.0</v>
      </c>
      <c r="BK214" s="50">
        <v>2.0</v>
      </c>
      <c r="BL214" s="50">
        <v>1.0</v>
      </c>
      <c r="BM214" s="50">
        <v>2.0</v>
      </c>
      <c r="BN214" s="50">
        <v>5.0</v>
      </c>
      <c r="BO214" s="50">
        <v>1.0</v>
      </c>
      <c r="BP214" s="50">
        <v>1.0</v>
      </c>
      <c r="BQ214" s="50">
        <v>1.0</v>
      </c>
      <c r="BR214" s="50">
        <v>1.0</v>
      </c>
      <c r="BS214" s="50">
        <v>1.0</v>
      </c>
      <c r="BT214" s="50">
        <v>5.0</v>
      </c>
      <c r="BU214" s="53">
        <f t="shared" ref="BU214:BU217" si="346">IF(BN214=1,5,IF(BN214=2,4,IF(BN214=3,3,IF(BN214=4,2,IF(BN214=5,1)))))</f>
        <v>1</v>
      </c>
      <c r="BV214" s="53">
        <f t="shared" ref="BV214:BV217" si="347">IF(BT214=1,5,IF(BT214=2,4,IF(BT214=3,3,IF(BT214=4,2,IF(BT214=5,1)))))</f>
        <v>1</v>
      </c>
      <c r="BW214" s="53">
        <f t="shared" si="183"/>
        <v>16</v>
      </c>
      <c r="BX214" s="53" t="str">
        <f t="shared" ref="BX214:BX217" si="348">IF(BW214&lt;22,"NO HAY FATIGA",IF(BW214&lt;35,"FATIGA","FATIGA EXTREMA"))</f>
        <v>NO HAY FATIGA</v>
      </c>
      <c r="BY214" s="50">
        <v>3.0</v>
      </c>
      <c r="BZ214" s="50">
        <v>0.0</v>
      </c>
      <c r="CA214" s="50">
        <v>20.0</v>
      </c>
      <c r="CB214" s="50">
        <v>3.0</v>
      </c>
      <c r="CC214" s="50">
        <v>1.0</v>
      </c>
      <c r="CD214" s="50">
        <v>40.0</v>
      </c>
      <c r="CE214" s="50">
        <v>1.0</v>
      </c>
      <c r="CF214" s="50">
        <v>0.0</v>
      </c>
      <c r="CG214" s="50">
        <v>30.0</v>
      </c>
      <c r="CH214" s="50">
        <v>2.0</v>
      </c>
      <c r="CI214" s="50">
        <v>0.0</v>
      </c>
      <c r="CJ214" s="53">
        <f t="shared" si="254"/>
        <v>1779</v>
      </c>
      <c r="CK214" s="53">
        <f t="shared" si="206"/>
        <v>7</v>
      </c>
      <c r="CL214" s="44" t="str">
        <f t="shared" si="207"/>
        <v>Nivel de actividad física alto</v>
      </c>
      <c r="CM214" s="44" t="b">
        <f t="shared" si="208"/>
        <v>0</v>
      </c>
      <c r="CN214" s="45" t="str">
        <f t="shared" si="209"/>
        <v>Nivel de actividad física alto</v>
      </c>
      <c r="CO214" s="50">
        <v>23.0</v>
      </c>
      <c r="CP214" s="50">
        <v>5.0</v>
      </c>
      <c r="CQ214" s="53">
        <f t="shared" si="344"/>
        <v>0</v>
      </c>
      <c r="CR214" s="50">
        <v>7.0</v>
      </c>
      <c r="CS214" s="50">
        <v>0.0</v>
      </c>
      <c r="CT214" s="50">
        <v>8.0</v>
      </c>
      <c r="CU214" s="50">
        <v>7.0</v>
      </c>
      <c r="CV214" s="50">
        <v>0.0</v>
      </c>
      <c r="CW214" s="50">
        <v>3.0</v>
      </c>
      <c r="CX214" s="50">
        <v>3.0</v>
      </c>
      <c r="CY214" s="50">
        <v>0.0</v>
      </c>
      <c r="CZ214" s="50">
        <v>0.0</v>
      </c>
      <c r="DA214" s="50">
        <v>1.0</v>
      </c>
      <c r="DB214" s="50">
        <v>1.0</v>
      </c>
      <c r="DC214" s="50">
        <v>0.0</v>
      </c>
      <c r="DD214" s="50">
        <v>1.0</v>
      </c>
      <c r="DE214" s="57">
        <v>1.0</v>
      </c>
      <c r="DF214" s="50" t="s">
        <v>678</v>
      </c>
      <c r="DG214" s="97">
        <f t="shared" si="55"/>
        <v>10</v>
      </c>
      <c r="DH214" s="50">
        <v>1.0</v>
      </c>
      <c r="DI214" s="50">
        <v>0.0</v>
      </c>
      <c r="DJ214" s="50">
        <v>0.0</v>
      </c>
      <c r="DK214" s="50">
        <v>0.0</v>
      </c>
      <c r="DL214" s="68">
        <f t="shared" si="237"/>
        <v>87.5</v>
      </c>
      <c r="DM214" s="53">
        <f t="shared" si="238"/>
        <v>0</v>
      </c>
      <c r="DN214" s="53">
        <f t="shared" si="239"/>
        <v>2</v>
      </c>
      <c r="DO214" s="53">
        <f t="shared" si="240"/>
        <v>0</v>
      </c>
      <c r="DP214" s="53">
        <f t="shared" si="241"/>
        <v>0</v>
      </c>
      <c r="DQ214" s="53">
        <f t="shared" si="242"/>
        <v>0</v>
      </c>
      <c r="DR214" s="53">
        <f t="shared" ref="DR214:DS214" si="345">(DH214)</f>
        <v>1</v>
      </c>
      <c r="DS214" s="53">
        <f t="shared" si="345"/>
        <v>0</v>
      </c>
      <c r="DT214" s="53">
        <f t="shared" si="41"/>
        <v>3</v>
      </c>
      <c r="DU214" s="53" t="str">
        <f t="shared" si="244"/>
        <v>good sleep quality</v>
      </c>
      <c r="DV214" s="50">
        <v>3.0</v>
      </c>
      <c r="DW214" s="50" t="s">
        <v>591</v>
      </c>
      <c r="DX214" s="50" t="s">
        <v>146</v>
      </c>
      <c r="DY214" s="50">
        <v>1.0</v>
      </c>
      <c r="DZ214" s="50" t="s">
        <v>131</v>
      </c>
      <c r="EA214" s="50" t="s">
        <v>167</v>
      </c>
      <c r="EB214" s="50" t="s">
        <v>139</v>
      </c>
      <c r="EC214" s="36" t="s">
        <v>133</v>
      </c>
      <c r="ED214" s="50" t="s">
        <v>131</v>
      </c>
      <c r="EE214" s="50" t="s">
        <v>141</v>
      </c>
      <c r="EF214" s="36" t="s">
        <v>133</v>
      </c>
      <c r="EG214" s="36" t="s">
        <v>133</v>
      </c>
      <c r="EH214" s="47">
        <f t="shared" si="24"/>
        <v>32.87197232</v>
      </c>
    </row>
    <row r="215" ht="15.75" customHeight="1">
      <c r="A215" s="85" t="s">
        <v>679</v>
      </c>
      <c r="B215" s="57" t="s">
        <v>175</v>
      </c>
      <c r="C215" s="98">
        <v>45619.0</v>
      </c>
      <c r="D215" s="38">
        <v>49.0</v>
      </c>
      <c r="E215" s="50" t="s">
        <v>153</v>
      </c>
      <c r="F215" s="50">
        <v>175.0</v>
      </c>
      <c r="G215" s="91">
        <v>87.0</v>
      </c>
      <c r="H215" s="85" t="s">
        <v>131</v>
      </c>
      <c r="I215" s="50">
        <v>3.0</v>
      </c>
      <c r="J215" s="42">
        <v>45139.0</v>
      </c>
      <c r="K215" s="85" t="s">
        <v>131</v>
      </c>
      <c r="L215" s="50">
        <v>1.0</v>
      </c>
      <c r="M215" s="55" t="s">
        <v>133</v>
      </c>
      <c r="N215" s="85">
        <v>0.0</v>
      </c>
      <c r="O215" s="76">
        <v>44378.0</v>
      </c>
      <c r="P215" s="85" t="s">
        <v>132</v>
      </c>
      <c r="Q215" s="36" t="s">
        <v>133</v>
      </c>
      <c r="R215" s="36" t="s">
        <v>133</v>
      </c>
      <c r="S215" s="36" t="s">
        <v>133</v>
      </c>
      <c r="T215" s="36" t="s">
        <v>133</v>
      </c>
      <c r="U215" s="36" t="s">
        <v>133</v>
      </c>
      <c r="V215" s="36" t="str">
        <f t="shared" si="178"/>
        <v>Paciente ambulatorio</v>
      </c>
      <c r="W215" s="50" t="s">
        <v>176</v>
      </c>
      <c r="X215" s="85" t="s">
        <v>132</v>
      </c>
      <c r="Y215" s="85">
        <v>2.0</v>
      </c>
      <c r="Z215" s="50">
        <v>1.0</v>
      </c>
      <c r="AA215" s="50">
        <v>2.0</v>
      </c>
      <c r="AB215" s="50">
        <v>2.0</v>
      </c>
      <c r="AC215" s="50">
        <v>2.0</v>
      </c>
      <c r="AD215" s="50">
        <v>2.0</v>
      </c>
      <c r="AE215" s="50">
        <v>2.0</v>
      </c>
      <c r="AF215" s="50">
        <v>2.0</v>
      </c>
      <c r="AG215" s="85">
        <v>3.0</v>
      </c>
      <c r="AH215" s="50">
        <v>3.0</v>
      </c>
      <c r="AI215" s="85">
        <v>1.0</v>
      </c>
      <c r="AJ215" s="85">
        <v>1.0</v>
      </c>
      <c r="AK215" s="50" t="s">
        <v>680</v>
      </c>
      <c r="AL215" s="50" t="s">
        <v>131</v>
      </c>
      <c r="AM215" s="50" t="s">
        <v>131</v>
      </c>
      <c r="AN215" s="85" t="s">
        <v>132</v>
      </c>
      <c r="AO215" s="50" t="s">
        <v>131</v>
      </c>
      <c r="AP215" s="85" t="s">
        <v>132</v>
      </c>
      <c r="AQ215" s="85" t="s">
        <v>132</v>
      </c>
      <c r="AR215" s="85" t="s">
        <v>132</v>
      </c>
      <c r="AS215" s="50" t="s">
        <v>131</v>
      </c>
      <c r="AT215" s="50" t="s">
        <v>131</v>
      </c>
      <c r="AU215" s="85" t="s">
        <v>132</v>
      </c>
      <c r="AV215" s="50" t="s">
        <v>132</v>
      </c>
      <c r="AW215" s="85"/>
      <c r="AX215" s="82" t="s">
        <v>132</v>
      </c>
      <c r="AY215" s="36" t="s">
        <v>133</v>
      </c>
      <c r="AZ215" s="36" t="s">
        <v>133</v>
      </c>
      <c r="BA215" s="36" t="s">
        <v>133</v>
      </c>
      <c r="BB215" s="85" t="s">
        <v>145</v>
      </c>
      <c r="BC215" s="36" t="s">
        <v>133</v>
      </c>
      <c r="BD215" s="90">
        <v>1.0</v>
      </c>
      <c r="BE215" s="85">
        <v>1.0</v>
      </c>
      <c r="BF215" s="85">
        <v>1.0</v>
      </c>
      <c r="BG215" s="85">
        <v>2.0</v>
      </c>
      <c r="BH215" s="50">
        <v>1.0</v>
      </c>
      <c r="BI215" s="44" t="str">
        <f t="shared" si="205"/>
        <v>11121</v>
      </c>
      <c r="BJ215" s="50">
        <v>70.0</v>
      </c>
      <c r="BK215" s="50">
        <v>3.0</v>
      </c>
      <c r="BL215" s="50">
        <v>3.0</v>
      </c>
      <c r="BM215" s="50">
        <v>1.0</v>
      </c>
      <c r="BN215" s="50">
        <v>4.0</v>
      </c>
      <c r="BO215" s="85">
        <v>2.0</v>
      </c>
      <c r="BP215" s="85">
        <v>2.0</v>
      </c>
      <c r="BQ215" s="50">
        <v>1.0</v>
      </c>
      <c r="BR215" s="50">
        <v>3.0</v>
      </c>
      <c r="BS215" s="50">
        <v>2.0</v>
      </c>
      <c r="BT215" s="50">
        <v>4.0</v>
      </c>
      <c r="BU215" s="53">
        <f t="shared" si="346"/>
        <v>2</v>
      </c>
      <c r="BV215" s="53">
        <f t="shared" si="347"/>
        <v>2</v>
      </c>
      <c r="BW215" s="53">
        <f t="shared" si="183"/>
        <v>23</v>
      </c>
      <c r="BX215" s="53" t="str">
        <f t="shared" si="348"/>
        <v>FATIGA</v>
      </c>
      <c r="BY215" s="50">
        <v>2.0</v>
      </c>
      <c r="BZ215" s="50">
        <v>6.0</v>
      </c>
      <c r="CA215" s="85">
        <v>0.0</v>
      </c>
      <c r="CB215" s="85">
        <v>0.0</v>
      </c>
      <c r="CC215" s="85">
        <v>0.0</v>
      </c>
      <c r="CD215" s="85">
        <v>0.0</v>
      </c>
      <c r="CE215" s="50">
        <v>7.0</v>
      </c>
      <c r="CF215" s="50">
        <v>1.0</v>
      </c>
      <c r="CG215" s="50">
        <v>0.0</v>
      </c>
      <c r="CH215" s="50">
        <v>1.0</v>
      </c>
      <c r="CI215" s="50">
        <v>30.0</v>
      </c>
      <c r="CJ215" s="53">
        <f t="shared" si="254"/>
        <v>7146</v>
      </c>
      <c r="CK215" s="53">
        <f t="shared" si="206"/>
        <v>9</v>
      </c>
      <c r="CL215" s="44" t="str">
        <f t="shared" si="207"/>
        <v>Nivel de actividad física alto</v>
      </c>
      <c r="CM215" s="44" t="str">
        <f t="shared" si="208"/>
        <v>Nivel de actividad física moderado</v>
      </c>
      <c r="CN215" s="45" t="str">
        <f t="shared" si="209"/>
        <v>Nivel de actividad física alto</v>
      </c>
      <c r="CO215" s="50">
        <v>8.0</v>
      </c>
      <c r="CP215" s="50">
        <v>2.0</v>
      </c>
      <c r="CQ215" s="53">
        <f t="shared" si="344"/>
        <v>0</v>
      </c>
      <c r="CR215" s="50">
        <v>12.0</v>
      </c>
      <c r="CS215" s="85">
        <v>0.0</v>
      </c>
      <c r="CT215" s="50">
        <v>4.0</v>
      </c>
      <c r="CU215" s="85">
        <v>6.0</v>
      </c>
      <c r="CV215" s="50">
        <v>2.0</v>
      </c>
      <c r="CW215" s="85">
        <v>3.0</v>
      </c>
      <c r="CX215" s="85">
        <v>3.0</v>
      </c>
      <c r="CY215" s="85">
        <v>0.0</v>
      </c>
      <c r="CZ215" s="50">
        <v>3.0</v>
      </c>
      <c r="DA215" s="50">
        <v>2.0</v>
      </c>
      <c r="DB215" s="50">
        <v>0.0</v>
      </c>
      <c r="DC215" s="85">
        <v>0.0</v>
      </c>
      <c r="DD215" s="50">
        <v>3.0</v>
      </c>
      <c r="DE215" s="50">
        <v>0.0</v>
      </c>
      <c r="DF215" s="85"/>
      <c r="DG215" s="97">
        <f t="shared" si="55"/>
        <v>14</v>
      </c>
      <c r="DH215" s="50">
        <v>2.0</v>
      </c>
      <c r="DI215" s="85">
        <v>0.0</v>
      </c>
      <c r="DJ215" s="85">
        <v>3.0</v>
      </c>
      <c r="DK215" s="85">
        <v>2.0</v>
      </c>
      <c r="DL215" s="68">
        <f t="shared" si="237"/>
        <v>150</v>
      </c>
      <c r="DM215" s="53">
        <f t="shared" si="238"/>
        <v>1</v>
      </c>
      <c r="DN215" s="53">
        <f t="shared" si="239"/>
        <v>2</v>
      </c>
      <c r="DO215" s="53">
        <f t="shared" si="240"/>
        <v>1</v>
      </c>
      <c r="DP215" s="53">
        <f t="shared" si="241"/>
        <v>3</v>
      </c>
      <c r="DQ215" s="53">
        <f t="shared" si="242"/>
        <v>0</v>
      </c>
      <c r="DR215" s="53">
        <f t="shared" ref="DR215:DS215" si="349">(DH215)</f>
        <v>2</v>
      </c>
      <c r="DS215" s="53">
        <f t="shared" si="349"/>
        <v>0</v>
      </c>
      <c r="DT215" s="53">
        <f t="shared" si="41"/>
        <v>9</v>
      </c>
      <c r="DU215" s="53" t="str">
        <f t="shared" si="244"/>
        <v>poor sleep quality</v>
      </c>
      <c r="DV215" s="50">
        <v>1.0</v>
      </c>
      <c r="DW215" s="50" t="s">
        <v>617</v>
      </c>
      <c r="DX215" s="85" t="s">
        <v>146</v>
      </c>
      <c r="DY215" s="85">
        <v>2.0</v>
      </c>
      <c r="DZ215" s="85" t="s">
        <v>131</v>
      </c>
      <c r="EA215" s="50" t="s">
        <v>162</v>
      </c>
      <c r="EB215" s="85" t="s">
        <v>139</v>
      </c>
      <c r="EC215" s="36" t="s">
        <v>133</v>
      </c>
      <c r="ED215" s="85" t="s">
        <v>131</v>
      </c>
      <c r="EE215" s="50" t="s">
        <v>141</v>
      </c>
      <c r="EF215" s="36" t="s">
        <v>133</v>
      </c>
      <c r="EG215" s="35">
        <f>C215-O215</f>
        <v>1241</v>
      </c>
      <c r="EH215" s="47">
        <f t="shared" si="24"/>
        <v>28.40816327</v>
      </c>
    </row>
    <row r="216" ht="15.75" customHeight="1">
      <c r="A216" s="85" t="s">
        <v>681</v>
      </c>
      <c r="B216" s="57" t="s">
        <v>175</v>
      </c>
      <c r="C216" s="98">
        <v>45619.0</v>
      </c>
      <c r="D216" s="38">
        <v>43.0</v>
      </c>
      <c r="E216" s="85" t="s">
        <v>153</v>
      </c>
      <c r="F216" s="50">
        <v>185.0</v>
      </c>
      <c r="G216" s="91">
        <v>100.0</v>
      </c>
      <c r="H216" s="85" t="s">
        <v>131</v>
      </c>
      <c r="I216" s="50">
        <v>3.0</v>
      </c>
      <c r="J216" s="76">
        <v>44593.0</v>
      </c>
      <c r="K216" s="85" t="s">
        <v>131</v>
      </c>
      <c r="L216" s="85">
        <v>1.0</v>
      </c>
      <c r="M216" s="42">
        <v>44197.0</v>
      </c>
      <c r="N216" s="50">
        <v>1.0</v>
      </c>
      <c r="O216" s="55" t="s">
        <v>133</v>
      </c>
      <c r="P216" s="85" t="s">
        <v>132</v>
      </c>
      <c r="Q216" s="36" t="s">
        <v>133</v>
      </c>
      <c r="R216" s="36" t="s">
        <v>133</v>
      </c>
      <c r="S216" s="36" t="s">
        <v>133</v>
      </c>
      <c r="T216" s="36" t="s">
        <v>133</v>
      </c>
      <c r="U216" s="36" t="s">
        <v>133</v>
      </c>
      <c r="V216" s="36" t="str">
        <f t="shared" si="178"/>
        <v>Paciente ambulatorio</v>
      </c>
      <c r="W216" s="36" t="s">
        <v>133</v>
      </c>
      <c r="X216" s="85" t="s">
        <v>132</v>
      </c>
      <c r="Y216" s="85">
        <v>3.0</v>
      </c>
      <c r="Z216" s="50">
        <v>3.0</v>
      </c>
      <c r="AA216" s="50">
        <v>1.0</v>
      </c>
      <c r="AB216" s="50">
        <v>1.0</v>
      </c>
      <c r="AC216" s="50">
        <v>3.0</v>
      </c>
      <c r="AD216" s="85">
        <v>2.0</v>
      </c>
      <c r="AE216" s="85">
        <v>3.0</v>
      </c>
      <c r="AF216" s="85">
        <v>1.0</v>
      </c>
      <c r="AG216" s="50">
        <v>3.0</v>
      </c>
      <c r="AH216" s="50">
        <v>3.0</v>
      </c>
      <c r="AI216" s="50">
        <v>1.0</v>
      </c>
      <c r="AJ216" s="50">
        <v>1.0</v>
      </c>
      <c r="AK216" s="36" t="s">
        <v>133</v>
      </c>
      <c r="AL216" s="85" t="s">
        <v>132</v>
      </c>
      <c r="AM216" s="50" t="s">
        <v>131</v>
      </c>
      <c r="AN216" s="50" t="s">
        <v>131</v>
      </c>
      <c r="AO216" s="85" t="s">
        <v>132</v>
      </c>
      <c r="AP216" s="50" t="s">
        <v>131</v>
      </c>
      <c r="AQ216" s="85" t="s">
        <v>132</v>
      </c>
      <c r="AR216" s="50" t="s">
        <v>131</v>
      </c>
      <c r="AS216" s="50" t="s">
        <v>131</v>
      </c>
      <c r="AT216" s="85" t="s">
        <v>132</v>
      </c>
      <c r="AU216" s="85" t="s">
        <v>132</v>
      </c>
      <c r="AV216" s="50" t="s">
        <v>131</v>
      </c>
      <c r="AW216" s="50" t="s">
        <v>251</v>
      </c>
      <c r="AX216" s="82" t="s">
        <v>165</v>
      </c>
      <c r="AY216" s="36" t="s">
        <v>133</v>
      </c>
      <c r="AZ216" s="36" t="s">
        <v>133</v>
      </c>
      <c r="BA216" s="50">
        <v>11.0</v>
      </c>
      <c r="BB216" s="50" t="s">
        <v>145</v>
      </c>
      <c r="BC216" s="36" t="s">
        <v>133</v>
      </c>
      <c r="BD216" s="90">
        <v>1.0</v>
      </c>
      <c r="BE216" s="85">
        <v>1.0</v>
      </c>
      <c r="BF216" s="85">
        <v>1.0</v>
      </c>
      <c r="BG216" s="85">
        <v>1.0</v>
      </c>
      <c r="BH216" s="85">
        <v>1.0</v>
      </c>
      <c r="BI216" s="44" t="str">
        <f t="shared" si="205"/>
        <v>11111</v>
      </c>
      <c r="BJ216" s="50">
        <v>75.0</v>
      </c>
      <c r="BK216" s="50">
        <v>1.0</v>
      </c>
      <c r="BL216" s="50">
        <v>1.0</v>
      </c>
      <c r="BM216" s="50">
        <v>1.0</v>
      </c>
      <c r="BN216" s="85">
        <v>5.0</v>
      </c>
      <c r="BO216" s="50">
        <v>1.0</v>
      </c>
      <c r="BP216" s="50">
        <v>1.0</v>
      </c>
      <c r="BQ216" s="50">
        <v>2.0</v>
      </c>
      <c r="BR216" s="50">
        <v>1.0</v>
      </c>
      <c r="BS216" s="85">
        <v>2.0</v>
      </c>
      <c r="BT216" s="85">
        <v>4.0</v>
      </c>
      <c r="BU216" s="53">
        <f t="shared" si="346"/>
        <v>1</v>
      </c>
      <c r="BV216" s="53">
        <f t="shared" si="347"/>
        <v>2</v>
      </c>
      <c r="BW216" s="53">
        <f t="shared" si="183"/>
        <v>16</v>
      </c>
      <c r="BX216" s="53" t="str">
        <f t="shared" si="348"/>
        <v>NO HAY FATIGA</v>
      </c>
      <c r="BY216" s="85">
        <v>0.0</v>
      </c>
      <c r="BZ216" s="85">
        <v>0.0</v>
      </c>
      <c r="CA216" s="85">
        <v>0.0</v>
      </c>
      <c r="CB216" s="85">
        <v>0.0</v>
      </c>
      <c r="CC216" s="85">
        <v>0.0</v>
      </c>
      <c r="CD216" s="85">
        <v>0.0</v>
      </c>
      <c r="CE216" s="50">
        <v>3.0</v>
      </c>
      <c r="CF216" s="50">
        <v>1.0</v>
      </c>
      <c r="CG216" s="50">
        <v>0.0</v>
      </c>
      <c r="CH216" s="50">
        <v>2.0</v>
      </c>
      <c r="CI216" s="85">
        <v>0.0</v>
      </c>
      <c r="CJ216" s="53">
        <f t="shared" si="254"/>
        <v>594</v>
      </c>
      <c r="CK216" s="53">
        <f t="shared" si="206"/>
        <v>3</v>
      </c>
      <c r="CL216" s="44" t="b">
        <f t="shared" si="207"/>
        <v>0</v>
      </c>
      <c r="CM216" s="44" t="b">
        <f t="shared" si="208"/>
        <v>0</v>
      </c>
      <c r="CN216" s="45" t="str">
        <f t="shared" si="209"/>
        <v>Nivel de actividad física bajo</v>
      </c>
      <c r="CO216" s="67">
        <v>0.9375</v>
      </c>
      <c r="CP216" s="50">
        <v>60.0</v>
      </c>
      <c r="CQ216" s="53">
        <f t="shared" si="344"/>
        <v>2</v>
      </c>
      <c r="CR216" s="85">
        <v>5.0</v>
      </c>
      <c r="CS216" s="50">
        <v>0.0</v>
      </c>
      <c r="CT216" s="85">
        <v>7.0</v>
      </c>
      <c r="CU216" s="85">
        <v>6.0</v>
      </c>
      <c r="CV216" s="50">
        <v>3.0</v>
      </c>
      <c r="CW216" s="85">
        <v>0.0</v>
      </c>
      <c r="CX216" s="50">
        <v>0.0</v>
      </c>
      <c r="CY216" s="85">
        <v>0.0</v>
      </c>
      <c r="CZ216" s="85">
        <v>0.0</v>
      </c>
      <c r="DA216" s="85">
        <v>0.0</v>
      </c>
      <c r="DB216" s="85">
        <v>1.0</v>
      </c>
      <c r="DC216" s="85">
        <v>0.0</v>
      </c>
      <c r="DD216" s="50">
        <v>1.0</v>
      </c>
      <c r="DE216" s="82">
        <v>0.0</v>
      </c>
      <c r="DF216" s="36" t="s">
        <v>133</v>
      </c>
      <c r="DG216" s="97">
        <f t="shared" si="55"/>
        <v>2</v>
      </c>
      <c r="DH216" s="85">
        <v>1.0</v>
      </c>
      <c r="DI216" s="85">
        <v>0.0</v>
      </c>
      <c r="DJ216" s="50">
        <v>0.0</v>
      </c>
      <c r="DK216" s="85">
        <v>0.0</v>
      </c>
      <c r="DL216" s="68">
        <f t="shared" si="237"/>
        <v>85.71428571</v>
      </c>
      <c r="DM216" s="53">
        <f t="shared" si="238"/>
        <v>1</v>
      </c>
      <c r="DN216" s="53">
        <f t="shared" si="239"/>
        <v>1</v>
      </c>
      <c r="DO216" s="53">
        <f t="shared" si="240"/>
        <v>3</v>
      </c>
      <c r="DP216" s="53">
        <f t="shared" si="241"/>
        <v>0</v>
      </c>
      <c r="DQ216" s="53">
        <f t="shared" si="242"/>
        <v>0</v>
      </c>
      <c r="DR216" s="53">
        <f t="shared" ref="DR216:DS216" si="350">(DH216)</f>
        <v>1</v>
      </c>
      <c r="DS216" s="53">
        <f t="shared" si="350"/>
        <v>0</v>
      </c>
      <c r="DT216" s="53">
        <f t="shared" si="41"/>
        <v>6</v>
      </c>
      <c r="DU216" s="53" t="str">
        <f t="shared" si="244"/>
        <v>poor sleep quality</v>
      </c>
      <c r="DV216" s="50">
        <v>3.0</v>
      </c>
      <c r="DW216" s="85" t="s">
        <v>489</v>
      </c>
      <c r="DX216" s="85" t="s">
        <v>146</v>
      </c>
      <c r="DY216" s="85">
        <v>1.0</v>
      </c>
      <c r="DZ216" s="85" t="s">
        <v>131</v>
      </c>
      <c r="EA216" s="85" t="s">
        <v>202</v>
      </c>
      <c r="EB216" s="85" t="s">
        <v>139</v>
      </c>
      <c r="EC216" s="36" t="s">
        <v>133</v>
      </c>
      <c r="ED216" s="85" t="s">
        <v>131</v>
      </c>
      <c r="EE216" s="85" t="s">
        <v>151</v>
      </c>
      <c r="EF216" s="35">
        <f t="shared" ref="EF216:EF217" si="352">C216-M216</f>
        <v>1422</v>
      </c>
      <c r="EG216" s="36" t="s">
        <v>133</v>
      </c>
      <c r="EH216" s="47">
        <f t="shared" si="24"/>
        <v>29.2184076</v>
      </c>
    </row>
    <row r="217" ht="15.75" customHeight="1">
      <c r="A217" s="85" t="s">
        <v>682</v>
      </c>
      <c r="B217" s="57" t="s">
        <v>175</v>
      </c>
      <c r="C217" s="98">
        <v>45619.0</v>
      </c>
      <c r="D217" s="38">
        <v>41.0</v>
      </c>
      <c r="E217" s="85" t="s">
        <v>130</v>
      </c>
      <c r="F217" s="50">
        <v>164.0</v>
      </c>
      <c r="G217" s="91">
        <v>95.0</v>
      </c>
      <c r="H217" s="85" t="s">
        <v>131</v>
      </c>
      <c r="I217" s="50">
        <v>6.0</v>
      </c>
      <c r="J217" s="55">
        <v>45505.0</v>
      </c>
      <c r="K217" s="85" t="s">
        <v>131</v>
      </c>
      <c r="L217" s="50">
        <v>2.0</v>
      </c>
      <c r="M217" s="76">
        <v>44470.0</v>
      </c>
      <c r="N217" s="50">
        <v>2.0</v>
      </c>
      <c r="O217" s="55">
        <v>44531.0</v>
      </c>
      <c r="P217" s="85" t="s">
        <v>132</v>
      </c>
      <c r="Q217" s="36" t="s">
        <v>133</v>
      </c>
      <c r="R217" s="36" t="s">
        <v>133</v>
      </c>
      <c r="S217" s="36" t="s">
        <v>133</v>
      </c>
      <c r="T217" s="36" t="s">
        <v>133</v>
      </c>
      <c r="U217" s="36" t="s">
        <v>133</v>
      </c>
      <c r="V217" s="36" t="str">
        <f t="shared" si="178"/>
        <v>Paciente ambulatorio</v>
      </c>
      <c r="W217" s="50" t="s">
        <v>143</v>
      </c>
      <c r="X217" s="85" t="s">
        <v>132</v>
      </c>
      <c r="Y217" s="50">
        <v>2.0</v>
      </c>
      <c r="Z217" s="50">
        <v>3.0</v>
      </c>
      <c r="AA217" s="50">
        <v>3.0</v>
      </c>
      <c r="AB217" s="50">
        <v>3.0</v>
      </c>
      <c r="AC217" s="50">
        <v>2.0</v>
      </c>
      <c r="AD217" s="50">
        <v>2.0</v>
      </c>
      <c r="AE217" s="50">
        <v>3.0</v>
      </c>
      <c r="AF217" s="50">
        <v>3.0</v>
      </c>
      <c r="AG217" s="50">
        <v>3.0</v>
      </c>
      <c r="AH217" s="50">
        <v>3.0</v>
      </c>
      <c r="AI217" s="50">
        <v>3.0</v>
      </c>
      <c r="AJ217" s="50">
        <v>3.0</v>
      </c>
      <c r="AK217" s="36" t="s">
        <v>133</v>
      </c>
      <c r="AL217" s="85" t="s">
        <v>132</v>
      </c>
      <c r="AM217" s="85" t="s">
        <v>132</v>
      </c>
      <c r="AN217" s="85" t="s">
        <v>132</v>
      </c>
      <c r="AO217" s="50" t="s">
        <v>131</v>
      </c>
      <c r="AP217" s="85" t="s">
        <v>132</v>
      </c>
      <c r="AQ217" s="85" t="s">
        <v>132</v>
      </c>
      <c r="AR217" s="85" t="s">
        <v>132</v>
      </c>
      <c r="AS217" s="85" t="s">
        <v>132</v>
      </c>
      <c r="AT217" s="85" t="s">
        <v>132</v>
      </c>
      <c r="AU217" s="85" t="s">
        <v>132</v>
      </c>
      <c r="AV217" s="85" t="s">
        <v>131</v>
      </c>
      <c r="AW217" s="50" t="s">
        <v>177</v>
      </c>
      <c r="AX217" s="82" t="s">
        <v>132</v>
      </c>
      <c r="AY217" s="36" t="s">
        <v>133</v>
      </c>
      <c r="AZ217" s="36" t="s">
        <v>133</v>
      </c>
      <c r="BA217" s="36" t="s">
        <v>133</v>
      </c>
      <c r="BB217" s="50" t="s">
        <v>145</v>
      </c>
      <c r="BC217" s="36" t="s">
        <v>133</v>
      </c>
      <c r="BD217" s="79">
        <v>1.0</v>
      </c>
      <c r="BE217" s="85">
        <v>1.0</v>
      </c>
      <c r="BF217" s="50">
        <v>1.0</v>
      </c>
      <c r="BG217" s="50">
        <v>1.0</v>
      </c>
      <c r="BH217" s="50">
        <v>2.0</v>
      </c>
      <c r="BI217" s="44" t="str">
        <f t="shared" si="205"/>
        <v>11112</v>
      </c>
      <c r="BJ217" s="50">
        <v>85.0</v>
      </c>
      <c r="BK217" s="50">
        <v>1.0</v>
      </c>
      <c r="BL217" s="50">
        <v>2.0</v>
      </c>
      <c r="BM217" s="50">
        <v>2.0</v>
      </c>
      <c r="BN217" s="50">
        <v>5.0</v>
      </c>
      <c r="BO217" s="50">
        <v>2.0</v>
      </c>
      <c r="BP217" s="50">
        <v>1.0</v>
      </c>
      <c r="BQ217" s="50">
        <v>2.0</v>
      </c>
      <c r="BR217" s="50">
        <v>2.0</v>
      </c>
      <c r="BS217" s="50">
        <v>2.0</v>
      </c>
      <c r="BT217" s="50">
        <v>2.0</v>
      </c>
      <c r="BU217" s="53">
        <f t="shared" si="346"/>
        <v>1</v>
      </c>
      <c r="BV217" s="53">
        <f t="shared" si="347"/>
        <v>4</v>
      </c>
      <c r="BW217" s="53">
        <f t="shared" si="183"/>
        <v>20</v>
      </c>
      <c r="BX217" s="53" t="str">
        <f t="shared" si="348"/>
        <v>NO HAY FATIGA</v>
      </c>
      <c r="BY217" s="50">
        <v>0.0</v>
      </c>
      <c r="BZ217" s="50">
        <v>0.0</v>
      </c>
      <c r="CA217" s="85">
        <v>0.0</v>
      </c>
      <c r="CB217" s="50">
        <v>1.0</v>
      </c>
      <c r="CC217" s="50">
        <v>0.0</v>
      </c>
      <c r="CD217" s="50">
        <v>60.0</v>
      </c>
      <c r="CE217" s="50">
        <v>2.0</v>
      </c>
      <c r="CF217" s="85">
        <v>0.0</v>
      </c>
      <c r="CG217" s="50">
        <v>20.0</v>
      </c>
      <c r="CH217" s="50">
        <v>8.0</v>
      </c>
      <c r="CI217" s="85">
        <v>0.0</v>
      </c>
      <c r="CJ217" s="53">
        <f t="shared" si="254"/>
        <v>372</v>
      </c>
      <c r="CK217" s="53">
        <f t="shared" si="206"/>
        <v>3</v>
      </c>
      <c r="CL217" s="44" t="b">
        <f t="shared" si="207"/>
        <v>0</v>
      </c>
      <c r="CM217" s="44" t="b">
        <f t="shared" si="208"/>
        <v>0</v>
      </c>
      <c r="CN217" s="45" t="str">
        <f t="shared" si="209"/>
        <v>Nivel de actividad física bajo</v>
      </c>
      <c r="CO217" s="78">
        <v>0.020833333333333332</v>
      </c>
      <c r="CP217" s="50">
        <v>60.0</v>
      </c>
      <c r="CQ217" s="44">
        <f>IF(CP217&gt;60,3,IF(CP217&gt;30,2,IF(CP217&gt;15,1,0)))</f>
        <v>2</v>
      </c>
      <c r="CR217" s="50">
        <v>9.0</v>
      </c>
      <c r="CS217" s="50">
        <v>30.0</v>
      </c>
      <c r="CT217" s="50">
        <v>9.0</v>
      </c>
      <c r="CU217" s="50">
        <v>7.0</v>
      </c>
      <c r="CV217" s="50">
        <v>3.0</v>
      </c>
      <c r="CW217" s="85">
        <v>3.0</v>
      </c>
      <c r="CX217" s="50">
        <v>3.0</v>
      </c>
      <c r="CY217" s="85">
        <v>0.0</v>
      </c>
      <c r="CZ217" s="85">
        <v>0.0</v>
      </c>
      <c r="DA217" s="85">
        <v>0.0</v>
      </c>
      <c r="DB217" s="50">
        <v>1.0</v>
      </c>
      <c r="DC217" s="50">
        <v>0.0</v>
      </c>
      <c r="DD217" s="50">
        <v>0.0</v>
      </c>
      <c r="DE217" s="82">
        <v>0.0</v>
      </c>
      <c r="DF217" s="36" t="s">
        <v>133</v>
      </c>
      <c r="DG217" s="97">
        <f t="shared" si="55"/>
        <v>7</v>
      </c>
      <c r="DH217" s="50">
        <v>1.0</v>
      </c>
      <c r="DI217" s="50">
        <v>0.0</v>
      </c>
      <c r="DJ217" s="50">
        <v>1.0</v>
      </c>
      <c r="DK217" s="50">
        <v>1.0</v>
      </c>
      <c r="DL217" s="68">
        <f t="shared" si="237"/>
        <v>77.77777778</v>
      </c>
      <c r="DM217" s="53">
        <f t="shared" si="238"/>
        <v>0</v>
      </c>
      <c r="DN217" s="53">
        <f t="shared" si="239"/>
        <v>1</v>
      </c>
      <c r="DO217" s="53">
        <f t="shared" si="240"/>
        <v>3</v>
      </c>
      <c r="DP217" s="53">
        <f t="shared" si="241"/>
        <v>1</v>
      </c>
      <c r="DQ217" s="53">
        <f t="shared" si="242"/>
        <v>1</v>
      </c>
      <c r="DR217" s="53">
        <f t="shared" ref="DR217:DS217" si="351">(DH217)</f>
        <v>1</v>
      </c>
      <c r="DS217" s="53">
        <f t="shared" si="351"/>
        <v>0</v>
      </c>
      <c r="DT217" s="53">
        <f t="shared" si="41"/>
        <v>7</v>
      </c>
      <c r="DU217" s="53" t="str">
        <f t="shared" si="244"/>
        <v>poor sleep quality</v>
      </c>
      <c r="DV217" s="85">
        <v>0.0</v>
      </c>
      <c r="DW217" s="36" t="s">
        <v>133</v>
      </c>
      <c r="DX217" s="50" t="s">
        <v>137</v>
      </c>
      <c r="DY217" s="85">
        <v>1.0</v>
      </c>
      <c r="DZ217" s="85" t="s">
        <v>131</v>
      </c>
      <c r="EA217" s="85" t="s">
        <v>167</v>
      </c>
      <c r="EB217" s="85" t="s">
        <v>139</v>
      </c>
      <c r="EC217" s="36" t="s">
        <v>133</v>
      </c>
      <c r="ED217" s="85" t="s">
        <v>131</v>
      </c>
      <c r="EE217" s="50" t="s">
        <v>151</v>
      </c>
      <c r="EF217" s="35">
        <f t="shared" si="352"/>
        <v>1149</v>
      </c>
      <c r="EG217" s="36" t="s">
        <v>133</v>
      </c>
      <c r="EH217" s="47">
        <f t="shared" si="24"/>
        <v>35.32123736</v>
      </c>
    </row>
    <row r="218" ht="15.75" customHeight="1">
      <c r="A218" s="99"/>
      <c r="B218" s="99"/>
      <c r="C218" s="99"/>
      <c r="D218" s="87"/>
      <c r="E218" s="99"/>
      <c r="F218" s="99"/>
      <c r="G218" s="99"/>
      <c r="H218" s="99"/>
      <c r="I218" s="99"/>
      <c r="J218" s="100"/>
      <c r="K218" s="99"/>
      <c r="L218" s="99"/>
      <c r="M218" s="100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  <c r="AA218" s="99"/>
      <c r="AB218" s="99"/>
      <c r="AC218" s="99"/>
      <c r="AD218" s="99"/>
      <c r="AE218" s="99"/>
      <c r="AF218" s="99"/>
      <c r="AG218" s="99"/>
      <c r="AH218" s="99"/>
      <c r="AI218" s="99"/>
      <c r="AJ218" s="99"/>
      <c r="AK218" s="99"/>
      <c r="AL218" s="99"/>
      <c r="AM218" s="99"/>
      <c r="AN218" s="99"/>
      <c r="AO218" s="99"/>
      <c r="AP218" s="99"/>
      <c r="AQ218" s="99"/>
      <c r="AR218" s="99"/>
      <c r="AS218" s="99"/>
      <c r="AT218" s="99"/>
      <c r="AU218" s="99"/>
      <c r="AV218" s="99"/>
      <c r="AW218" s="99"/>
      <c r="AX218" s="99"/>
      <c r="AY218" s="99"/>
      <c r="AZ218" s="99"/>
      <c r="BA218" s="99"/>
      <c r="BB218" s="99"/>
      <c r="BC218" s="99"/>
      <c r="BD218" s="99"/>
      <c r="BE218" s="99"/>
      <c r="BF218" s="99"/>
      <c r="BG218" s="99"/>
      <c r="BH218" s="99"/>
      <c r="BI218" s="99"/>
      <c r="BJ218" s="99"/>
      <c r="BK218" s="99"/>
      <c r="BL218" s="99"/>
      <c r="BM218" s="99"/>
      <c r="BN218" s="99"/>
      <c r="BO218" s="99"/>
      <c r="BP218" s="99"/>
      <c r="BQ218" s="99"/>
      <c r="BR218" s="99"/>
      <c r="BS218" s="99"/>
      <c r="BT218" s="99"/>
      <c r="BU218" s="99"/>
      <c r="BV218" s="99"/>
      <c r="BW218" s="99"/>
      <c r="BX218" s="99"/>
      <c r="BY218" s="99"/>
      <c r="BZ218" s="99"/>
      <c r="CA218" s="99"/>
      <c r="CB218" s="99"/>
      <c r="CC218" s="99"/>
      <c r="CD218" s="99"/>
      <c r="CE218" s="99"/>
      <c r="CF218" s="99"/>
      <c r="CG218" s="99"/>
      <c r="CH218" s="99"/>
      <c r="CI218" s="99"/>
      <c r="CJ218" s="99"/>
      <c r="CK218" s="99"/>
      <c r="CL218" s="99"/>
      <c r="CM218" s="99"/>
      <c r="CN218" s="99"/>
      <c r="CO218" s="99"/>
      <c r="CP218" s="99"/>
      <c r="CQ218" s="99"/>
      <c r="CR218" s="99"/>
      <c r="CS218" s="99"/>
      <c r="CT218" s="99"/>
      <c r="CU218" s="99"/>
      <c r="CV218" s="99"/>
      <c r="CW218" s="99"/>
      <c r="CX218" s="99"/>
      <c r="CY218" s="99"/>
      <c r="CZ218" s="99"/>
      <c r="DA218" s="99"/>
      <c r="DB218" s="99"/>
      <c r="DC218" s="99"/>
      <c r="DD218" s="99"/>
      <c r="DE218" s="99"/>
      <c r="DF218" s="99"/>
      <c r="DG218" s="99"/>
      <c r="DH218" s="99"/>
      <c r="DI218" s="99"/>
      <c r="DJ218" s="99"/>
      <c r="DK218" s="99"/>
      <c r="DL218" s="101"/>
      <c r="DM218" s="99"/>
      <c r="DN218" s="99"/>
      <c r="DO218" s="99"/>
      <c r="DP218" s="99"/>
      <c r="DQ218" s="99"/>
      <c r="DR218" s="99"/>
      <c r="DS218" s="99"/>
      <c r="DT218" s="99"/>
      <c r="DU218" s="99"/>
      <c r="DV218" s="99"/>
      <c r="DW218" s="99"/>
      <c r="DX218" s="99"/>
      <c r="DY218" s="99"/>
      <c r="DZ218" s="99"/>
      <c r="EA218" s="99"/>
      <c r="EB218" s="99"/>
      <c r="EC218" s="99"/>
      <c r="ED218" s="99"/>
      <c r="EE218" s="99"/>
      <c r="EF218" s="99"/>
      <c r="EG218" s="99"/>
      <c r="EH218" s="99"/>
    </row>
    <row r="219" ht="15.75" customHeight="1">
      <c r="A219" s="99"/>
      <c r="B219" s="99"/>
      <c r="C219" s="99"/>
      <c r="D219" s="87"/>
      <c r="E219" s="99"/>
      <c r="F219" s="99"/>
      <c r="G219" s="99"/>
      <c r="H219" s="99"/>
      <c r="I219" s="99"/>
      <c r="J219" s="100"/>
      <c r="K219" s="99"/>
      <c r="L219" s="99"/>
      <c r="M219" s="100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  <c r="AA219" s="99"/>
      <c r="AB219" s="99"/>
      <c r="AC219" s="99"/>
      <c r="AD219" s="99"/>
      <c r="AE219" s="99"/>
      <c r="AF219" s="99"/>
      <c r="AG219" s="99"/>
      <c r="AH219" s="99"/>
      <c r="AI219" s="99"/>
      <c r="AJ219" s="99"/>
      <c r="AK219" s="99"/>
      <c r="AL219" s="99"/>
      <c r="AM219" s="99"/>
      <c r="AN219" s="99"/>
      <c r="AO219" s="99"/>
      <c r="AP219" s="99"/>
      <c r="AQ219" s="99"/>
      <c r="AR219" s="99"/>
      <c r="AS219" s="99"/>
      <c r="AT219" s="99"/>
      <c r="AU219" s="99"/>
      <c r="AV219" s="99"/>
      <c r="AW219" s="99"/>
      <c r="AX219" s="99"/>
      <c r="AY219" s="99"/>
      <c r="AZ219" s="99"/>
      <c r="BA219" s="99"/>
      <c r="BB219" s="99"/>
      <c r="BC219" s="99"/>
      <c r="BD219" s="99"/>
      <c r="BE219" s="99"/>
      <c r="BF219" s="99"/>
      <c r="BG219" s="99"/>
      <c r="BH219" s="99"/>
      <c r="BI219" s="99"/>
      <c r="BJ219" s="99"/>
      <c r="BK219" s="99"/>
      <c r="BL219" s="99"/>
      <c r="BM219" s="99"/>
      <c r="BN219" s="99"/>
      <c r="BO219" s="99"/>
      <c r="BP219" s="99"/>
      <c r="BQ219" s="99"/>
      <c r="BR219" s="99"/>
      <c r="BS219" s="99"/>
      <c r="BT219" s="99"/>
      <c r="BU219" s="99"/>
      <c r="BV219" s="99"/>
      <c r="BW219" s="99"/>
      <c r="BX219" s="99"/>
      <c r="BY219" s="99"/>
      <c r="BZ219" s="99"/>
      <c r="CA219" s="99"/>
      <c r="CB219" s="99"/>
      <c r="CC219" s="99"/>
      <c r="CD219" s="99"/>
      <c r="CE219" s="99"/>
      <c r="CF219" s="99"/>
      <c r="CG219" s="99"/>
      <c r="CH219" s="99"/>
      <c r="CI219" s="99"/>
      <c r="CJ219" s="99"/>
      <c r="CK219" s="99"/>
      <c r="CL219" s="99"/>
      <c r="CM219" s="99"/>
      <c r="CN219" s="99"/>
      <c r="CO219" s="99"/>
      <c r="CP219" s="99"/>
      <c r="CQ219" s="99"/>
      <c r="CR219" s="99"/>
      <c r="CS219" s="99"/>
      <c r="CT219" s="99"/>
      <c r="CU219" s="99"/>
      <c r="CV219" s="99"/>
      <c r="CW219" s="99"/>
      <c r="CX219" s="99"/>
      <c r="CY219" s="99"/>
      <c r="CZ219" s="99"/>
      <c r="DA219" s="99"/>
      <c r="DB219" s="99"/>
      <c r="DC219" s="99"/>
      <c r="DD219" s="99"/>
      <c r="DE219" s="99"/>
      <c r="DF219" s="99"/>
      <c r="DG219" s="99"/>
      <c r="DH219" s="99"/>
      <c r="DI219" s="99"/>
      <c r="DJ219" s="99"/>
      <c r="DK219" s="99"/>
      <c r="DL219" s="101"/>
      <c r="DM219" s="99"/>
      <c r="DN219" s="99"/>
      <c r="DO219" s="99"/>
      <c r="DP219" s="99"/>
      <c r="DQ219" s="99"/>
      <c r="DR219" s="99"/>
      <c r="DS219" s="99"/>
      <c r="DT219" s="99"/>
      <c r="DU219" s="99"/>
      <c r="DV219" s="99"/>
      <c r="DW219" s="99"/>
      <c r="DX219" s="99"/>
      <c r="DY219" s="99"/>
      <c r="DZ219" s="99"/>
      <c r="EA219" s="99"/>
      <c r="EB219" s="99"/>
      <c r="EC219" s="99"/>
      <c r="ED219" s="99"/>
      <c r="EE219" s="99"/>
      <c r="EF219" s="99"/>
      <c r="EG219" s="99"/>
      <c r="EH219" s="99"/>
    </row>
    <row r="220" ht="15.75" customHeight="1">
      <c r="A220" s="99"/>
      <c r="B220" s="99"/>
      <c r="C220" s="99"/>
      <c r="D220" s="87"/>
      <c r="E220" s="99"/>
      <c r="F220" s="99"/>
      <c r="G220" s="99"/>
      <c r="H220" s="99"/>
      <c r="I220" s="99"/>
      <c r="J220" s="100"/>
      <c r="K220" s="99"/>
      <c r="L220" s="99"/>
      <c r="M220" s="100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  <c r="AA220" s="99"/>
      <c r="AB220" s="99"/>
      <c r="AC220" s="99"/>
      <c r="AD220" s="99"/>
      <c r="AE220" s="99"/>
      <c r="AF220" s="99"/>
      <c r="AG220" s="99"/>
      <c r="AH220" s="99"/>
      <c r="AI220" s="99"/>
      <c r="AJ220" s="99"/>
      <c r="AK220" s="99"/>
      <c r="AL220" s="99"/>
      <c r="AM220" s="99"/>
      <c r="AN220" s="99"/>
      <c r="AO220" s="99"/>
      <c r="AP220" s="99"/>
      <c r="AQ220" s="99"/>
      <c r="AR220" s="99"/>
      <c r="AS220" s="99"/>
      <c r="AT220" s="99"/>
      <c r="AU220" s="99"/>
      <c r="AV220" s="99"/>
      <c r="AW220" s="99"/>
      <c r="AX220" s="99"/>
      <c r="AY220" s="99"/>
      <c r="AZ220" s="99"/>
      <c r="BA220" s="99"/>
      <c r="BB220" s="99"/>
      <c r="BC220" s="99"/>
      <c r="BD220" s="99"/>
      <c r="BE220" s="99"/>
      <c r="BF220" s="99"/>
      <c r="BG220" s="99"/>
      <c r="BH220" s="99"/>
      <c r="BI220" s="99"/>
      <c r="BJ220" s="99"/>
      <c r="BK220" s="99"/>
      <c r="BL220" s="99"/>
      <c r="BM220" s="99"/>
      <c r="BN220" s="99"/>
      <c r="BO220" s="99"/>
      <c r="BP220" s="99"/>
      <c r="BQ220" s="99"/>
      <c r="BR220" s="99"/>
      <c r="BS220" s="99"/>
      <c r="BT220" s="99"/>
      <c r="BU220" s="99"/>
      <c r="BV220" s="99"/>
      <c r="BW220" s="99"/>
      <c r="BX220" s="99"/>
      <c r="BY220" s="99"/>
      <c r="BZ220" s="99"/>
      <c r="CA220" s="99"/>
      <c r="CB220" s="99"/>
      <c r="CC220" s="99"/>
      <c r="CD220" s="99"/>
      <c r="CE220" s="99"/>
      <c r="CF220" s="99"/>
      <c r="CG220" s="99"/>
      <c r="CH220" s="99"/>
      <c r="CI220" s="99"/>
      <c r="CJ220" s="99"/>
      <c r="CK220" s="99"/>
      <c r="CL220" s="99"/>
      <c r="CM220" s="99"/>
      <c r="CN220" s="99"/>
      <c r="CO220" s="99"/>
      <c r="CP220" s="99"/>
      <c r="CQ220" s="99"/>
      <c r="CR220" s="99"/>
      <c r="CS220" s="99"/>
      <c r="CT220" s="99"/>
      <c r="CU220" s="99"/>
      <c r="CV220" s="99"/>
      <c r="CW220" s="99"/>
      <c r="CX220" s="99"/>
      <c r="CY220" s="99"/>
      <c r="CZ220" s="99"/>
      <c r="DA220" s="99"/>
      <c r="DB220" s="99"/>
      <c r="DC220" s="99"/>
      <c r="DD220" s="99"/>
      <c r="DE220" s="99"/>
      <c r="DF220" s="99"/>
      <c r="DG220" s="99"/>
      <c r="DH220" s="99"/>
      <c r="DI220" s="99"/>
      <c r="DJ220" s="99"/>
      <c r="DK220" s="99"/>
      <c r="DL220" s="101"/>
      <c r="DM220" s="99"/>
      <c r="DN220" s="99"/>
      <c r="DO220" s="99"/>
      <c r="DP220" s="99"/>
      <c r="DQ220" s="99"/>
      <c r="DR220" s="99"/>
      <c r="DS220" s="99"/>
      <c r="DT220" s="99"/>
      <c r="DU220" s="99"/>
      <c r="DV220" s="99"/>
      <c r="DW220" s="99"/>
      <c r="DX220" s="99"/>
      <c r="DY220" s="99"/>
      <c r="DZ220" s="99"/>
      <c r="EA220" s="99"/>
      <c r="EB220" s="99"/>
      <c r="EC220" s="99"/>
      <c r="ED220" s="99"/>
      <c r="EE220" s="99"/>
      <c r="EF220" s="99"/>
      <c r="EG220" s="99"/>
      <c r="EH220" s="99"/>
    </row>
    <row r="221" ht="15.75" customHeight="1">
      <c r="A221" s="99"/>
      <c r="B221" s="99"/>
      <c r="C221" s="99"/>
      <c r="D221" s="87"/>
      <c r="E221" s="99"/>
      <c r="F221" s="99"/>
      <c r="G221" s="99"/>
      <c r="H221" s="99"/>
      <c r="I221" s="99"/>
      <c r="J221" s="100"/>
      <c r="K221" s="99"/>
      <c r="L221" s="99"/>
      <c r="M221" s="100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  <c r="AA221" s="99"/>
      <c r="AB221" s="99"/>
      <c r="AC221" s="99"/>
      <c r="AD221" s="99"/>
      <c r="AE221" s="99"/>
      <c r="AF221" s="99"/>
      <c r="AG221" s="99"/>
      <c r="AH221" s="99"/>
      <c r="AI221" s="99"/>
      <c r="AJ221" s="99"/>
      <c r="AK221" s="99"/>
      <c r="AL221" s="99"/>
      <c r="AM221" s="99"/>
      <c r="AN221" s="99"/>
      <c r="AO221" s="99"/>
      <c r="AP221" s="99"/>
      <c r="AQ221" s="99"/>
      <c r="AR221" s="99"/>
      <c r="AS221" s="99"/>
      <c r="AT221" s="99"/>
      <c r="AU221" s="99"/>
      <c r="AV221" s="99"/>
      <c r="AW221" s="99"/>
      <c r="AX221" s="99"/>
      <c r="AY221" s="99"/>
      <c r="AZ221" s="99"/>
      <c r="BA221" s="99"/>
      <c r="BB221" s="99"/>
      <c r="BC221" s="99"/>
      <c r="BD221" s="99"/>
      <c r="BE221" s="99"/>
      <c r="BF221" s="99"/>
      <c r="BG221" s="99"/>
      <c r="BH221" s="99"/>
      <c r="BI221" s="99"/>
      <c r="BJ221" s="99"/>
      <c r="BK221" s="99"/>
      <c r="BL221" s="99"/>
      <c r="BM221" s="99"/>
      <c r="BN221" s="99"/>
      <c r="BO221" s="99"/>
      <c r="BP221" s="99"/>
      <c r="BQ221" s="99"/>
      <c r="BR221" s="99"/>
      <c r="BS221" s="99"/>
      <c r="BT221" s="99"/>
      <c r="BU221" s="99"/>
      <c r="BV221" s="99"/>
      <c r="BW221" s="99"/>
      <c r="BX221" s="99"/>
      <c r="BY221" s="99"/>
      <c r="BZ221" s="99"/>
      <c r="CA221" s="99"/>
      <c r="CB221" s="99"/>
      <c r="CC221" s="99"/>
      <c r="CD221" s="99"/>
      <c r="CE221" s="99"/>
      <c r="CF221" s="99"/>
      <c r="CG221" s="99"/>
      <c r="CH221" s="99"/>
      <c r="CI221" s="99"/>
      <c r="CJ221" s="99"/>
      <c r="CK221" s="99"/>
      <c r="CL221" s="99"/>
      <c r="CM221" s="99"/>
      <c r="CN221" s="99"/>
      <c r="CO221" s="99"/>
      <c r="CP221" s="99"/>
      <c r="CQ221" s="99"/>
      <c r="CR221" s="99"/>
      <c r="CS221" s="99"/>
      <c r="CT221" s="99"/>
      <c r="CU221" s="99"/>
      <c r="CV221" s="99"/>
      <c r="CW221" s="99"/>
      <c r="CX221" s="99"/>
      <c r="CY221" s="99"/>
      <c r="CZ221" s="99"/>
      <c r="DA221" s="99"/>
      <c r="DB221" s="99"/>
      <c r="DC221" s="99"/>
      <c r="DD221" s="99"/>
      <c r="DE221" s="99"/>
      <c r="DF221" s="99"/>
      <c r="DG221" s="99"/>
      <c r="DH221" s="99"/>
      <c r="DI221" s="99"/>
      <c r="DJ221" s="99"/>
      <c r="DK221" s="99"/>
      <c r="DL221" s="101"/>
      <c r="DM221" s="99"/>
      <c r="DN221" s="99"/>
      <c r="DO221" s="99"/>
      <c r="DP221" s="99"/>
      <c r="DQ221" s="99"/>
      <c r="DR221" s="99"/>
      <c r="DS221" s="99"/>
      <c r="DT221" s="99"/>
      <c r="DU221" s="99"/>
      <c r="DV221" s="99"/>
      <c r="DW221" s="99"/>
      <c r="DX221" s="99"/>
      <c r="DY221" s="99"/>
      <c r="DZ221" s="99"/>
      <c r="EA221" s="99"/>
      <c r="EB221" s="99"/>
      <c r="EC221" s="99"/>
      <c r="ED221" s="99"/>
      <c r="EE221" s="99"/>
      <c r="EF221" s="99"/>
      <c r="EG221" s="99"/>
      <c r="EH221" s="99"/>
    </row>
    <row r="222" ht="15.75" customHeight="1">
      <c r="A222" s="99"/>
      <c r="B222" s="99"/>
      <c r="C222" s="99"/>
      <c r="D222" s="87"/>
      <c r="E222" s="99"/>
      <c r="F222" s="99"/>
      <c r="G222" s="99"/>
      <c r="H222" s="99"/>
      <c r="I222" s="99"/>
      <c r="J222" s="100"/>
      <c r="K222" s="99"/>
      <c r="L222" s="99"/>
      <c r="M222" s="100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  <c r="AA222" s="99"/>
      <c r="AB222" s="99"/>
      <c r="AC222" s="99"/>
      <c r="AD222" s="99"/>
      <c r="AE222" s="99"/>
      <c r="AF222" s="99"/>
      <c r="AG222" s="99"/>
      <c r="AH222" s="99"/>
      <c r="AI222" s="99"/>
      <c r="AJ222" s="99"/>
      <c r="AK222" s="99"/>
      <c r="AL222" s="99"/>
      <c r="AM222" s="99"/>
      <c r="AN222" s="99"/>
      <c r="AO222" s="99"/>
      <c r="AP222" s="99"/>
      <c r="AQ222" s="99"/>
      <c r="AR222" s="99"/>
      <c r="AS222" s="99"/>
      <c r="AT222" s="99"/>
      <c r="AU222" s="99"/>
      <c r="AV222" s="99"/>
      <c r="AW222" s="99"/>
      <c r="AX222" s="99"/>
      <c r="AY222" s="99"/>
      <c r="AZ222" s="99"/>
      <c r="BA222" s="99"/>
      <c r="BB222" s="99"/>
      <c r="BC222" s="99"/>
      <c r="BD222" s="99"/>
      <c r="BE222" s="99"/>
      <c r="BF222" s="99"/>
      <c r="BG222" s="99"/>
      <c r="BH222" s="99"/>
      <c r="BI222" s="99"/>
      <c r="BJ222" s="99"/>
      <c r="BK222" s="99"/>
      <c r="BL222" s="99"/>
      <c r="BM222" s="99"/>
      <c r="BN222" s="99"/>
      <c r="BO222" s="99"/>
      <c r="BP222" s="99"/>
      <c r="BQ222" s="99"/>
      <c r="BR222" s="99"/>
      <c r="BS222" s="99"/>
      <c r="BT222" s="99"/>
      <c r="BU222" s="99"/>
      <c r="BV222" s="99"/>
      <c r="BW222" s="99"/>
      <c r="BX222" s="99"/>
      <c r="BY222" s="99"/>
      <c r="BZ222" s="99"/>
      <c r="CA222" s="99"/>
      <c r="CB222" s="99"/>
      <c r="CC222" s="99"/>
      <c r="CD222" s="99"/>
      <c r="CE222" s="99"/>
      <c r="CF222" s="99"/>
      <c r="CG222" s="99"/>
      <c r="CH222" s="99"/>
      <c r="CI222" s="99"/>
      <c r="CJ222" s="99"/>
      <c r="CK222" s="99"/>
      <c r="CL222" s="99"/>
      <c r="CM222" s="99"/>
      <c r="CN222" s="99"/>
      <c r="CO222" s="99"/>
      <c r="CP222" s="99"/>
      <c r="CQ222" s="99"/>
      <c r="CR222" s="99"/>
      <c r="CS222" s="99"/>
      <c r="CT222" s="99"/>
      <c r="CU222" s="99"/>
      <c r="CV222" s="99"/>
      <c r="CW222" s="99"/>
      <c r="CX222" s="99"/>
      <c r="CY222" s="99"/>
      <c r="CZ222" s="99"/>
      <c r="DA222" s="99"/>
      <c r="DB222" s="99"/>
      <c r="DC222" s="99"/>
      <c r="DD222" s="99"/>
      <c r="DE222" s="99"/>
      <c r="DF222" s="99"/>
      <c r="DG222" s="99"/>
      <c r="DH222" s="99"/>
      <c r="DI222" s="99"/>
      <c r="DJ222" s="99"/>
      <c r="DK222" s="99"/>
      <c r="DL222" s="101"/>
      <c r="DM222" s="99"/>
      <c r="DN222" s="99"/>
      <c r="DO222" s="99"/>
      <c r="DP222" s="99"/>
      <c r="DQ222" s="99"/>
      <c r="DR222" s="99"/>
      <c r="DS222" s="99"/>
      <c r="DT222" s="99"/>
      <c r="DU222" s="99"/>
      <c r="DV222" s="99"/>
      <c r="DW222" s="99"/>
      <c r="DX222" s="99"/>
      <c r="DY222" s="99"/>
      <c r="DZ222" s="99"/>
      <c r="EA222" s="99"/>
      <c r="EB222" s="99"/>
      <c r="EC222" s="99"/>
      <c r="ED222" s="99"/>
      <c r="EE222" s="99"/>
      <c r="EF222" s="99"/>
      <c r="EG222" s="99"/>
      <c r="EH222" s="99"/>
    </row>
    <row r="223" ht="15.75" customHeight="1">
      <c r="A223" s="99"/>
      <c r="B223" s="99"/>
      <c r="C223" s="99"/>
      <c r="D223" s="87"/>
      <c r="E223" s="99"/>
      <c r="F223" s="99"/>
      <c r="G223" s="99"/>
      <c r="H223" s="99"/>
      <c r="I223" s="99"/>
      <c r="J223" s="100"/>
      <c r="K223" s="99"/>
      <c r="L223" s="99"/>
      <c r="M223" s="100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  <c r="AA223" s="99"/>
      <c r="AB223" s="99"/>
      <c r="AC223" s="99"/>
      <c r="AD223" s="99"/>
      <c r="AE223" s="99"/>
      <c r="AF223" s="99"/>
      <c r="AG223" s="99"/>
      <c r="AH223" s="99"/>
      <c r="AI223" s="99"/>
      <c r="AJ223" s="99"/>
      <c r="AK223" s="99"/>
      <c r="AL223" s="99"/>
      <c r="AM223" s="99"/>
      <c r="AN223" s="99"/>
      <c r="AO223" s="99"/>
      <c r="AP223" s="99"/>
      <c r="AQ223" s="99"/>
      <c r="AR223" s="99"/>
      <c r="AS223" s="99"/>
      <c r="AT223" s="99"/>
      <c r="AU223" s="99"/>
      <c r="AV223" s="99"/>
      <c r="AW223" s="99"/>
      <c r="AX223" s="99"/>
      <c r="AY223" s="99"/>
      <c r="AZ223" s="99"/>
      <c r="BA223" s="99"/>
      <c r="BB223" s="99"/>
      <c r="BC223" s="99"/>
      <c r="BD223" s="99"/>
      <c r="BE223" s="99"/>
      <c r="BF223" s="99"/>
      <c r="BG223" s="99"/>
      <c r="BH223" s="99"/>
      <c r="BI223" s="99"/>
      <c r="BJ223" s="99"/>
      <c r="BK223" s="99"/>
      <c r="BL223" s="99"/>
      <c r="BM223" s="99"/>
      <c r="BN223" s="99"/>
      <c r="BO223" s="99"/>
      <c r="BP223" s="99"/>
      <c r="BQ223" s="99"/>
      <c r="BR223" s="99"/>
      <c r="BS223" s="99"/>
      <c r="BT223" s="99"/>
      <c r="BU223" s="99"/>
      <c r="BV223" s="99"/>
      <c r="BW223" s="99"/>
      <c r="BX223" s="99"/>
      <c r="BY223" s="99"/>
      <c r="BZ223" s="99"/>
      <c r="CA223" s="99"/>
      <c r="CB223" s="99"/>
      <c r="CC223" s="99"/>
      <c r="CD223" s="99"/>
      <c r="CE223" s="99"/>
      <c r="CF223" s="99"/>
      <c r="CG223" s="99"/>
      <c r="CH223" s="99"/>
      <c r="CI223" s="99"/>
      <c r="CJ223" s="99"/>
      <c r="CK223" s="99"/>
      <c r="CL223" s="99"/>
      <c r="CM223" s="99"/>
      <c r="CN223" s="99"/>
      <c r="CO223" s="99"/>
      <c r="CP223" s="99"/>
      <c r="CQ223" s="99"/>
      <c r="CR223" s="99"/>
      <c r="CS223" s="99"/>
      <c r="CT223" s="99"/>
      <c r="CU223" s="99"/>
      <c r="CV223" s="99"/>
      <c r="CW223" s="99"/>
      <c r="CX223" s="99"/>
      <c r="CY223" s="99"/>
      <c r="CZ223" s="99"/>
      <c r="DA223" s="99"/>
      <c r="DB223" s="99"/>
      <c r="DC223" s="99"/>
      <c r="DD223" s="99"/>
      <c r="DE223" s="99"/>
      <c r="DF223" s="99"/>
      <c r="DG223" s="99"/>
      <c r="DH223" s="99"/>
      <c r="DI223" s="99"/>
      <c r="DJ223" s="99"/>
      <c r="DK223" s="99"/>
      <c r="DL223" s="101"/>
      <c r="DM223" s="99"/>
      <c r="DN223" s="99"/>
      <c r="DO223" s="99"/>
      <c r="DP223" s="99"/>
      <c r="DQ223" s="99"/>
      <c r="DR223" s="99"/>
      <c r="DS223" s="99"/>
      <c r="DT223" s="99"/>
      <c r="DU223" s="99"/>
      <c r="DV223" s="99"/>
      <c r="DW223" s="99"/>
      <c r="DX223" s="99"/>
      <c r="DY223" s="99"/>
      <c r="DZ223" s="99"/>
      <c r="EA223" s="99"/>
      <c r="EB223" s="99"/>
      <c r="EC223" s="99"/>
      <c r="ED223" s="99"/>
      <c r="EE223" s="99"/>
      <c r="EF223" s="99"/>
      <c r="EG223" s="99"/>
      <c r="EH223" s="99"/>
    </row>
    <row r="224" ht="15.75" customHeight="1">
      <c r="A224" s="99"/>
      <c r="B224" s="99"/>
      <c r="C224" s="99"/>
      <c r="D224" s="87"/>
      <c r="E224" s="99"/>
      <c r="F224" s="99"/>
      <c r="G224" s="99"/>
      <c r="H224" s="99"/>
      <c r="I224" s="99"/>
      <c r="J224" s="100"/>
      <c r="K224" s="99"/>
      <c r="L224" s="99"/>
      <c r="M224" s="100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  <c r="AA224" s="99"/>
      <c r="AB224" s="99"/>
      <c r="AC224" s="99"/>
      <c r="AD224" s="99"/>
      <c r="AE224" s="99"/>
      <c r="AF224" s="99"/>
      <c r="AG224" s="99"/>
      <c r="AH224" s="99"/>
      <c r="AI224" s="99"/>
      <c r="AJ224" s="99"/>
      <c r="AK224" s="99"/>
      <c r="AL224" s="99"/>
      <c r="AM224" s="99"/>
      <c r="AN224" s="99"/>
      <c r="AO224" s="99"/>
      <c r="AP224" s="99"/>
      <c r="AQ224" s="99"/>
      <c r="AR224" s="99"/>
      <c r="AS224" s="99"/>
      <c r="AT224" s="99"/>
      <c r="AU224" s="99"/>
      <c r="AV224" s="99"/>
      <c r="AW224" s="99"/>
      <c r="AX224" s="99"/>
      <c r="AY224" s="99"/>
      <c r="AZ224" s="99"/>
      <c r="BA224" s="99"/>
      <c r="BB224" s="99"/>
      <c r="BC224" s="99"/>
      <c r="BD224" s="99"/>
      <c r="BE224" s="99"/>
      <c r="BF224" s="99"/>
      <c r="BG224" s="99"/>
      <c r="BH224" s="99"/>
      <c r="BI224" s="99"/>
      <c r="BJ224" s="99"/>
      <c r="BK224" s="99"/>
      <c r="BL224" s="99"/>
      <c r="BM224" s="99"/>
      <c r="BN224" s="99"/>
      <c r="BO224" s="99"/>
      <c r="BP224" s="99"/>
      <c r="BQ224" s="99"/>
      <c r="BR224" s="99"/>
      <c r="BS224" s="99"/>
      <c r="BT224" s="99"/>
      <c r="BU224" s="99"/>
      <c r="BV224" s="99"/>
      <c r="BW224" s="99"/>
      <c r="BX224" s="99"/>
      <c r="BY224" s="99"/>
      <c r="BZ224" s="99"/>
      <c r="CA224" s="99"/>
      <c r="CB224" s="99"/>
      <c r="CC224" s="99"/>
      <c r="CD224" s="99"/>
      <c r="CE224" s="99"/>
      <c r="CF224" s="99"/>
      <c r="CG224" s="99"/>
      <c r="CH224" s="99"/>
      <c r="CI224" s="99"/>
      <c r="CJ224" s="99"/>
      <c r="CK224" s="99"/>
      <c r="CL224" s="99"/>
      <c r="CM224" s="99"/>
      <c r="CN224" s="99"/>
      <c r="CO224" s="99"/>
      <c r="CP224" s="99"/>
      <c r="CQ224" s="99"/>
      <c r="CR224" s="99"/>
      <c r="CS224" s="99"/>
      <c r="CT224" s="99"/>
      <c r="CU224" s="99"/>
      <c r="CV224" s="99"/>
      <c r="CW224" s="99"/>
      <c r="CX224" s="99"/>
      <c r="CY224" s="99"/>
      <c r="CZ224" s="99"/>
      <c r="DA224" s="99"/>
      <c r="DB224" s="99"/>
      <c r="DC224" s="99"/>
      <c r="DD224" s="99"/>
      <c r="DE224" s="99"/>
      <c r="DF224" s="99"/>
      <c r="DG224" s="99"/>
      <c r="DH224" s="99"/>
      <c r="DI224" s="99"/>
      <c r="DJ224" s="99"/>
      <c r="DK224" s="99"/>
      <c r="DL224" s="101"/>
      <c r="DM224" s="99"/>
      <c r="DN224" s="99"/>
      <c r="DO224" s="99"/>
      <c r="DP224" s="99"/>
      <c r="DQ224" s="99"/>
      <c r="DR224" s="99"/>
      <c r="DS224" s="99"/>
      <c r="DT224" s="99"/>
      <c r="DU224" s="99"/>
      <c r="DV224" s="99"/>
      <c r="DW224" s="99"/>
      <c r="DX224" s="99"/>
      <c r="DY224" s="99"/>
      <c r="DZ224" s="99"/>
      <c r="EA224" s="99"/>
      <c r="EB224" s="99"/>
      <c r="EC224" s="99"/>
      <c r="ED224" s="99"/>
      <c r="EE224" s="99"/>
      <c r="EF224" s="99"/>
      <c r="EG224" s="99"/>
      <c r="EH224" s="99"/>
    </row>
    <row r="225" ht="15.75" customHeight="1">
      <c r="A225" s="99"/>
      <c r="B225" s="99"/>
      <c r="C225" s="99"/>
      <c r="D225" s="87"/>
      <c r="E225" s="99"/>
      <c r="F225" s="99"/>
      <c r="G225" s="99"/>
      <c r="H225" s="99"/>
      <c r="I225" s="99"/>
      <c r="J225" s="100"/>
      <c r="K225" s="99"/>
      <c r="L225" s="99"/>
      <c r="M225" s="100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  <c r="AA225" s="99"/>
      <c r="AB225" s="99"/>
      <c r="AC225" s="99"/>
      <c r="AD225" s="99"/>
      <c r="AE225" s="99"/>
      <c r="AF225" s="99"/>
      <c r="AG225" s="99"/>
      <c r="AH225" s="99"/>
      <c r="AI225" s="99"/>
      <c r="AJ225" s="99"/>
      <c r="AK225" s="99"/>
      <c r="AL225" s="99"/>
      <c r="AM225" s="99"/>
      <c r="AN225" s="99"/>
      <c r="AO225" s="99"/>
      <c r="AP225" s="99"/>
      <c r="AQ225" s="99"/>
      <c r="AR225" s="99"/>
      <c r="AS225" s="99"/>
      <c r="AT225" s="99"/>
      <c r="AU225" s="99"/>
      <c r="AV225" s="99"/>
      <c r="AW225" s="99"/>
      <c r="AX225" s="99"/>
      <c r="AY225" s="99"/>
      <c r="AZ225" s="99"/>
      <c r="BA225" s="99"/>
      <c r="BB225" s="99"/>
      <c r="BC225" s="99"/>
      <c r="BD225" s="99"/>
      <c r="BE225" s="99"/>
      <c r="BF225" s="99"/>
      <c r="BG225" s="99"/>
      <c r="BH225" s="99"/>
      <c r="BI225" s="99"/>
      <c r="BJ225" s="99"/>
      <c r="BK225" s="99"/>
      <c r="BL225" s="99"/>
      <c r="BM225" s="99"/>
      <c r="BN225" s="99"/>
      <c r="BO225" s="99"/>
      <c r="BP225" s="99"/>
      <c r="BQ225" s="99"/>
      <c r="BR225" s="99"/>
      <c r="BS225" s="99"/>
      <c r="BT225" s="99"/>
      <c r="BU225" s="99"/>
      <c r="BV225" s="99"/>
      <c r="BW225" s="99"/>
      <c r="BX225" s="99"/>
      <c r="BY225" s="99"/>
      <c r="BZ225" s="99"/>
      <c r="CA225" s="99"/>
      <c r="CB225" s="99"/>
      <c r="CC225" s="99"/>
      <c r="CD225" s="99"/>
      <c r="CE225" s="99"/>
      <c r="CF225" s="99"/>
      <c r="CG225" s="99"/>
      <c r="CH225" s="99"/>
      <c r="CI225" s="99"/>
      <c r="CJ225" s="99"/>
      <c r="CK225" s="99"/>
      <c r="CL225" s="99"/>
      <c r="CM225" s="99"/>
      <c r="CN225" s="99"/>
      <c r="CO225" s="99"/>
      <c r="CP225" s="99"/>
      <c r="CQ225" s="99"/>
      <c r="CR225" s="99"/>
      <c r="CS225" s="99"/>
      <c r="CT225" s="99"/>
      <c r="CU225" s="99"/>
      <c r="CV225" s="99"/>
      <c r="CW225" s="99"/>
      <c r="CX225" s="99"/>
      <c r="CY225" s="99"/>
      <c r="CZ225" s="99"/>
      <c r="DA225" s="99"/>
      <c r="DB225" s="99"/>
      <c r="DC225" s="99"/>
      <c r="DD225" s="99"/>
      <c r="DE225" s="99"/>
      <c r="DF225" s="99"/>
      <c r="DG225" s="99"/>
      <c r="DH225" s="99"/>
      <c r="DI225" s="99"/>
      <c r="DJ225" s="99"/>
      <c r="DK225" s="99"/>
      <c r="DL225" s="101"/>
      <c r="DM225" s="99"/>
      <c r="DN225" s="99"/>
      <c r="DO225" s="99"/>
      <c r="DP225" s="99"/>
      <c r="DQ225" s="99"/>
      <c r="DR225" s="99"/>
      <c r="DS225" s="99"/>
      <c r="DT225" s="99"/>
      <c r="DU225" s="99"/>
      <c r="DV225" s="99"/>
      <c r="DW225" s="99"/>
      <c r="DX225" s="99"/>
      <c r="DY225" s="99"/>
      <c r="DZ225" s="99"/>
      <c r="EA225" s="99"/>
      <c r="EB225" s="99"/>
      <c r="EC225" s="99"/>
      <c r="ED225" s="99"/>
      <c r="EE225" s="99"/>
      <c r="EF225" s="99"/>
      <c r="EG225" s="99"/>
      <c r="EH225" s="99"/>
    </row>
    <row r="226" ht="15.75" customHeight="1">
      <c r="A226" s="99"/>
      <c r="B226" s="99"/>
      <c r="C226" s="99"/>
      <c r="D226" s="87"/>
      <c r="E226" s="99"/>
      <c r="F226" s="99"/>
      <c r="G226" s="99"/>
      <c r="H226" s="99"/>
      <c r="I226" s="99"/>
      <c r="J226" s="100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  <c r="AA226" s="99"/>
      <c r="AB226" s="99"/>
      <c r="AC226" s="99"/>
      <c r="AD226" s="99"/>
      <c r="AE226" s="99"/>
      <c r="AF226" s="99"/>
      <c r="AG226" s="99"/>
      <c r="AH226" s="99"/>
      <c r="AI226" s="99"/>
      <c r="AJ226" s="99"/>
      <c r="AK226" s="99"/>
      <c r="AL226" s="99"/>
      <c r="AM226" s="99"/>
      <c r="AN226" s="99"/>
      <c r="AO226" s="99"/>
      <c r="AP226" s="99"/>
      <c r="AQ226" s="99"/>
      <c r="AR226" s="99"/>
      <c r="AS226" s="99"/>
      <c r="AT226" s="99"/>
      <c r="AU226" s="99"/>
      <c r="AV226" s="99"/>
      <c r="AW226" s="99"/>
      <c r="AX226" s="99"/>
      <c r="AY226" s="99"/>
      <c r="AZ226" s="99"/>
      <c r="BA226" s="99"/>
      <c r="BB226" s="99"/>
      <c r="BC226" s="99"/>
      <c r="BD226" s="99"/>
      <c r="BE226" s="99"/>
      <c r="BF226" s="99"/>
      <c r="BG226" s="99"/>
      <c r="BH226" s="99"/>
      <c r="BI226" s="99"/>
      <c r="BJ226" s="99"/>
      <c r="BK226" s="99"/>
      <c r="BL226" s="99"/>
      <c r="BM226" s="99"/>
      <c r="BN226" s="99"/>
      <c r="BO226" s="99"/>
      <c r="BP226" s="99"/>
      <c r="BQ226" s="99"/>
      <c r="BR226" s="99"/>
      <c r="BS226" s="99"/>
      <c r="BT226" s="99"/>
      <c r="BU226" s="99"/>
      <c r="BV226" s="99"/>
      <c r="BW226" s="99"/>
      <c r="BX226" s="99"/>
      <c r="BY226" s="99"/>
      <c r="BZ226" s="99"/>
      <c r="CA226" s="99"/>
      <c r="CB226" s="99"/>
      <c r="CC226" s="99"/>
      <c r="CD226" s="99"/>
      <c r="CE226" s="99"/>
      <c r="CF226" s="99"/>
      <c r="CG226" s="99"/>
      <c r="CH226" s="99"/>
      <c r="CI226" s="99"/>
      <c r="CJ226" s="99"/>
      <c r="CK226" s="99"/>
      <c r="CL226" s="99"/>
      <c r="CM226" s="99"/>
      <c r="CN226" s="99"/>
      <c r="CO226" s="99"/>
      <c r="CP226" s="99"/>
      <c r="CQ226" s="99"/>
      <c r="CR226" s="99"/>
      <c r="CS226" s="99"/>
      <c r="CT226" s="99"/>
      <c r="CU226" s="99"/>
      <c r="CV226" s="99"/>
      <c r="CW226" s="99"/>
      <c r="CX226" s="99"/>
      <c r="CY226" s="99"/>
      <c r="CZ226" s="99"/>
      <c r="DA226" s="99"/>
      <c r="DB226" s="99"/>
      <c r="DC226" s="99"/>
      <c r="DD226" s="99"/>
      <c r="DE226" s="99"/>
      <c r="DF226" s="99"/>
      <c r="DG226" s="99"/>
      <c r="DH226" s="99"/>
      <c r="DI226" s="99"/>
      <c r="DJ226" s="99"/>
      <c r="DK226" s="99"/>
      <c r="DL226" s="101"/>
      <c r="DM226" s="99"/>
      <c r="DN226" s="99"/>
      <c r="DO226" s="99"/>
      <c r="DP226" s="99"/>
      <c r="DQ226" s="99"/>
      <c r="DR226" s="99"/>
      <c r="DS226" s="99"/>
      <c r="DT226" s="99"/>
      <c r="DU226" s="99"/>
      <c r="DV226" s="99"/>
      <c r="DW226" s="99"/>
      <c r="DX226" s="99"/>
      <c r="DY226" s="99"/>
      <c r="DZ226" s="99"/>
      <c r="EA226" s="99"/>
      <c r="EB226" s="99"/>
      <c r="EC226" s="99"/>
      <c r="ED226" s="99"/>
      <c r="EE226" s="99"/>
      <c r="EF226" s="99"/>
      <c r="EG226" s="99"/>
      <c r="EH226" s="99"/>
    </row>
    <row r="227" ht="15.75" customHeight="1">
      <c r="A227" s="99"/>
      <c r="B227" s="99"/>
      <c r="C227" s="99"/>
      <c r="D227" s="87"/>
      <c r="E227" s="99"/>
      <c r="F227" s="99"/>
      <c r="G227" s="99"/>
      <c r="H227" s="99"/>
      <c r="I227" s="99"/>
      <c r="J227" s="100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  <c r="AA227" s="99"/>
      <c r="AB227" s="99"/>
      <c r="AC227" s="99"/>
      <c r="AD227" s="99"/>
      <c r="AE227" s="99"/>
      <c r="AF227" s="99"/>
      <c r="AG227" s="99"/>
      <c r="AH227" s="99"/>
      <c r="AI227" s="99"/>
      <c r="AJ227" s="99"/>
      <c r="AK227" s="99"/>
      <c r="AL227" s="99"/>
      <c r="AM227" s="99"/>
      <c r="AN227" s="99"/>
      <c r="AO227" s="99"/>
      <c r="AP227" s="99"/>
      <c r="AQ227" s="99"/>
      <c r="AR227" s="99"/>
      <c r="AS227" s="99"/>
      <c r="AT227" s="99"/>
      <c r="AU227" s="99"/>
      <c r="AV227" s="99"/>
      <c r="AW227" s="99"/>
      <c r="AX227" s="99"/>
      <c r="AY227" s="99"/>
      <c r="AZ227" s="99"/>
      <c r="BA227" s="99"/>
      <c r="BB227" s="99"/>
      <c r="BC227" s="99"/>
      <c r="BD227" s="99"/>
      <c r="BE227" s="99"/>
      <c r="BF227" s="99"/>
      <c r="BG227" s="99"/>
      <c r="BH227" s="99"/>
      <c r="BI227" s="99"/>
      <c r="BJ227" s="99"/>
      <c r="BK227" s="99"/>
      <c r="BL227" s="99"/>
      <c r="BM227" s="99"/>
      <c r="BN227" s="99"/>
      <c r="BO227" s="99"/>
      <c r="BP227" s="99"/>
      <c r="BQ227" s="99"/>
      <c r="BR227" s="99"/>
      <c r="BS227" s="99"/>
      <c r="BT227" s="99"/>
      <c r="BU227" s="99"/>
      <c r="BV227" s="99"/>
      <c r="BW227" s="99"/>
      <c r="BX227" s="99"/>
      <c r="BY227" s="99"/>
      <c r="BZ227" s="99"/>
      <c r="CA227" s="99"/>
      <c r="CB227" s="99"/>
      <c r="CC227" s="99"/>
      <c r="CD227" s="99"/>
      <c r="CE227" s="99"/>
      <c r="CF227" s="99"/>
      <c r="CG227" s="99"/>
      <c r="CH227" s="99"/>
      <c r="CI227" s="99"/>
      <c r="CJ227" s="99"/>
      <c r="CK227" s="99"/>
      <c r="CL227" s="99"/>
      <c r="CM227" s="99"/>
      <c r="CN227" s="99"/>
      <c r="CO227" s="99"/>
      <c r="CP227" s="99"/>
      <c r="CQ227" s="99"/>
      <c r="CR227" s="99"/>
      <c r="CS227" s="99"/>
      <c r="CT227" s="99"/>
      <c r="CU227" s="99"/>
      <c r="CV227" s="99"/>
      <c r="CW227" s="99"/>
      <c r="CX227" s="99"/>
      <c r="CY227" s="99"/>
      <c r="CZ227" s="99"/>
      <c r="DA227" s="99"/>
      <c r="DB227" s="99"/>
      <c r="DC227" s="99"/>
      <c r="DD227" s="99"/>
      <c r="DE227" s="99"/>
      <c r="DF227" s="99"/>
      <c r="DG227" s="99"/>
      <c r="DH227" s="99"/>
      <c r="DI227" s="99"/>
      <c r="DJ227" s="99"/>
      <c r="DK227" s="99"/>
      <c r="DL227" s="101"/>
      <c r="DM227" s="99"/>
      <c r="DN227" s="99"/>
      <c r="DO227" s="99"/>
      <c r="DP227" s="99"/>
      <c r="DQ227" s="99"/>
      <c r="DR227" s="99"/>
      <c r="DS227" s="99"/>
      <c r="DT227" s="99"/>
      <c r="DU227" s="99"/>
      <c r="DV227" s="99"/>
      <c r="DW227" s="99"/>
      <c r="DX227" s="99"/>
      <c r="DY227" s="99"/>
      <c r="DZ227" s="99"/>
      <c r="EA227" s="99"/>
      <c r="EB227" s="99"/>
      <c r="EC227" s="99"/>
      <c r="ED227" s="99"/>
      <c r="EE227" s="99"/>
      <c r="EF227" s="99"/>
      <c r="EG227" s="99"/>
      <c r="EH227" s="99"/>
    </row>
    <row r="228" ht="15.75" customHeight="1">
      <c r="A228" s="99"/>
      <c r="B228" s="99"/>
      <c r="C228" s="99"/>
      <c r="D228" s="87"/>
      <c r="E228" s="99"/>
      <c r="F228" s="99"/>
      <c r="G228" s="99"/>
      <c r="H228" s="99"/>
      <c r="I228" s="99"/>
      <c r="J228" s="100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  <c r="AA228" s="99"/>
      <c r="AB228" s="99"/>
      <c r="AC228" s="99"/>
      <c r="AD228" s="99"/>
      <c r="AE228" s="99"/>
      <c r="AF228" s="99"/>
      <c r="AG228" s="99"/>
      <c r="AH228" s="99"/>
      <c r="AI228" s="99"/>
      <c r="AJ228" s="99"/>
      <c r="AK228" s="99"/>
      <c r="AL228" s="99"/>
      <c r="AM228" s="99"/>
      <c r="AN228" s="99"/>
      <c r="AO228" s="99"/>
      <c r="AP228" s="99"/>
      <c r="AQ228" s="99"/>
      <c r="AR228" s="99"/>
      <c r="AS228" s="99"/>
      <c r="AT228" s="99"/>
      <c r="AU228" s="99"/>
      <c r="AV228" s="99"/>
      <c r="AW228" s="99"/>
      <c r="AX228" s="99"/>
      <c r="AY228" s="99"/>
      <c r="AZ228" s="99"/>
      <c r="BA228" s="99"/>
      <c r="BB228" s="99"/>
      <c r="BC228" s="99"/>
      <c r="BD228" s="99"/>
      <c r="BE228" s="99"/>
      <c r="BF228" s="99"/>
      <c r="BG228" s="99"/>
      <c r="BH228" s="99"/>
      <c r="BI228" s="99"/>
      <c r="BJ228" s="99"/>
      <c r="BK228" s="99"/>
      <c r="BL228" s="99"/>
      <c r="BM228" s="99"/>
      <c r="BN228" s="99"/>
      <c r="BO228" s="99"/>
      <c r="BP228" s="99"/>
      <c r="BQ228" s="99"/>
      <c r="BR228" s="99"/>
      <c r="BS228" s="99"/>
      <c r="BT228" s="99"/>
      <c r="BU228" s="99"/>
      <c r="BV228" s="99"/>
      <c r="BW228" s="99"/>
      <c r="BX228" s="99"/>
      <c r="BY228" s="99"/>
      <c r="BZ228" s="99"/>
      <c r="CA228" s="99"/>
      <c r="CB228" s="99"/>
      <c r="CC228" s="99"/>
      <c r="CD228" s="99"/>
      <c r="CE228" s="99"/>
      <c r="CF228" s="99"/>
      <c r="CG228" s="99"/>
      <c r="CH228" s="99"/>
      <c r="CI228" s="99"/>
      <c r="CJ228" s="99"/>
      <c r="CK228" s="99"/>
      <c r="CL228" s="99"/>
      <c r="CM228" s="99"/>
      <c r="CN228" s="99"/>
      <c r="CO228" s="99"/>
      <c r="CP228" s="99"/>
      <c r="CQ228" s="99"/>
      <c r="CR228" s="99"/>
      <c r="CS228" s="99"/>
      <c r="CT228" s="99"/>
      <c r="CU228" s="99"/>
      <c r="CV228" s="99"/>
      <c r="CW228" s="99"/>
      <c r="CX228" s="99"/>
      <c r="CY228" s="99"/>
      <c r="CZ228" s="99"/>
      <c r="DA228" s="99"/>
      <c r="DB228" s="99"/>
      <c r="DC228" s="99"/>
      <c r="DD228" s="99"/>
      <c r="DE228" s="99"/>
      <c r="DF228" s="99"/>
      <c r="DG228" s="99"/>
      <c r="DH228" s="99"/>
      <c r="DI228" s="99"/>
      <c r="DJ228" s="99"/>
      <c r="DK228" s="99"/>
      <c r="DL228" s="101"/>
      <c r="DM228" s="99"/>
      <c r="DN228" s="99"/>
      <c r="DO228" s="99"/>
      <c r="DP228" s="99"/>
      <c r="DQ228" s="99"/>
      <c r="DR228" s="99"/>
      <c r="DS228" s="99"/>
      <c r="DT228" s="99"/>
      <c r="DU228" s="99"/>
      <c r="DV228" s="99"/>
      <c r="DW228" s="99"/>
      <c r="DX228" s="99"/>
      <c r="DY228" s="99"/>
      <c r="DZ228" s="99"/>
      <c r="EA228" s="99"/>
      <c r="EB228" s="99"/>
      <c r="EC228" s="99"/>
      <c r="ED228" s="99"/>
      <c r="EE228" s="99"/>
      <c r="EF228" s="99"/>
      <c r="EG228" s="99"/>
      <c r="EH228" s="99"/>
    </row>
    <row r="229" ht="15.75" customHeight="1">
      <c r="A229" s="99"/>
      <c r="B229" s="99"/>
      <c r="C229" s="99"/>
      <c r="D229" s="87"/>
      <c r="E229" s="99"/>
      <c r="F229" s="99"/>
      <c r="G229" s="99"/>
      <c r="H229" s="99"/>
      <c r="I229" s="99"/>
      <c r="J229" s="100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  <c r="AA229" s="99"/>
      <c r="AB229" s="99"/>
      <c r="AC229" s="99"/>
      <c r="AD229" s="99"/>
      <c r="AE229" s="99"/>
      <c r="AF229" s="99"/>
      <c r="AG229" s="99"/>
      <c r="AH229" s="99"/>
      <c r="AI229" s="99"/>
      <c r="AJ229" s="99"/>
      <c r="AK229" s="99"/>
      <c r="AL229" s="99"/>
      <c r="AM229" s="99"/>
      <c r="AN229" s="99"/>
      <c r="AO229" s="99"/>
      <c r="AP229" s="99"/>
      <c r="AQ229" s="99"/>
      <c r="AR229" s="99"/>
      <c r="AS229" s="99"/>
      <c r="AT229" s="99"/>
      <c r="AU229" s="99"/>
      <c r="AV229" s="99"/>
      <c r="AW229" s="99"/>
      <c r="AX229" s="99"/>
      <c r="AY229" s="99"/>
      <c r="AZ229" s="99"/>
      <c r="BA229" s="99"/>
      <c r="BB229" s="99"/>
      <c r="BC229" s="99"/>
      <c r="BD229" s="99"/>
      <c r="BE229" s="99"/>
      <c r="BF229" s="99"/>
      <c r="BG229" s="99"/>
      <c r="BH229" s="99"/>
      <c r="BI229" s="99"/>
      <c r="BJ229" s="99"/>
      <c r="BK229" s="99"/>
      <c r="BL229" s="99"/>
      <c r="BM229" s="99"/>
      <c r="BN229" s="99"/>
      <c r="BO229" s="99"/>
      <c r="BP229" s="99"/>
      <c r="BQ229" s="99"/>
      <c r="BR229" s="99"/>
      <c r="BS229" s="99"/>
      <c r="BT229" s="99"/>
      <c r="BU229" s="99"/>
      <c r="BV229" s="99"/>
      <c r="BW229" s="99"/>
      <c r="BX229" s="99"/>
      <c r="BY229" s="99"/>
      <c r="BZ229" s="99"/>
      <c r="CA229" s="99"/>
      <c r="CB229" s="99"/>
      <c r="CC229" s="99"/>
      <c r="CD229" s="99"/>
      <c r="CE229" s="99"/>
      <c r="CF229" s="99"/>
      <c r="CG229" s="99"/>
      <c r="CH229" s="99"/>
      <c r="CI229" s="99"/>
      <c r="CJ229" s="99"/>
      <c r="CK229" s="99"/>
      <c r="CL229" s="99"/>
      <c r="CM229" s="99"/>
      <c r="CN229" s="99"/>
      <c r="CO229" s="99"/>
      <c r="CP229" s="99"/>
      <c r="CQ229" s="99"/>
      <c r="CR229" s="99"/>
      <c r="CS229" s="99"/>
      <c r="CT229" s="99"/>
      <c r="CU229" s="99"/>
      <c r="CV229" s="99"/>
      <c r="CW229" s="99"/>
      <c r="CX229" s="99"/>
      <c r="CY229" s="99"/>
      <c r="CZ229" s="99"/>
      <c r="DA229" s="99"/>
      <c r="DB229" s="99"/>
      <c r="DC229" s="99"/>
      <c r="DD229" s="99"/>
      <c r="DE229" s="99"/>
      <c r="DF229" s="99"/>
      <c r="DG229" s="99"/>
      <c r="DH229" s="99"/>
      <c r="DI229" s="99"/>
      <c r="DJ229" s="99"/>
      <c r="DK229" s="99"/>
      <c r="DL229" s="101"/>
      <c r="DM229" s="99"/>
      <c r="DN229" s="99"/>
      <c r="DO229" s="99"/>
      <c r="DP229" s="99"/>
      <c r="DQ229" s="99"/>
      <c r="DR229" s="99"/>
      <c r="DS229" s="99"/>
      <c r="DT229" s="99"/>
      <c r="DU229" s="99"/>
      <c r="DV229" s="99"/>
      <c r="DW229" s="99"/>
      <c r="DX229" s="99"/>
      <c r="DY229" s="99"/>
      <c r="DZ229" s="99"/>
      <c r="EA229" s="99"/>
      <c r="EB229" s="99"/>
      <c r="EC229" s="99"/>
      <c r="ED229" s="99"/>
      <c r="EE229" s="99"/>
      <c r="EF229" s="99"/>
      <c r="EG229" s="99"/>
      <c r="EH229" s="99"/>
    </row>
    <row r="230" ht="15.75" customHeight="1">
      <c r="A230" s="99"/>
      <c r="B230" s="99"/>
      <c r="C230" s="99"/>
      <c r="D230" s="87"/>
      <c r="E230" s="99"/>
      <c r="F230" s="99"/>
      <c r="G230" s="99"/>
      <c r="H230" s="99"/>
      <c r="I230" s="99"/>
      <c r="J230" s="100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  <c r="AA230" s="99"/>
      <c r="AB230" s="99"/>
      <c r="AC230" s="99"/>
      <c r="AD230" s="99"/>
      <c r="AE230" s="99"/>
      <c r="AF230" s="99"/>
      <c r="AG230" s="99"/>
      <c r="AH230" s="99"/>
      <c r="AI230" s="99"/>
      <c r="AJ230" s="99"/>
      <c r="AK230" s="99"/>
      <c r="AL230" s="99"/>
      <c r="AM230" s="99"/>
      <c r="AN230" s="99"/>
      <c r="AO230" s="99"/>
      <c r="AP230" s="99"/>
      <c r="AQ230" s="99"/>
      <c r="AR230" s="99"/>
      <c r="AS230" s="99"/>
      <c r="AT230" s="99"/>
      <c r="AU230" s="99"/>
      <c r="AV230" s="99"/>
      <c r="AW230" s="99"/>
      <c r="AX230" s="99"/>
      <c r="AY230" s="99"/>
      <c r="AZ230" s="99"/>
      <c r="BA230" s="99"/>
      <c r="BB230" s="99"/>
      <c r="BC230" s="99"/>
      <c r="BD230" s="99"/>
      <c r="BE230" s="99"/>
      <c r="BF230" s="99"/>
      <c r="BG230" s="99"/>
      <c r="BH230" s="99"/>
      <c r="BI230" s="99"/>
      <c r="BJ230" s="99"/>
      <c r="BK230" s="99"/>
      <c r="BL230" s="99"/>
      <c r="BM230" s="99"/>
      <c r="BN230" s="99"/>
      <c r="BO230" s="99"/>
      <c r="BP230" s="99"/>
      <c r="BQ230" s="99"/>
      <c r="BR230" s="99"/>
      <c r="BS230" s="99"/>
      <c r="BT230" s="99"/>
      <c r="BU230" s="99"/>
      <c r="BV230" s="99"/>
      <c r="BW230" s="99"/>
      <c r="BX230" s="99"/>
      <c r="BY230" s="99"/>
      <c r="BZ230" s="99"/>
      <c r="CA230" s="99"/>
      <c r="CB230" s="99"/>
      <c r="CC230" s="99"/>
      <c r="CD230" s="99"/>
      <c r="CE230" s="99"/>
      <c r="CF230" s="99"/>
      <c r="CG230" s="99"/>
      <c r="CH230" s="99"/>
      <c r="CI230" s="99"/>
      <c r="CJ230" s="99"/>
      <c r="CK230" s="99"/>
      <c r="CL230" s="99"/>
      <c r="CM230" s="99"/>
      <c r="CN230" s="99"/>
      <c r="CO230" s="99"/>
      <c r="CP230" s="99"/>
      <c r="CQ230" s="99"/>
      <c r="CR230" s="99"/>
      <c r="CS230" s="99"/>
      <c r="CT230" s="99"/>
      <c r="CU230" s="99"/>
      <c r="CV230" s="99"/>
      <c r="CW230" s="99"/>
      <c r="CX230" s="99"/>
      <c r="CY230" s="99"/>
      <c r="CZ230" s="99"/>
      <c r="DA230" s="99"/>
      <c r="DB230" s="99"/>
      <c r="DC230" s="99"/>
      <c r="DD230" s="99"/>
      <c r="DE230" s="99"/>
      <c r="DF230" s="99"/>
      <c r="DG230" s="99"/>
      <c r="DH230" s="99"/>
      <c r="DI230" s="99"/>
      <c r="DJ230" s="99"/>
      <c r="DK230" s="99"/>
      <c r="DL230" s="101"/>
      <c r="DM230" s="99"/>
      <c r="DN230" s="99"/>
      <c r="DO230" s="99"/>
      <c r="DP230" s="99"/>
      <c r="DQ230" s="99"/>
      <c r="DR230" s="99"/>
      <c r="DS230" s="99"/>
      <c r="DT230" s="99"/>
      <c r="DU230" s="99"/>
      <c r="DV230" s="99"/>
      <c r="DW230" s="99"/>
      <c r="DX230" s="99"/>
      <c r="DY230" s="99"/>
      <c r="DZ230" s="99"/>
      <c r="EA230" s="99"/>
      <c r="EB230" s="99"/>
      <c r="EC230" s="99"/>
      <c r="ED230" s="99"/>
      <c r="EE230" s="99"/>
      <c r="EF230" s="99"/>
      <c r="EG230" s="99"/>
      <c r="EH230" s="99"/>
    </row>
    <row r="231" ht="15.75" customHeight="1">
      <c r="A231" s="99"/>
      <c r="B231" s="99"/>
      <c r="C231" s="99"/>
      <c r="D231" s="87"/>
      <c r="E231" s="99"/>
      <c r="F231" s="99"/>
      <c r="G231" s="99"/>
      <c r="H231" s="99"/>
      <c r="I231" s="99"/>
      <c r="J231" s="100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  <c r="AA231" s="99"/>
      <c r="AB231" s="99"/>
      <c r="AC231" s="99"/>
      <c r="AD231" s="99"/>
      <c r="AE231" s="99"/>
      <c r="AF231" s="99"/>
      <c r="AG231" s="99"/>
      <c r="AH231" s="99"/>
      <c r="AI231" s="99"/>
      <c r="AJ231" s="99"/>
      <c r="AK231" s="99"/>
      <c r="AL231" s="99"/>
      <c r="AM231" s="99"/>
      <c r="AN231" s="99"/>
      <c r="AO231" s="99"/>
      <c r="AP231" s="99"/>
      <c r="AQ231" s="99"/>
      <c r="AR231" s="99"/>
      <c r="AS231" s="99"/>
      <c r="AT231" s="99"/>
      <c r="AU231" s="99"/>
      <c r="AV231" s="99"/>
      <c r="AW231" s="99"/>
      <c r="AX231" s="99"/>
      <c r="AY231" s="99"/>
      <c r="AZ231" s="99"/>
      <c r="BA231" s="99"/>
      <c r="BB231" s="99"/>
      <c r="BC231" s="99"/>
      <c r="BD231" s="99"/>
      <c r="BE231" s="99"/>
      <c r="BF231" s="99"/>
      <c r="BG231" s="99"/>
      <c r="BH231" s="99"/>
      <c r="BI231" s="99"/>
      <c r="BJ231" s="99"/>
      <c r="BK231" s="99"/>
      <c r="BL231" s="99"/>
      <c r="BM231" s="99"/>
      <c r="BN231" s="99"/>
      <c r="BO231" s="99"/>
      <c r="BP231" s="99"/>
      <c r="BQ231" s="99"/>
      <c r="BR231" s="99"/>
      <c r="BS231" s="99"/>
      <c r="BT231" s="99"/>
      <c r="BU231" s="99"/>
      <c r="BV231" s="99"/>
      <c r="BW231" s="99"/>
      <c r="BX231" s="99"/>
      <c r="BY231" s="99"/>
      <c r="BZ231" s="99"/>
      <c r="CA231" s="99"/>
      <c r="CB231" s="99"/>
      <c r="CC231" s="99"/>
      <c r="CD231" s="99"/>
      <c r="CE231" s="99"/>
      <c r="CF231" s="99"/>
      <c r="CG231" s="99"/>
      <c r="CH231" s="99"/>
      <c r="CI231" s="99"/>
      <c r="CJ231" s="99"/>
      <c r="CK231" s="99"/>
      <c r="CL231" s="99"/>
      <c r="CM231" s="99"/>
      <c r="CN231" s="99"/>
      <c r="CO231" s="99"/>
      <c r="CP231" s="99"/>
      <c r="CQ231" s="99"/>
      <c r="CR231" s="99"/>
      <c r="CS231" s="99"/>
      <c r="CT231" s="99"/>
      <c r="CU231" s="99"/>
      <c r="CV231" s="99"/>
      <c r="CW231" s="99"/>
      <c r="CX231" s="99"/>
      <c r="CY231" s="99"/>
      <c r="CZ231" s="99"/>
      <c r="DA231" s="99"/>
      <c r="DB231" s="99"/>
      <c r="DC231" s="99"/>
      <c r="DD231" s="99"/>
      <c r="DE231" s="99"/>
      <c r="DF231" s="99"/>
      <c r="DG231" s="99"/>
      <c r="DH231" s="99"/>
      <c r="DI231" s="99"/>
      <c r="DJ231" s="99"/>
      <c r="DK231" s="99"/>
      <c r="DL231" s="101"/>
      <c r="DM231" s="99"/>
      <c r="DN231" s="99"/>
      <c r="DO231" s="99"/>
      <c r="DP231" s="99"/>
      <c r="DQ231" s="99"/>
      <c r="DR231" s="99"/>
      <c r="DS231" s="99"/>
      <c r="DT231" s="99"/>
      <c r="DU231" s="99"/>
      <c r="DV231" s="99"/>
      <c r="DW231" s="99"/>
      <c r="DX231" s="99"/>
      <c r="DY231" s="99"/>
      <c r="DZ231" s="99"/>
      <c r="EA231" s="99"/>
      <c r="EB231" s="99"/>
      <c r="EC231" s="99"/>
      <c r="ED231" s="99"/>
      <c r="EE231" s="99"/>
      <c r="EF231" s="99"/>
      <c r="EG231" s="99"/>
      <c r="EH231" s="99"/>
    </row>
    <row r="232" ht="15.75" customHeight="1">
      <c r="A232" s="99"/>
      <c r="B232" s="99"/>
      <c r="C232" s="99"/>
      <c r="D232" s="87"/>
      <c r="E232" s="99"/>
      <c r="F232" s="99"/>
      <c r="G232" s="99"/>
      <c r="H232" s="99"/>
      <c r="I232" s="99"/>
      <c r="J232" s="100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  <c r="AA232" s="99"/>
      <c r="AB232" s="99"/>
      <c r="AC232" s="99"/>
      <c r="AD232" s="99"/>
      <c r="AE232" s="99"/>
      <c r="AF232" s="99"/>
      <c r="AG232" s="99"/>
      <c r="AH232" s="99"/>
      <c r="AI232" s="99"/>
      <c r="AJ232" s="99"/>
      <c r="AK232" s="99"/>
      <c r="AL232" s="99"/>
      <c r="AM232" s="99"/>
      <c r="AN232" s="99"/>
      <c r="AO232" s="99"/>
      <c r="AP232" s="99"/>
      <c r="AQ232" s="99"/>
      <c r="AR232" s="99"/>
      <c r="AS232" s="99"/>
      <c r="AT232" s="99"/>
      <c r="AU232" s="99"/>
      <c r="AV232" s="99"/>
      <c r="AW232" s="99"/>
      <c r="AX232" s="99"/>
      <c r="AY232" s="99"/>
      <c r="AZ232" s="99"/>
      <c r="BA232" s="99"/>
      <c r="BB232" s="99"/>
      <c r="BC232" s="99"/>
      <c r="BD232" s="99"/>
      <c r="BE232" s="99"/>
      <c r="BF232" s="99"/>
      <c r="BG232" s="99"/>
      <c r="BH232" s="99"/>
      <c r="BI232" s="99"/>
      <c r="BJ232" s="99"/>
      <c r="BK232" s="99"/>
      <c r="BL232" s="99"/>
      <c r="BM232" s="99"/>
      <c r="BN232" s="99"/>
      <c r="BO232" s="99"/>
      <c r="BP232" s="99"/>
      <c r="BQ232" s="99"/>
      <c r="BR232" s="99"/>
      <c r="BS232" s="99"/>
      <c r="BT232" s="99"/>
      <c r="BU232" s="99"/>
      <c r="BV232" s="99"/>
      <c r="BW232" s="99"/>
      <c r="BX232" s="99"/>
      <c r="BY232" s="99"/>
      <c r="BZ232" s="99"/>
      <c r="CA232" s="99"/>
      <c r="CB232" s="99"/>
      <c r="CC232" s="99"/>
      <c r="CD232" s="99"/>
      <c r="CE232" s="99"/>
      <c r="CF232" s="99"/>
      <c r="CG232" s="99"/>
      <c r="CH232" s="99"/>
      <c r="CI232" s="99"/>
      <c r="CJ232" s="99"/>
      <c r="CK232" s="99"/>
      <c r="CL232" s="99"/>
      <c r="CM232" s="99"/>
      <c r="CN232" s="99"/>
      <c r="CO232" s="99"/>
      <c r="CP232" s="99"/>
      <c r="CQ232" s="99"/>
      <c r="CR232" s="99"/>
      <c r="CS232" s="99"/>
      <c r="CT232" s="99"/>
      <c r="CU232" s="99"/>
      <c r="CV232" s="99"/>
      <c r="CW232" s="99"/>
      <c r="CX232" s="99"/>
      <c r="CY232" s="99"/>
      <c r="CZ232" s="99"/>
      <c r="DA232" s="99"/>
      <c r="DB232" s="99"/>
      <c r="DC232" s="99"/>
      <c r="DD232" s="99"/>
      <c r="DE232" s="99"/>
      <c r="DF232" s="99"/>
      <c r="DG232" s="99"/>
      <c r="DH232" s="99"/>
      <c r="DI232" s="99"/>
      <c r="DJ232" s="99"/>
      <c r="DK232" s="99"/>
      <c r="DL232" s="101"/>
      <c r="DM232" s="99"/>
      <c r="DN232" s="99"/>
      <c r="DO232" s="99"/>
      <c r="DP232" s="99"/>
      <c r="DQ232" s="99"/>
      <c r="DR232" s="99"/>
      <c r="DS232" s="99"/>
      <c r="DT232" s="99"/>
      <c r="DU232" s="99"/>
      <c r="DV232" s="99"/>
      <c r="DW232" s="99"/>
      <c r="DX232" s="99"/>
      <c r="DY232" s="99"/>
      <c r="DZ232" s="99"/>
      <c r="EA232" s="99"/>
      <c r="EB232" s="99"/>
      <c r="EC232" s="99"/>
      <c r="ED232" s="99"/>
      <c r="EE232" s="99"/>
      <c r="EF232" s="99"/>
      <c r="EG232" s="99"/>
      <c r="EH232" s="99"/>
    </row>
    <row r="233" ht="15.75" customHeight="1">
      <c r="A233" s="99"/>
      <c r="B233" s="99"/>
      <c r="C233" s="99"/>
      <c r="D233" s="87"/>
      <c r="E233" s="99"/>
      <c r="F233" s="99"/>
      <c r="G233" s="99"/>
      <c r="H233" s="99"/>
      <c r="I233" s="99"/>
      <c r="J233" s="100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  <c r="AA233" s="99"/>
      <c r="AB233" s="99"/>
      <c r="AC233" s="99"/>
      <c r="AD233" s="99"/>
      <c r="AE233" s="99"/>
      <c r="AF233" s="99"/>
      <c r="AG233" s="99"/>
      <c r="AH233" s="99"/>
      <c r="AI233" s="99"/>
      <c r="AJ233" s="99"/>
      <c r="AK233" s="99"/>
      <c r="AL233" s="99"/>
      <c r="AM233" s="99"/>
      <c r="AN233" s="99"/>
      <c r="AO233" s="99"/>
      <c r="AP233" s="99"/>
      <c r="AQ233" s="99"/>
      <c r="AR233" s="99"/>
      <c r="AS233" s="99"/>
      <c r="AT233" s="99"/>
      <c r="AU233" s="99"/>
      <c r="AV233" s="99"/>
      <c r="AW233" s="99"/>
      <c r="AX233" s="99"/>
      <c r="AY233" s="99"/>
      <c r="AZ233" s="99"/>
      <c r="BA233" s="99"/>
      <c r="BB233" s="99"/>
      <c r="BC233" s="99"/>
      <c r="BD233" s="99"/>
      <c r="BE233" s="99"/>
      <c r="BF233" s="99"/>
      <c r="BG233" s="99"/>
      <c r="BH233" s="99"/>
      <c r="BI233" s="99"/>
      <c r="BJ233" s="99"/>
      <c r="BK233" s="99"/>
      <c r="BL233" s="99"/>
      <c r="BM233" s="99"/>
      <c r="BN233" s="99"/>
      <c r="BO233" s="99"/>
      <c r="BP233" s="99"/>
      <c r="BQ233" s="99"/>
      <c r="BR233" s="99"/>
      <c r="BS233" s="99"/>
      <c r="BT233" s="99"/>
      <c r="BU233" s="99"/>
      <c r="BV233" s="99"/>
      <c r="BW233" s="99"/>
      <c r="BX233" s="99"/>
      <c r="BY233" s="99"/>
      <c r="BZ233" s="99"/>
      <c r="CA233" s="99"/>
      <c r="CB233" s="99"/>
      <c r="CC233" s="99"/>
      <c r="CD233" s="99"/>
      <c r="CE233" s="99"/>
      <c r="CF233" s="99"/>
      <c r="CG233" s="99"/>
      <c r="CH233" s="99"/>
      <c r="CI233" s="99"/>
      <c r="CJ233" s="99"/>
      <c r="CK233" s="99"/>
      <c r="CL233" s="99"/>
      <c r="CM233" s="99"/>
      <c r="CN233" s="99"/>
      <c r="CO233" s="99"/>
      <c r="CP233" s="99"/>
      <c r="CQ233" s="99"/>
      <c r="CR233" s="99"/>
      <c r="CS233" s="99"/>
      <c r="CT233" s="99"/>
      <c r="CU233" s="99"/>
      <c r="CV233" s="99"/>
      <c r="CW233" s="99"/>
      <c r="CX233" s="99"/>
      <c r="CY233" s="99"/>
      <c r="CZ233" s="99"/>
      <c r="DA233" s="99"/>
      <c r="DB233" s="99"/>
      <c r="DC233" s="99"/>
      <c r="DD233" s="99"/>
      <c r="DE233" s="99"/>
      <c r="DF233" s="99"/>
      <c r="DG233" s="99"/>
      <c r="DH233" s="99"/>
      <c r="DI233" s="99"/>
      <c r="DJ233" s="99"/>
      <c r="DK233" s="99"/>
      <c r="DL233" s="101"/>
      <c r="DM233" s="99"/>
      <c r="DN233" s="99"/>
      <c r="DO233" s="99"/>
      <c r="DP233" s="99"/>
      <c r="DQ233" s="99"/>
      <c r="DR233" s="99"/>
      <c r="DS233" s="99"/>
      <c r="DT233" s="99"/>
      <c r="DU233" s="99"/>
      <c r="DV233" s="99"/>
      <c r="DW233" s="99"/>
      <c r="DX233" s="99"/>
      <c r="DY233" s="99"/>
      <c r="DZ233" s="99"/>
      <c r="EA233" s="99"/>
      <c r="EB233" s="99"/>
      <c r="EC233" s="99"/>
      <c r="ED233" s="99"/>
      <c r="EE233" s="99"/>
      <c r="EF233" s="99"/>
      <c r="EG233" s="99"/>
      <c r="EH233" s="99"/>
    </row>
    <row r="234" ht="15.75" customHeight="1">
      <c r="A234" s="99"/>
      <c r="B234" s="99"/>
      <c r="C234" s="99"/>
      <c r="D234" s="87"/>
      <c r="E234" s="99"/>
      <c r="F234" s="99"/>
      <c r="G234" s="99"/>
      <c r="H234" s="99"/>
      <c r="I234" s="99"/>
      <c r="J234" s="100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  <c r="AA234" s="99"/>
      <c r="AB234" s="99"/>
      <c r="AC234" s="99"/>
      <c r="AD234" s="99"/>
      <c r="AE234" s="99"/>
      <c r="AF234" s="99"/>
      <c r="AG234" s="99"/>
      <c r="AH234" s="99"/>
      <c r="AI234" s="99"/>
      <c r="AJ234" s="99"/>
      <c r="AK234" s="99"/>
      <c r="AL234" s="99"/>
      <c r="AM234" s="99"/>
      <c r="AN234" s="99"/>
      <c r="AO234" s="99"/>
      <c r="AP234" s="99"/>
      <c r="AQ234" s="99"/>
      <c r="AR234" s="99"/>
      <c r="AS234" s="99"/>
      <c r="AT234" s="99"/>
      <c r="AU234" s="99"/>
      <c r="AV234" s="99"/>
      <c r="AW234" s="99"/>
      <c r="AX234" s="99"/>
      <c r="AY234" s="99"/>
      <c r="AZ234" s="99"/>
      <c r="BA234" s="99"/>
      <c r="BB234" s="99"/>
      <c r="BC234" s="99"/>
      <c r="BD234" s="99"/>
      <c r="BE234" s="99"/>
      <c r="BF234" s="99"/>
      <c r="BG234" s="99"/>
      <c r="BH234" s="99"/>
      <c r="BI234" s="99"/>
      <c r="BJ234" s="99"/>
      <c r="BK234" s="99"/>
      <c r="BL234" s="99"/>
      <c r="BM234" s="99"/>
      <c r="BN234" s="99"/>
      <c r="BO234" s="99"/>
      <c r="BP234" s="99"/>
      <c r="BQ234" s="99"/>
      <c r="BR234" s="99"/>
      <c r="BS234" s="99"/>
      <c r="BT234" s="99"/>
      <c r="BU234" s="99"/>
      <c r="BV234" s="99"/>
      <c r="BW234" s="99"/>
      <c r="BX234" s="99"/>
      <c r="BY234" s="99"/>
      <c r="BZ234" s="99"/>
      <c r="CA234" s="99"/>
      <c r="CB234" s="99"/>
      <c r="CC234" s="99"/>
      <c r="CD234" s="99"/>
      <c r="CE234" s="99"/>
      <c r="CF234" s="99"/>
      <c r="CG234" s="99"/>
      <c r="CH234" s="99"/>
      <c r="CI234" s="99"/>
      <c r="CJ234" s="99"/>
      <c r="CK234" s="99"/>
      <c r="CL234" s="99"/>
      <c r="CM234" s="99"/>
      <c r="CN234" s="99"/>
      <c r="CO234" s="99"/>
      <c r="CP234" s="99"/>
      <c r="CQ234" s="99"/>
      <c r="CR234" s="99"/>
      <c r="CS234" s="99"/>
      <c r="CT234" s="99"/>
      <c r="CU234" s="99"/>
      <c r="CV234" s="99"/>
      <c r="CW234" s="99"/>
      <c r="CX234" s="99"/>
      <c r="CY234" s="99"/>
      <c r="CZ234" s="99"/>
      <c r="DA234" s="99"/>
      <c r="DB234" s="99"/>
      <c r="DC234" s="99"/>
      <c r="DD234" s="99"/>
      <c r="DE234" s="99"/>
      <c r="DF234" s="99"/>
      <c r="DG234" s="99"/>
      <c r="DH234" s="99"/>
      <c r="DI234" s="99"/>
      <c r="DJ234" s="99"/>
      <c r="DK234" s="99"/>
      <c r="DL234" s="101"/>
      <c r="DM234" s="99"/>
      <c r="DN234" s="99"/>
      <c r="DO234" s="99"/>
      <c r="DP234" s="99"/>
      <c r="DQ234" s="99"/>
      <c r="DR234" s="99"/>
      <c r="DS234" s="99"/>
      <c r="DT234" s="99"/>
      <c r="DU234" s="99"/>
      <c r="DV234" s="99"/>
      <c r="DW234" s="99"/>
      <c r="DX234" s="99"/>
      <c r="DY234" s="99"/>
      <c r="DZ234" s="99"/>
      <c r="EA234" s="99"/>
      <c r="EB234" s="99"/>
      <c r="EC234" s="99"/>
      <c r="ED234" s="99"/>
      <c r="EE234" s="99"/>
      <c r="EF234" s="99"/>
      <c r="EG234" s="99"/>
      <c r="EH234" s="99"/>
    </row>
    <row r="235" ht="15.75" customHeight="1">
      <c r="A235" s="99"/>
      <c r="B235" s="99"/>
      <c r="C235" s="99"/>
      <c r="D235" s="87"/>
      <c r="E235" s="99"/>
      <c r="F235" s="99"/>
      <c r="G235" s="99"/>
      <c r="H235" s="99"/>
      <c r="I235" s="99"/>
      <c r="J235" s="100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  <c r="AA235" s="99"/>
      <c r="AB235" s="99"/>
      <c r="AC235" s="99"/>
      <c r="AD235" s="99"/>
      <c r="AE235" s="99"/>
      <c r="AF235" s="99"/>
      <c r="AG235" s="99"/>
      <c r="AH235" s="99"/>
      <c r="AI235" s="99"/>
      <c r="AJ235" s="99"/>
      <c r="AK235" s="99"/>
      <c r="AL235" s="99"/>
      <c r="AM235" s="99"/>
      <c r="AN235" s="99"/>
      <c r="AO235" s="99"/>
      <c r="AP235" s="99"/>
      <c r="AQ235" s="99"/>
      <c r="AR235" s="99"/>
      <c r="AS235" s="99"/>
      <c r="AT235" s="99"/>
      <c r="AU235" s="99"/>
      <c r="AV235" s="99"/>
      <c r="AW235" s="99"/>
      <c r="AX235" s="99"/>
      <c r="AY235" s="99"/>
      <c r="AZ235" s="99"/>
      <c r="BA235" s="99"/>
      <c r="BB235" s="99"/>
      <c r="BC235" s="99"/>
      <c r="BD235" s="99"/>
      <c r="BE235" s="99"/>
      <c r="BF235" s="99"/>
      <c r="BG235" s="99"/>
      <c r="BH235" s="99"/>
      <c r="BI235" s="99"/>
      <c r="BJ235" s="99"/>
      <c r="BK235" s="99"/>
      <c r="BL235" s="99"/>
      <c r="BM235" s="99"/>
      <c r="BN235" s="99"/>
      <c r="BO235" s="99"/>
      <c r="BP235" s="99"/>
      <c r="BQ235" s="99"/>
      <c r="BR235" s="99"/>
      <c r="BS235" s="99"/>
      <c r="BT235" s="99"/>
      <c r="BU235" s="99"/>
      <c r="BV235" s="99"/>
      <c r="BW235" s="99"/>
      <c r="BX235" s="99"/>
      <c r="BY235" s="99"/>
      <c r="BZ235" s="99"/>
      <c r="CA235" s="99"/>
      <c r="CB235" s="99"/>
      <c r="CC235" s="99"/>
      <c r="CD235" s="99"/>
      <c r="CE235" s="99"/>
      <c r="CF235" s="99"/>
      <c r="CG235" s="99"/>
      <c r="CH235" s="99"/>
      <c r="CI235" s="99"/>
      <c r="CJ235" s="99"/>
      <c r="CK235" s="99"/>
      <c r="CL235" s="99"/>
      <c r="CM235" s="99"/>
      <c r="CN235" s="99"/>
      <c r="CO235" s="99"/>
      <c r="CP235" s="99"/>
      <c r="CQ235" s="99"/>
      <c r="CR235" s="99"/>
      <c r="CS235" s="99"/>
      <c r="CT235" s="99"/>
      <c r="CU235" s="99"/>
      <c r="CV235" s="99"/>
      <c r="CW235" s="99"/>
      <c r="CX235" s="99"/>
      <c r="CY235" s="99"/>
      <c r="CZ235" s="99"/>
      <c r="DA235" s="99"/>
      <c r="DB235" s="99"/>
      <c r="DC235" s="99"/>
      <c r="DD235" s="99"/>
      <c r="DE235" s="99"/>
      <c r="DF235" s="99"/>
      <c r="DG235" s="99"/>
      <c r="DH235" s="99"/>
      <c r="DI235" s="99"/>
      <c r="DJ235" s="99"/>
      <c r="DK235" s="99"/>
      <c r="DL235" s="101"/>
      <c r="DM235" s="99"/>
      <c r="DN235" s="99"/>
      <c r="DO235" s="99"/>
      <c r="DP235" s="99"/>
      <c r="DQ235" s="99"/>
      <c r="DR235" s="99"/>
      <c r="DS235" s="99"/>
      <c r="DT235" s="99"/>
      <c r="DU235" s="99"/>
      <c r="DV235" s="99"/>
      <c r="DW235" s="99"/>
      <c r="DX235" s="99"/>
      <c r="DY235" s="99"/>
      <c r="DZ235" s="99"/>
      <c r="EA235" s="99"/>
      <c r="EB235" s="99"/>
      <c r="EC235" s="99"/>
      <c r="ED235" s="99"/>
      <c r="EE235" s="99"/>
      <c r="EF235" s="99"/>
      <c r="EG235" s="99"/>
      <c r="EH235" s="99"/>
    </row>
    <row r="236" ht="15.75" customHeight="1">
      <c r="A236" s="99"/>
      <c r="B236" s="99"/>
      <c r="C236" s="99"/>
      <c r="D236" s="87"/>
      <c r="E236" s="99"/>
      <c r="F236" s="99"/>
      <c r="G236" s="99"/>
      <c r="H236" s="99"/>
      <c r="I236" s="99"/>
      <c r="J236" s="100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  <c r="AA236" s="99"/>
      <c r="AB236" s="99"/>
      <c r="AC236" s="99"/>
      <c r="AD236" s="99"/>
      <c r="AE236" s="99"/>
      <c r="AF236" s="99"/>
      <c r="AG236" s="99"/>
      <c r="AH236" s="99"/>
      <c r="AI236" s="99"/>
      <c r="AJ236" s="99"/>
      <c r="AK236" s="99"/>
      <c r="AL236" s="99"/>
      <c r="AM236" s="99"/>
      <c r="AN236" s="99"/>
      <c r="AO236" s="99"/>
      <c r="AP236" s="99"/>
      <c r="AQ236" s="99"/>
      <c r="AR236" s="99"/>
      <c r="AS236" s="99"/>
      <c r="AT236" s="99"/>
      <c r="AU236" s="99"/>
      <c r="AV236" s="99"/>
      <c r="AW236" s="99"/>
      <c r="AX236" s="99"/>
      <c r="AY236" s="99"/>
      <c r="AZ236" s="99"/>
      <c r="BA236" s="99"/>
      <c r="BB236" s="99"/>
      <c r="BC236" s="99"/>
      <c r="BD236" s="99"/>
      <c r="BE236" s="99"/>
      <c r="BF236" s="99"/>
      <c r="BG236" s="99"/>
      <c r="BH236" s="99"/>
      <c r="BI236" s="99"/>
      <c r="BJ236" s="99"/>
      <c r="BK236" s="99"/>
      <c r="BL236" s="99"/>
      <c r="BM236" s="99"/>
      <c r="BN236" s="99"/>
      <c r="BO236" s="99"/>
      <c r="BP236" s="99"/>
      <c r="BQ236" s="99"/>
      <c r="BR236" s="99"/>
      <c r="BS236" s="99"/>
      <c r="BT236" s="99"/>
      <c r="BU236" s="99"/>
      <c r="BV236" s="99"/>
      <c r="BW236" s="99"/>
      <c r="BX236" s="99"/>
      <c r="BY236" s="99"/>
      <c r="BZ236" s="99"/>
      <c r="CA236" s="99"/>
      <c r="CB236" s="99"/>
      <c r="CC236" s="99"/>
      <c r="CD236" s="99"/>
      <c r="CE236" s="99"/>
      <c r="CF236" s="99"/>
      <c r="CG236" s="99"/>
      <c r="CH236" s="99"/>
      <c r="CI236" s="99"/>
      <c r="CJ236" s="99"/>
      <c r="CK236" s="99"/>
      <c r="CL236" s="99"/>
      <c r="CM236" s="99"/>
      <c r="CN236" s="99"/>
      <c r="CO236" s="99"/>
      <c r="CP236" s="99"/>
      <c r="CQ236" s="99"/>
      <c r="CR236" s="99"/>
      <c r="CS236" s="99"/>
      <c r="CT236" s="99"/>
      <c r="CU236" s="99"/>
      <c r="CV236" s="99"/>
      <c r="CW236" s="99"/>
      <c r="CX236" s="99"/>
      <c r="CY236" s="99"/>
      <c r="CZ236" s="99"/>
      <c r="DA236" s="99"/>
      <c r="DB236" s="99"/>
      <c r="DC236" s="99"/>
      <c r="DD236" s="99"/>
      <c r="DE236" s="99"/>
      <c r="DF236" s="99"/>
      <c r="DG236" s="99"/>
      <c r="DH236" s="99"/>
      <c r="DI236" s="99"/>
      <c r="DJ236" s="99"/>
      <c r="DK236" s="99"/>
      <c r="DL236" s="101"/>
      <c r="DM236" s="99"/>
      <c r="DN236" s="99"/>
      <c r="DO236" s="99"/>
      <c r="DP236" s="99"/>
      <c r="DQ236" s="99"/>
      <c r="DR236" s="99"/>
      <c r="DS236" s="99"/>
      <c r="DT236" s="99"/>
      <c r="DU236" s="99"/>
      <c r="DV236" s="99"/>
      <c r="DW236" s="99"/>
      <c r="DX236" s="99"/>
      <c r="DY236" s="99"/>
      <c r="DZ236" s="99"/>
      <c r="EA236" s="99"/>
      <c r="EB236" s="99"/>
      <c r="EC236" s="99"/>
      <c r="ED236" s="99"/>
      <c r="EE236" s="99"/>
      <c r="EF236" s="99"/>
      <c r="EG236" s="99"/>
      <c r="EH236" s="99"/>
    </row>
    <row r="237" ht="15.75" customHeight="1">
      <c r="A237" s="99"/>
      <c r="B237" s="99"/>
      <c r="C237" s="99"/>
      <c r="D237" s="87"/>
      <c r="E237" s="99"/>
      <c r="F237" s="99"/>
      <c r="G237" s="99"/>
      <c r="H237" s="99"/>
      <c r="I237" s="99"/>
      <c r="J237" s="100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  <c r="AA237" s="99"/>
      <c r="AB237" s="99"/>
      <c r="AC237" s="99"/>
      <c r="AD237" s="99"/>
      <c r="AE237" s="99"/>
      <c r="AF237" s="99"/>
      <c r="AG237" s="99"/>
      <c r="AH237" s="99"/>
      <c r="AI237" s="99"/>
      <c r="AJ237" s="99"/>
      <c r="AK237" s="99"/>
      <c r="AL237" s="99"/>
      <c r="AM237" s="99"/>
      <c r="AN237" s="99"/>
      <c r="AO237" s="99"/>
      <c r="AP237" s="99"/>
      <c r="AQ237" s="99"/>
      <c r="AR237" s="99"/>
      <c r="AS237" s="99"/>
      <c r="AT237" s="99"/>
      <c r="AU237" s="99"/>
      <c r="AV237" s="99"/>
      <c r="AW237" s="99"/>
      <c r="AX237" s="99"/>
      <c r="AY237" s="99"/>
      <c r="AZ237" s="99"/>
      <c r="BA237" s="99"/>
      <c r="BB237" s="99"/>
      <c r="BC237" s="99"/>
      <c r="BD237" s="99"/>
      <c r="BE237" s="99"/>
      <c r="BF237" s="99"/>
      <c r="BG237" s="99"/>
      <c r="BH237" s="99"/>
      <c r="BI237" s="99"/>
      <c r="BJ237" s="99"/>
      <c r="BK237" s="99"/>
      <c r="BL237" s="99"/>
      <c r="BM237" s="99"/>
      <c r="BN237" s="99"/>
      <c r="BO237" s="99"/>
      <c r="BP237" s="99"/>
      <c r="BQ237" s="99"/>
      <c r="BR237" s="99"/>
      <c r="BS237" s="99"/>
      <c r="BT237" s="99"/>
      <c r="BU237" s="99"/>
      <c r="BV237" s="99"/>
      <c r="BW237" s="99"/>
      <c r="BX237" s="99"/>
      <c r="BY237" s="99"/>
      <c r="BZ237" s="99"/>
      <c r="CA237" s="99"/>
      <c r="CB237" s="99"/>
      <c r="CC237" s="99"/>
      <c r="CD237" s="99"/>
      <c r="CE237" s="99"/>
      <c r="CF237" s="99"/>
      <c r="CG237" s="99"/>
      <c r="CH237" s="99"/>
      <c r="CI237" s="99"/>
      <c r="CJ237" s="99"/>
      <c r="CK237" s="99"/>
      <c r="CL237" s="99"/>
      <c r="CM237" s="99"/>
      <c r="CN237" s="99"/>
      <c r="CO237" s="99"/>
      <c r="CP237" s="99"/>
      <c r="CQ237" s="99"/>
      <c r="CR237" s="99"/>
      <c r="CS237" s="99"/>
      <c r="CT237" s="99"/>
      <c r="CU237" s="99"/>
      <c r="CV237" s="99"/>
      <c r="CW237" s="99"/>
      <c r="CX237" s="99"/>
      <c r="CY237" s="99"/>
      <c r="CZ237" s="99"/>
      <c r="DA237" s="99"/>
      <c r="DB237" s="99"/>
      <c r="DC237" s="99"/>
      <c r="DD237" s="99"/>
      <c r="DE237" s="99"/>
      <c r="DF237" s="99"/>
      <c r="DG237" s="99"/>
      <c r="DH237" s="99"/>
      <c r="DI237" s="99"/>
      <c r="DJ237" s="99"/>
      <c r="DK237" s="99"/>
      <c r="DL237" s="101"/>
      <c r="DM237" s="99"/>
      <c r="DN237" s="99"/>
      <c r="DO237" s="99"/>
      <c r="DP237" s="99"/>
      <c r="DQ237" s="99"/>
      <c r="DR237" s="99"/>
      <c r="DS237" s="99"/>
      <c r="DT237" s="99"/>
      <c r="DU237" s="99"/>
      <c r="DV237" s="99"/>
      <c r="DW237" s="99"/>
      <c r="DX237" s="99"/>
      <c r="DY237" s="99"/>
      <c r="DZ237" s="99"/>
      <c r="EA237" s="99"/>
      <c r="EB237" s="99"/>
      <c r="EC237" s="99"/>
      <c r="ED237" s="99"/>
      <c r="EE237" s="99"/>
      <c r="EF237" s="99"/>
      <c r="EG237" s="99"/>
      <c r="EH237" s="99"/>
    </row>
    <row r="238" ht="15.75" customHeight="1">
      <c r="A238" s="99"/>
      <c r="B238" s="99"/>
      <c r="C238" s="99"/>
      <c r="D238" s="87"/>
      <c r="E238" s="99"/>
      <c r="F238" s="99"/>
      <c r="G238" s="99"/>
      <c r="H238" s="99"/>
      <c r="I238" s="99"/>
      <c r="J238" s="100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  <c r="AA238" s="99"/>
      <c r="AB238" s="99"/>
      <c r="AC238" s="99"/>
      <c r="AD238" s="99"/>
      <c r="AE238" s="99"/>
      <c r="AF238" s="99"/>
      <c r="AG238" s="99"/>
      <c r="AH238" s="99"/>
      <c r="AI238" s="99"/>
      <c r="AJ238" s="99"/>
      <c r="AK238" s="99"/>
      <c r="AL238" s="99"/>
      <c r="AM238" s="99"/>
      <c r="AN238" s="99"/>
      <c r="AO238" s="99"/>
      <c r="AP238" s="99"/>
      <c r="AQ238" s="99"/>
      <c r="AR238" s="99"/>
      <c r="AS238" s="99"/>
      <c r="AT238" s="99"/>
      <c r="AU238" s="99"/>
      <c r="AV238" s="99"/>
      <c r="AW238" s="99"/>
      <c r="AX238" s="99"/>
      <c r="AY238" s="99"/>
      <c r="AZ238" s="99"/>
      <c r="BA238" s="99"/>
      <c r="BB238" s="99"/>
      <c r="BC238" s="99"/>
      <c r="BD238" s="99"/>
      <c r="BE238" s="99"/>
      <c r="BF238" s="99"/>
      <c r="BG238" s="99"/>
      <c r="BH238" s="99"/>
      <c r="BI238" s="99"/>
      <c r="BJ238" s="99"/>
      <c r="BK238" s="99"/>
      <c r="BL238" s="99"/>
      <c r="BM238" s="99"/>
      <c r="BN238" s="99"/>
      <c r="BO238" s="99"/>
      <c r="BP238" s="99"/>
      <c r="BQ238" s="99"/>
      <c r="BR238" s="99"/>
      <c r="BS238" s="99"/>
      <c r="BT238" s="99"/>
      <c r="BU238" s="99"/>
      <c r="BV238" s="99"/>
      <c r="BW238" s="99"/>
      <c r="BX238" s="99"/>
      <c r="BY238" s="99"/>
      <c r="BZ238" s="99"/>
      <c r="CA238" s="99"/>
      <c r="CB238" s="99"/>
      <c r="CC238" s="99"/>
      <c r="CD238" s="99"/>
      <c r="CE238" s="99"/>
      <c r="CF238" s="99"/>
      <c r="CG238" s="99"/>
      <c r="CH238" s="99"/>
      <c r="CI238" s="99"/>
      <c r="CJ238" s="99"/>
      <c r="CK238" s="99"/>
      <c r="CL238" s="99"/>
      <c r="CM238" s="99"/>
      <c r="CN238" s="99"/>
      <c r="CO238" s="99"/>
      <c r="CP238" s="99"/>
      <c r="CQ238" s="99"/>
      <c r="CR238" s="99"/>
      <c r="CS238" s="99"/>
      <c r="CT238" s="99"/>
      <c r="CU238" s="99"/>
      <c r="CV238" s="99"/>
      <c r="CW238" s="99"/>
      <c r="CX238" s="99"/>
      <c r="CY238" s="99"/>
      <c r="CZ238" s="99"/>
      <c r="DA238" s="99"/>
      <c r="DB238" s="99"/>
      <c r="DC238" s="99"/>
      <c r="DD238" s="99"/>
      <c r="DE238" s="99"/>
      <c r="DF238" s="99"/>
      <c r="DG238" s="99"/>
      <c r="DH238" s="99"/>
      <c r="DI238" s="99"/>
      <c r="DJ238" s="99"/>
      <c r="DK238" s="99"/>
      <c r="DL238" s="101"/>
      <c r="DM238" s="99"/>
      <c r="DN238" s="99"/>
      <c r="DO238" s="99"/>
      <c r="DP238" s="99"/>
      <c r="DQ238" s="99"/>
      <c r="DR238" s="99"/>
      <c r="DS238" s="99"/>
      <c r="DT238" s="99"/>
      <c r="DU238" s="99"/>
      <c r="DV238" s="99"/>
      <c r="DW238" s="99"/>
      <c r="DX238" s="99"/>
      <c r="DY238" s="99"/>
      <c r="DZ238" s="99"/>
      <c r="EA238" s="99"/>
      <c r="EB238" s="99"/>
      <c r="EC238" s="99"/>
      <c r="ED238" s="99"/>
      <c r="EE238" s="99"/>
      <c r="EF238" s="99"/>
      <c r="EG238" s="99"/>
      <c r="EH238" s="99"/>
    </row>
    <row r="239" ht="15.75" customHeight="1">
      <c r="A239" s="99"/>
      <c r="B239" s="99"/>
      <c r="C239" s="99"/>
      <c r="D239" s="87"/>
      <c r="E239" s="99"/>
      <c r="F239" s="99"/>
      <c r="G239" s="99"/>
      <c r="H239" s="99"/>
      <c r="I239" s="99"/>
      <c r="J239" s="100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  <c r="AA239" s="99"/>
      <c r="AB239" s="99"/>
      <c r="AC239" s="99"/>
      <c r="AD239" s="99"/>
      <c r="AE239" s="99"/>
      <c r="AF239" s="99"/>
      <c r="AG239" s="99"/>
      <c r="AH239" s="99"/>
      <c r="AI239" s="99"/>
      <c r="AJ239" s="99"/>
      <c r="AK239" s="99"/>
      <c r="AL239" s="99"/>
      <c r="AM239" s="99"/>
      <c r="AN239" s="99"/>
      <c r="AO239" s="99"/>
      <c r="AP239" s="99"/>
      <c r="AQ239" s="99"/>
      <c r="AR239" s="99"/>
      <c r="AS239" s="99"/>
      <c r="AT239" s="99"/>
      <c r="AU239" s="99"/>
      <c r="AV239" s="99"/>
      <c r="AW239" s="99"/>
      <c r="AX239" s="99"/>
      <c r="AY239" s="99"/>
      <c r="AZ239" s="99"/>
      <c r="BA239" s="99"/>
      <c r="BB239" s="99"/>
      <c r="BC239" s="99"/>
      <c r="BD239" s="99"/>
      <c r="BE239" s="99"/>
      <c r="BF239" s="99"/>
      <c r="BG239" s="99"/>
      <c r="BH239" s="99"/>
      <c r="BI239" s="99"/>
      <c r="BJ239" s="99"/>
      <c r="BK239" s="99"/>
      <c r="BL239" s="99"/>
      <c r="BM239" s="99"/>
      <c r="BN239" s="99"/>
      <c r="BO239" s="99"/>
      <c r="BP239" s="99"/>
      <c r="BQ239" s="99"/>
      <c r="BR239" s="99"/>
      <c r="BS239" s="99"/>
      <c r="BT239" s="99"/>
      <c r="BU239" s="99"/>
      <c r="BV239" s="99"/>
      <c r="BW239" s="99"/>
      <c r="BX239" s="99"/>
      <c r="BY239" s="99"/>
      <c r="BZ239" s="99"/>
      <c r="CA239" s="99"/>
      <c r="CB239" s="99"/>
      <c r="CC239" s="99"/>
      <c r="CD239" s="99"/>
      <c r="CE239" s="99"/>
      <c r="CF239" s="99"/>
      <c r="CG239" s="99"/>
      <c r="CH239" s="99"/>
      <c r="CI239" s="99"/>
      <c r="CJ239" s="99"/>
      <c r="CK239" s="99"/>
      <c r="CL239" s="99"/>
      <c r="CM239" s="99"/>
      <c r="CN239" s="99"/>
      <c r="CO239" s="99"/>
      <c r="CP239" s="99"/>
      <c r="CQ239" s="99"/>
      <c r="CR239" s="99"/>
      <c r="CS239" s="99"/>
      <c r="CT239" s="99"/>
      <c r="CU239" s="99"/>
      <c r="CV239" s="99"/>
      <c r="CW239" s="99"/>
      <c r="CX239" s="99"/>
      <c r="CY239" s="99"/>
      <c r="CZ239" s="99"/>
      <c r="DA239" s="99"/>
      <c r="DB239" s="99"/>
      <c r="DC239" s="99"/>
      <c r="DD239" s="99"/>
      <c r="DE239" s="99"/>
      <c r="DF239" s="99"/>
      <c r="DG239" s="99"/>
      <c r="DH239" s="99"/>
      <c r="DI239" s="99"/>
      <c r="DJ239" s="99"/>
      <c r="DK239" s="99"/>
      <c r="DL239" s="101"/>
      <c r="DM239" s="99"/>
      <c r="DN239" s="99"/>
      <c r="DO239" s="99"/>
      <c r="DP239" s="99"/>
      <c r="DQ239" s="99"/>
      <c r="DR239" s="99"/>
      <c r="DS239" s="99"/>
      <c r="DT239" s="99"/>
      <c r="DU239" s="99"/>
      <c r="DV239" s="99"/>
      <c r="DW239" s="99"/>
      <c r="DX239" s="99"/>
      <c r="DY239" s="99"/>
      <c r="DZ239" s="99"/>
      <c r="EA239" s="99"/>
      <c r="EB239" s="99"/>
      <c r="EC239" s="99"/>
      <c r="ED239" s="99"/>
      <c r="EE239" s="99"/>
      <c r="EF239" s="99"/>
      <c r="EG239" s="99"/>
      <c r="EH239" s="99"/>
    </row>
    <row r="240" ht="15.75" customHeight="1">
      <c r="A240" s="99"/>
      <c r="B240" s="99"/>
      <c r="C240" s="99"/>
      <c r="D240" s="87"/>
      <c r="E240" s="99"/>
      <c r="F240" s="99"/>
      <c r="G240" s="99"/>
      <c r="H240" s="99"/>
      <c r="I240" s="99"/>
      <c r="J240" s="100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  <c r="AA240" s="99"/>
      <c r="AB240" s="99"/>
      <c r="AC240" s="99"/>
      <c r="AD240" s="99"/>
      <c r="AE240" s="99"/>
      <c r="AF240" s="99"/>
      <c r="AG240" s="99"/>
      <c r="AH240" s="99"/>
      <c r="AI240" s="99"/>
      <c r="AJ240" s="99"/>
      <c r="AK240" s="99"/>
      <c r="AL240" s="99"/>
      <c r="AM240" s="99"/>
      <c r="AN240" s="99"/>
      <c r="AO240" s="99"/>
      <c r="AP240" s="99"/>
      <c r="AQ240" s="99"/>
      <c r="AR240" s="99"/>
      <c r="AS240" s="99"/>
      <c r="AT240" s="99"/>
      <c r="AU240" s="99"/>
      <c r="AV240" s="99"/>
      <c r="AW240" s="99"/>
      <c r="AX240" s="99"/>
      <c r="AY240" s="99"/>
      <c r="AZ240" s="99"/>
      <c r="BA240" s="99"/>
      <c r="BB240" s="99"/>
      <c r="BC240" s="99"/>
      <c r="BD240" s="99"/>
      <c r="BE240" s="99"/>
      <c r="BF240" s="99"/>
      <c r="BG240" s="99"/>
      <c r="BH240" s="99"/>
      <c r="BI240" s="99"/>
      <c r="BJ240" s="99"/>
      <c r="BK240" s="99"/>
      <c r="BL240" s="99"/>
      <c r="BM240" s="99"/>
      <c r="BN240" s="99"/>
      <c r="BO240" s="99"/>
      <c r="BP240" s="99"/>
      <c r="BQ240" s="99"/>
      <c r="BR240" s="99"/>
      <c r="BS240" s="99"/>
      <c r="BT240" s="99"/>
      <c r="BU240" s="99"/>
      <c r="BV240" s="99"/>
      <c r="BW240" s="99"/>
      <c r="BX240" s="99"/>
      <c r="BY240" s="99"/>
      <c r="BZ240" s="99"/>
      <c r="CA240" s="99"/>
      <c r="CB240" s="99"/>
      <c r="CC240" s="99"/>
      <c r="CD240" s="99"/>
      <c r="CE240" s="99"/>
      <c r="CF240" s="99"/>
      <c r="CG240" s="99"/>
      <c r="CH240" s="99"/>
      <c r="CI240" s="99"/>
      <c r="CJ240" s="99"/>
      <c r="CK240" s="99"/>
      <c r="CL240" s="99"/>
      <c r="CM240" s="99"/>
      <c r="CN240" s="99"/>
      <c r="CO240" s="99"/>
      <c r="CP240" s="99"/>
      <c r="CQ240" s="99"/>
      <c r="CR240" s="99"/>
      <c r="CS240" s="99"/>
      <c r="CT240" s="99"/>
      <c r="CU240" s="99"/>
      <c r="CV240" s="99"/>
      <c r="CW240" s="99"/>
      <c r="CX240" s="99"/>
      <c r="CY240" s="99"/>
      <c r="CZ240" s="99"/>
      <c r="DA240" s="99"/>
      <c r="DB240" s="99"/>
      <c r="DC240" s="99"/>
      <c r="DD240" s="99"/>
      <c r="DE240" s="99"/>
      <c r="DF240" s="99"/>
      <c r="DG240" s="99"/>
      <c r="DH240" s="99"/>
      <c r="DI240" s="99"/>
      <c r="DJ240" s="99"/>
      <c r="DK240" s="99"/>
      <c r="DL240" s="101"/>
      <c r="DM240" s="99"/>
      <c r="DN240" s="99"/>
      <c r="DO240" s="99"/>
      <c r="DP240" s="99"/>
      <c r="DQ240" s="99"/>
      <c r="DR240" s="99"/>
      <c r="DS240" s="99"/>
      <c r="DT240" s="99"/>
      <c r="DU240" s="99"/>
      <c r="DV240" s="99"/>
      <c r="DW240" s="99"/>
      <c r="DX240" s="99"/>
      <c r="DY240" s="99"/>
      <c r="DZ240" s="99"/>
      <c r="EA240" s="99"/>
      <c r="EB240" s="99"/>
      <c r="EC240" s="99"/>
      <c r="ED240" s="99"/>
      <c r="EE240" s="99"/>
      <c r="EF240" s="99"/>
      <c r="EG240" s="99"/>
      <c r="EH240" s="99"/>
    </row>
    <row r="241" ht="15.75" customHeight="1">
      <c r="A241" s="99"/>
      <c r="B241" s="99"/>
      <c r="C241" s="99"/>
      <c r="D241" s="87"/>
      <c r="E241" s="99"/>
      <c r="F241" s="99"/>
      <c r="G241" s="99"/>
      <c r="H241" s="99"/>
      <c r="I241" s="99"/>
      <c r="J241" s="100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  <c r="AA241" s="99"/>
      <c r="AB241" s="99"/>
      <c r="AC241" s="99"/>
      <c r="AD241" s="99"/>
      <c r="AE241" s="99"/>
      <c r="AF241" s="99"/>
      <c r="AG241" s="99"/>
      <c r="AH241" s="99"/>
      <c r="AI241" s="99"/>
      <c r="AJ241" s="99"/>
      <c r="AK241" s="99"/>
      <c r="AL241" s="99"/>
      <c r="AM241" s="99"/>
      <c r="AN241" s="99"/>
      <c r="AO241" s="99"/>
      <c r="AP241" s="99"/>
      <c r="AQ241" s="99"/>
      <c r="AR241" s="99"/>
      <c r="AS241" s="99"/>
      <c r="AT241" s="99"/>
      <c r="AU241" s="99"/>
      <c r="AV241" s="99"/>
      <c r="AW241" s="99"/>
      <c r="AX241" s="99"/>
      <c r="AY241" s="99"/>
      <c r="AZ241" s="99"/>
      <c r="BA241" s="99"/>
      <c r="BB241" s="99"/>
      <c r="BC241" s="99"/>
      <c r="BD241" s="99"/>
      <c r="BE241" s="99"/>
      <c r="BF241" s="99"/>
      <c r="BG241" s="99"/>
      <c r="BH241" s="99"/>
      <c r="BI241" s="99"/>
      <c r="BJ241" s="99"/>
      <c r="BK241" s="99"/>
      <c r="BL241" s="99"/>
      <c r="BM241" s="99"/>
      <c r="BN241" s="99"/>
      <c r="BO241" s="99"/>
      <c r="BP241" s="99"/>
      <c r="BQ241" s="99"/>
      <c r="BR241" s="99"/>
      <c r="BS241" s="99"/>
      <c r="BT241" s="99"/>
      <c r="BU241" s="99"/>
      <c r="BV241" s="99"/>
      <c r="BW241" s="99"/>
      <c r="BX241" s="99"/>
      <c r="BY241" s="99"/>
      <c r="BZ241" s="99"/>
      <c r="CA241" s="99"/>
      <c r="CB241" s="99"/>
      <c r="CC241" s="99"/>
      <c r="CD241" s="99"/>
      <c r="CE241" s="99"/>
      <c r="CF241" s="99"/>
      <c r="CG241" s="99"/>
      <c r="CH241" s="99"/>
      <c r="CI241" s="99"/>
      <c r="CJ241" s="99"/>
      <c r="CK241" s="99"/>
      <c r="CL241" s="99"/>
      <c r="CM241" s="99"/>
      <c r="CN241" s="99"/>
      <c r="CO241" s="99"/>
      <c r="CP241" s="99"/>
      <c r="CQ241" s="99"/>
      <c r="CR241" s="99"/>
      <c r="CS241" s="99"/>
      <c r="CT241" s="99"/>
      <c r="CU241" s="99"/>
      <c r="CV241" s="99"/>
      <c r="CW241" s="99"/>
      <c r="CX241" s="99"/>
      <c r="CY241" s="99"/>
      <c r="CZ241" s="99"/>
      <c r="DA241" s="99"/>
      <c r="DB241" s="99"/>
      <c r="DC241" s="99"/>
      <c r="DD241" s="99"/>
      <c r="DE241" s="99"/>
      <c r="DF241" s="99"/>
      <c r="DG241" s="99"/>
      <c r="DH241" s="99"/>
      <c r="DI241" s="99"/>
      <c r="DJ241" s="99"/>
      <c r="DK241" s="99"/>
      <c r="DL241" s="101"/>
      <c r="DM241" s="99"/>
      <c r="DN241" s="99"/>
      <c r="DO241" s="99"/>
      <c r="DP241" s="99"/>
      <c r="DQ241" s="99"/>
      <c r="DR241" s="99"/>
      <c r="DS241" s="99"/>
      <c r="DT241" s="99"/>
      <c r="DU241" s="99"/>
      <c r="DV241" s="99"/>
      <c r="DW241" s="99"/>
      <c r="DX241" s="99"/>
      <c r="DY241" s="99"/>
      <c r="DZ241" s="99"/>
      <c r="EA241" s="99"/>
      <c r="EB241" s="99"/>
      <c r="EC241" s="99"/>
      <c r="ED241" s="99"/>
      <c r="EE241" s="99"/>
      <c r="EF241" s="99"/>
      <c r="EG241" s="99"/>
      <c r="EH241" s="99"/>
    </row>
    <row r="242" ht="15.75" customHeight="1">
      <c r="A242" s="99"/>
      <c r="B242" s="99"/>
      <c r="C242" s="99"/>
      <c r="D242" s="87"/>
      <c r="E242" s="99"/>
      <c r="F242" s="99"/>
      <c r="G242" s="99"/>
      <c r="H242" s="99"/>
      <c r="I242" s="99"/>
      <c r="J242" s="100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  <c r="AA242" s="99"/>
      <c r="AB242" s="99"/>
      <c r="AC242" s="99"/>
      <c r="AD242" s="99"/>
      <c r="AE242" s="99"/>
      <c r="AF242" s="99"/>
      <c r="AG242" s="99"/>
      <c r="AH242" s="99"/>
      <c r="AI242" s="99"/>
      <c r="AJ242" s="99"/>
      <c r="AK242" s="99"/>
      <c r="AL242" s="99"/>
      <c r="AM242" s="99"/>
      <c r="AN242" s="99"/>
      <c r="AO242" s="99"/>
      <c r="AP242" s="99"/>
      <c r="AQ242" s="99"/>
      <c r="AR242" s="99"/>
      <c r="AS242" s="99"/>
      <c r="AT242" s="99"/>
      <c r="AU242" s="99"/>
      <c r="AV242" s="99"/>
      <c r="AW242" s="99"/>
      <c r="AX242" s="99"/>
      <c r="AY242" s="99"/>
      <c r="AZ242" s="99"/>
      <c r="BA242" s="99"/>
      <c r="BB242" s="99"/>
      <c r="BC242" s="99"/>
      <c r="BD242" s="99"/>
      <c r="BE242" s="99"/>
      <c r="BF242" s="99"/>
      <c r="BG242" s="99"/>
      <c r="BH242" s="99"/>
      <c r="BI242" s="99"/>
      <c r="BJ242" s="99"/>
      <c r="BK242" s="99"/>
      <c r="BL242" s="99"/>
      <c r="BM242" s="99"/>
      <c r="BN242" s="99"/>
      <c r="BO242" s="99"/>
      <c r="BP242" s="99"/>
      <c r="BQ242" s="99"/>
      <c r="BR242" s="99"/>
      <c r="BS242" s="99"/>
      <c r="BT242" s="99"/>
      <c r="BU242" s="99"/>
      <c r="BV242" s="99"/>
      <c r="BW242" s="99"/>
      <c r="BX242" s="99"/>
      <c r="BY242" s="99"/>
      <c r="BZ242" s="99"/>
      <c r="CA242" s="99"/>
      <c r="CB242" s="99"/>
      <c r="CC242" s="99"/>
      <c r="CD242" s="99"/>
      <c r="CE242" s="99"/>
      <c r="CF242" s="99"/>
      <c r="CG242" s="99"/>
      <c r="CH242" s="99"/>
      <c r="CI242" s="99"/>
      <c r="CJ242" s="99"/>
      <c r="CK242" s="99"/>
      <c r="CL242" s="99"/>
      <c r="CM242" s="99"/>
      <c r="CN242" s="99"/>
      <c r="CO242" s="99"/>
      <c r="CP242" s="99"/>
      <c r="CQ242" s="99"/>
      <c r="CR242" s="99"/>
      <c r="CS242" s="99"/>
      <c r="CT242" s="99"/>
      <c r="CU242" s="99"/>
      <c r="CV242" s="99"/>
      <c r="CW242" s="99"/>
      <c r="CX242" s="99"/>
      <c r="CY242" s="99"/>
      <c r="CZ242" s="99"/>
      <c r="DA242" s="99"/>
      <c r="DB242" s="99"/>
      <c r="DC242" s="99"/>
      <c r="DD242" s="99"/>
      <c r="DE242" s="99"/>
      <c r="DF242" s="99"/>
      <c r="DG242" s="99"/>
      <c r="DH242" s="99"/>
      <c r="DI242" s="99"/>
      <c r="DJ242" s="99"/>
      <c r="DK242" s="99"/>
      <c r="DL242" s="101"/>
      <c r="DM242" s="99"/>
      <c r="DN242" s="99"/>
      <c r="DO242" s="99"/>
      <c r="DP242" s="99"/>
      <c r="DQ242" s="99"/>
      <c r="DR242" s="99"/>
      <c r="DS242" s="99"/>
      <c r="DT242" s="99"/>
      <c r="DU242" s="99"/>
      <c r="DV242" s="99"/>
      <c r="DW242" s="99"/>
      <c r="DX242" s="99"/>
      <c r="DY242" s="99"/>
      <c r="DZ242" s="99"/>
      <c r="EA242" s="99"/>
      <c r="EB242" s="99"/>
      <c r="EC242" s="99"/>
      <c r="ED242" s="99"/>
      <c r="EE242" s="99"/>
      <c r="EF242" s="99"/>
      <c r="EG242" s="99"/>
      <c r="EH242" s="99"/>
    </row>
    <row r="243" ht="15.75" customHeight="1">
      <c r="A243" s="99"/>
      <c r="B243" s="99"/>
      <c r="C243" s="99"/>
      <c r="D243" s="87"/>
      <c r="E243" s="99"/>
      <c r="F243" s="99"/>
      <c r="G243" s="99"/>
      <c r="H243" s="99"/>
      <c r="I243" s="99"/>
      <c r="J243" s="100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  <c r="AA243" s="99"/>
      <c r="AB243" s="99"/>
      <c r="AC243" s="99"/>
      <c r="AD243" s="99"/>
      <c r="AE243" s="99"/>
      <c r="AF243" s="99"/>
      <c r="AG243" s="99"/>
      <c r="AH243" s="99"/>
      <c r="AI243" s="99"/>
      <c r="AJ243" s="99"/>
      <c r="AK243" s="99"/>
      <c r="AL243" s="99"/>
      <c r="AM243" s="99"/>
      <c r="AN243" s="99"/>
      <c r="AO243" s="99"/>
      <c r="AP243" s="99"/>
      <c r="AQ243" s="99"/>
      <c r="AR243" s="99"/>
      <c r="AS243" s="99"/>
      <c r="AT243" s="99"/>
      <c r="AU243" s="99"/>
      <c r="AV243" s="99"/>
      <c r="AW243" s="99"/>
      <c r="AX243" s="99"/>
      <c r="AY243" s="99"/>
      <c r="AZ243" s="99"/>
      <c r="BA243" s="99"/>
      <c r="BB243" s="99"/>
      <c r="BC243" s="99"/>
      <c r="BD243" s="99"/>
      <c r="BE243" s="99"/>
      <c r="BF243" s="99"/>
      <c r="BG243" s="99"/>
      <c r="BH243" s="99"/>
      <c r="BI243" s="99"/>
      <c r="BJ243" s="99"/>
      <c r="BK243" s="99"/>
      <c r="BL243" s="99"/>
      <c r="BM243" s="99"/>
      <c r="BN243" s="99"/>
      <c r="BO243" s="99"/>
      <c r="BP243" s="99"/>
      <c r="BQ243" s="99"/>
      <c r="BR243" s="99"/>
      <c r="BS243" s="99"/>
      <c r="BT243" s="99"/>
      <c r="BU243" s="99"/>
      <c r="BV243" s="99"/>
      <c r="BW243" s="99"/>
      <c r="BX243" s="99"/>
      <c r="BY243" s="99"/>
      <c r="BZ243" s="99"/>
      <c r="CA243" s="99"/>
      <c r="CB243" s="99"/>
      <c r="CC243" s="99"/>
      <c r="CD243" s="99"/>
      <c r="CE243" s="99"/>
      <c r="CF243" s="99"/>
      <c r="CG243" s="99"/>
      <c r="CH243" s="99"/>
      <c r="CI243" s="99"/>
      <c r="CJ243" s="99"/>
      <c r="CK243" s="99"/>
      <c r="CL243" s="99"/>
      <c r="CM243" s="99"/>
      <c r="CN243" s="99"/>
      <c r="CO243" s="99"/>
      <c r="CP243" s="99"/>
      <c r="CQ243" s="99"/>
      <c r="CR243" s="99"/>
      <c r="CS243" s="99"/>
      <c r="CT243" s="99"/>
      <c r="CU243" s="99"/>
      <c r="CV243" s="99"/>
      <c r="CW243" s="99"/>
      <c r="CX243" s="99"/>
      <c r="CY243" s="99"/>
      <c r="CZ243" s="99"/>
      <c r="DA243" s="99"/>
      <c r="DB243" s="99"/>
      <c r="DC243" s="99"/>
      <c r="DD243" s="99"/>
      <c r="DE243" s="99"/>
      <c r="DF243" s="99"/>
      <c r="DG243" s="99"/>
      <c r="DH243" s="99"/>
      <c r="DI243" s="99"/>
      <c r="DJ243" s="99"/>
      <c r="DK243" s="99"/>
      <c r="DL243" s="99"/>
      <c r="DM243" s="99"/>
      <c r="DN243" s="99"/>
      <c r="DO243" s="99"/>
      <c r="DP243" s="99"/>
      <c r="DQ243" s="99"/>
      <c r="DR243" s="99"/>
      <c r="DS243" s="99"/>
      <c r="DT243" s="99"/>
      <c r="DU243" s="99"/>
      <c r="DV243" s="99"/>
      <c r="DW243" s="99"/>
      <c r="DX243" s="99"/>
      <c r="DY243" s="99"/>
      <c r="DZ243" s="99"/>
      <c r="EA243" s="99"/>
      <c r="EB243" s="99"/>
      <c r="EC243" s="99"/>
      <c r="ED243" s="99"/>
      <c r="EE243" s="99"/>
      <c r="EF243" s="99"/>
      <c r="EG243" s="99"/>
      <c r="EH243" s="99"/>
    </row>
    <row r="244" ht="15.75" customHeight="1">
      <c r="A244" s="99"/>
      <c r="B244" s="99"/>
      <c r="C244" s="99"/>
      <c r="D244" s="87"/>
      <c r="E244" s="99"/>
      <c r="F244" s="99"/>
      <c r="G244" s="99"/>
      <c r="H244" s="99"/>
      <c r="I244" s="99"/>
      <c r="J244" s="100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  <c r="AA244" s="99"/>
      <c r="AB244" s="99"/>
      <c r="AC244" s="99"/>
      <c r="AD244" s="99"/>
      <c r="AE244" s="99"/>
      <c r="AF244" s="99"/>
      <c r="AG244" s="99"/>
      <c r="AH244" s="99"/>
      <c r="AI244" s="99"/>
      <c r="AJ244" s="99"/>
      <c r="AK244" s="99"/>
      <c r="AL244" s="99"/>
      <c r="AM244" s="99"/>
      <c r="AN244" s="99"/>
      <c r="AO244" s="99"/>
      <c r="AP244" s="99"/>
      <c r="AQ244" s="99"/>
      <c r="AR244" s="99"/>
      <c r="AS244" s="99"/>
      <c r="AT244" s="99"/>
      <c r="AU244" s="99"/>
      <c r="AV244" s="99"/>
      <c r="AW244" s="99"/>
      <c r="AX244" s="99"/>
      <c r="AY244" s="99"/>
      <c r="AZ244" s="99"/>
      <c r="BA244" s="99"/>
      <c r="BB244" s="99"/>
      <c r="BC244" s="99"/>
      <c r="BD244" s="99"/>
      <c r="BE244" s="99"/>
      <c r="BF244" s="99"/>
      <c r="BG244" s="99"/>
      <c r="BH244" s="99"/>
      <c r="BI244" s="99"/>
      <c r="BJ244" s="99"/>
      <c r="BK244" s="99"/>
      <c r="BL244" s="99"/>
      <c r="BM244" s="99"/>
      <c r="BN244" s="99"/>
      <c r="BO244" s="99"/>
      <c r="BP244" s="99"/>
      <c r="BQ244" s="99"/>
      <c r="BR244" s="99"/>
      <c r="BS244" s="99"/>
      <c r="BT244" s="99"/>
      <c r="BU244" s="99"/>
      <c r="BV244" s="99"/>
      <c r="BW244" s="99"/>
      <c r="BX244" s="99"/>
      <c r="BY244" s="99"/>
      <c r="BZ244" s="99"/>
      <c r="CA244" s="99"/>
      <c r="CB244" s="99"/>
      <c r="CC244" s="99"/>
      <c r="CD244" s="99"/>
      <c r="CE244" s="99"/>
      <c r="CF244" s="99"/>
      <c r="CG244" s="99"/>
      <c r="CH244" s="99"/>
      <c r="CI244" s="99"/>
      <c r="CJ244" s="99"/>
      <c r="CK244" s="99"/>
      <c r="CL244" s="99"/>
      <c r="CM244" s="99"/>
      <c r="CN244" s="99"/>
      <c r="CO244" s="99"/>
      <c r="CP244" s="99"/>
      <c r="CQ244" s="99"/>
      <c r="CR244" s="99"/>
      <c r="CS244" s="99"/>
      <c r="CT244" s="99"/>
      <c r="CU244" s="99"/>
      <c r="CV244" s="99"/>
      <c r="CW244" s="99"/>
      <c r="CX244" s="99"/>
      <c r="CY244" s="99"/>
      <c r="CZ244" s="99"/>
      <c r="DA244" s="99"/>
      <c r="DB244" s="99"/>
      <c r="DC244" s="99"/>
      <c r="DD244" s="99"/>
      <c r="DE244" s="99"/>
      <c r="DF244" s="99"/>
      <c r="DG244" s="99"/>
      <c r="DH244" s="99"/>
      <c r="DI244" s="99"/>
      <c r="DJ244" s="99"/>
      <c r="DK244" s="99"/>
      <c r="DL244" s="99"/>
      <c r="DM244" s="99"/>
      <c r="DN244" s="99"/>
      <c r="DO244" s="99"/>
      <c r="DP244" s="99"/>
      <c r="DQ244" s="99"/>
      <c r="DR244" s="99"/>
      <c r="DS244" s="99"/>
      <c r="DT244" s="99"/>
      <c r="DU244" s="99"/>
      <c r="DV244" s="99"/>
      <c r="DW244" s="99"/>
      <c r="DX244" s="99"/>
      <c r="DY244" s="99"/>
      <c r="DZ244" s="99"/>
      <c r="EA244" s="99"/>
      <c r="EB244" s="99"/>
      <c r="EC244" s="99"/>
      <c r="ED244" s="99"/>
      <c r="EE244" s="99"/>
      <c r="EF244" s="99"/>
      <c r="EG244" s="99"/>
      <c r="EH244" s="99"/>
    </row>
    <row r="245" ht="15.75" customHeight="1">
      <c r="A245" s="99"/>
      <c r="B245" s="99"/>
      <c r="C245" s="99"/>
      <c r="D245" s="87"/>
      <c r="E245" s="99"/>
      <c r="F245" s="99"/>
      <c r="G245" s="99"/>
      <c r="H245" s="99"/>
      <c r="I245" s="99"/>
      <c r="J245" s="100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  <c r="AA245" s="99"/>
      <c r="AB245" s="99"/>
      <c r="AC245" s="99"/>
      <c r="AD245" s="99"/>
      <c r="AE245" s="99"/>
      <c r="AF245" s="99"/>
      <c r="AG245" s="99"/>
      <c r="AH245" s="99"/>
      <c r="AI245" s="99"/>
      <c r="AJ245" s="99"/>
      <c r="AK245" s="99"/>
      <c r="AL245" s="99"/>
      <c r="AM245" s="99"/>
      <c r="AN245" s="99"/>
      <c r="AO245" s="99"/>
      <c r="AP245" s="99"/>
      <c r="AQ245" s="99"/>
      <c r="AR245" s="99"/>
      <c r="AS245" s="99"/>
      <c r="AT245" s="99"/>
      <c r="AU245" s="99"/>
      <c r="AV245" s="99"/>
      <c r="AW245" s="99"/>
      <c r="AX245" s="99"/>
      <c r="AY245" s="99"/>
      <c r="AZ245" s="99"/>
      <c r="BA245" s="99"/>
      <c r="BB245" s="99"/>
      <c r="BC245" s="99"/>
      <c r="BD245" s="99"/>
      <c r="BE245" s="99"/>
      <c r="BF245" s="99"/>
      <c r="BG245" s="99"/>
      <c r="BH245" s="99"/>
      <c r="BI245" s="99"/>
      <c r="BJ245" s="99"/>
      <c r="BK245" s="99"/>
      <c r="BL245" s="99"/>
      <c r="BM245" s="99"/>
      <c r="BN245" s="99"/>
      <c r="BO245" s="99"/>
      <c r="BP245" s="99"/>
      <c r="BQ245" s="99"/>
      <c r="BR245" s="99"/>
      <c r="BS245" s="99"/>
      <c r="BT245" s="99"/>
      <c r="BU245" s="99"/>
      <c r="BV245" s="99"/>
      <c r="BW245" s="99"/>
      <c r="BX245" s="99"/>
      <c r="BY245" s="99"/>
      <c r="BZ245" s="99"/>
      <c r="CA245" s="99"/>
      <c r="CB245" s="99"/>
      <c r="CC245" s="99"/>
      <c r="CD245" s="99"/>
      <c r="CE245" s="99"/>
      <c r="CF245" s="99"/>
      <c r="CG245" s="99"/>
      <c r="CH245" s="99"/>
      <c r="CI245" s="99"/>
      <c r="CJ245" s="99"/>
      <c r="CK245" s="99"/>
      <c r="CL245" s="99"/>
      <c r="CM245" s="99"/>
      <c r="CN245" s="99"/>
      <c r="CO245" s="99"/>
      <c r="CP245" s="99"/>
      <c r="CQ245" s="99"/>
      <c r="CR245" s="99"/>
      <c r="CS245" s="99"/>
      <c r="CT245" s="99"/>
      <c r="CU245" s="99"/>
      <c r="CV245" s="99"/>
      <c r="CW245" s="99"/>
      <c r="CX245" s="99"/>
      <c r="CY245" s="99"/>
      <c r="CZ245" s="99"/>
      <c r="DA245" s="99"/>
      <c r="DB245" s="99"/>
      <c r="DC245" s="99"/>
      <c r="DD245" s="99"/>
      <c r="DE245" s="99"/>
      <c r="DF245" s="99"/>
      <c r="DG245" s="99"/>
      <c r="DH245" s="99"/>
      <c r="DI245" s="99"/>
      <c r="DJ245" s="99"/>
      <c r="DK245" s="99"/>
      <c r="DL245" s="99"/>
      <c r="DM245" s="99"/>
      <c r="DN245" s="99"/>
      <c r="DO245" s="99"/>
      <c r="DP245" s="99"/>
      <c r="DQ245" s="99"/>
      <c r="DR245" s="99"/>
      <c r="DS245" s="99"/>
      <c r="DT245" s="99"/>
      <c r="DU245" s="99"/>
      <c r="DV245" s="99"/>
      <c r="DW245" s="99"/>
      <c r="DX245" s="99"/>
      <c r="DY245" s="99"/>
      <c r="DZ245" s="99"/>
      <c r="EA245" s="99"/>
      <c r="EB245" s="99"/>
      <c r="EC245" s="99"/>
      <c r="ED245" s="99"/>
      <c r="EE245" s="99"/>
      <c r="EF245" s="99"/>
      <c r="EG245" s="99"/>
      <c r="EH245" s="99"/>
    </row>
    <row r="246" ht="15.75" customHeight="1">
      <c r="A246" s="99"/>
      <c r="B246" s="99"/>
      <c r="C246" s="99"/>
      <c r="D246" s="87"/>
      <c r="E246" s="99"/>
      <c r="F246" s="99"/>
      <c r="G246" s="99"/>
      <c r="H246" s="99"/>
      <c r="I246" s="99"/>
      <c r="J246" s="100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  <c r="AA246" s="99"/>
      <c r="AB246" s="99"/>
      <c r="AC246" s="99"/>
      <c r="AD246" s="99"/>
      <c r="AE246" s="99"/>
      <c r="AF246" s="99"/>
      <c r="AG246" s="99"/>
      <c r="AH246" s="99"/>
      <c r="AI246" s="99"/>
      <c r="AJ246" s="99"/>
      <c r="AK246" s="99"/>
      <c r="AL246" s="99"/>
      <c r="AM246" s="99"/>
      <c r="AN246" s="99"/>
      <c r="AO246" s="99"/>
      <c r="AP246" s="99"/>
      <c r="AQ246" s="99"/>
      <c r="AR246" s="99"/>
      <c r="AS246" s="99"/>
      <c r="AT246" s="99"/>
      <c r="AU246" s="99"/>
      <c r="AV246" s="99"/>
      <c r="AW246" s="99"/>
      <c r="AX246" s="99"/>
      <c r="AY246" s="99"/>
      <c r="AZ246" s="99"/>
      <c r="BA246" s="99"/>
      <c r="BB246" s="99"/>
      <c r="BC246" s="99"/>
      <c r="BD246" s="99"/>
      <c r="BE246" s="99"/>
      <c r="BF246" s="99"/>
      <c r="BG246" s="99"/>
      <c r="BH246" s="99"/>
      <c r="BI246" s="99"/>
      <c r="BJ246" s="99"/>
      <c r="BK246" s="99"/>
      <c r="BL246" s="99"/>
      <c r="BM246" s="99"/>
      <c r="BN246" s="99"/>
      <c r="BO246" s="99"/>
      <c r="BP246" s="99"/>
      <c r="BQ246" s="99"/>
      <c r="BR246" s="99"/>
      <c r="BS246" s="99"/>
      <c r="BT246" s="99"/>
      <c r="BU246" s="99"/>
      <c r="BV246" s="99"/>
      <c r="BW246" s="99"/>
      <c r="BX246" s="99"/>
      <c r="BY246" s="99"/>
      <c r="BZ246" s="99"/>
      <c r="CA246" s="99"/>
      <c r="CB246" s="99"/>
      <c r="CC246" s="99"/>
      <c r="CD246" s="99"/>
      <c r="CE246" s="99"/>
      <c r="CF246" s="99"/>
      <c r="CG246" s="99"/>
      <c r="CH246" s="99"/>
      <c r="CI246" s="99"/>
      <c r="CJ246" s="99"/>
      <c r="CK246" s="99"/>
      <c r="CL246" s="99"/>
      <c r="CM246" s="99"/>
      <c r="CN246" s="99"/>
      <c r="CO246" s="99"/>
      <c r="CP246" s="99"/>
      <c r="CQ246" s="99"/>
      <c r="CR246" s="99"/>
      <c r="CS246" s="99"/>
      <c r="CT246" s="99"/>
      <c r="CU246" s="99"/>
      <c r="CV246" s="99"/>
      <c r="CW246" s="99"/>
      <c r="CX246" s="99"/>
      <c r="CY246" s="99"/>
      <c r="CZ246" s="99"/>
      <c r="DA246" s="99"/>
      <c r="DB246" s="99"/>
      <c r="DC246" s="99"/>
      <c r="DD246" s="99"/>
      <c r="DE246" s="99"/>
      <c r="DF246" s="99"/>
      <c r="DG246" s="99"/>
      <c r="DH246" s="99"/>
      <c r="DI246" s="99"/>
      <c r="DJ246" s="99"/>
      <c r="DK246" s="99"/>
      <c r="DL246" s="99"/>
      <c r="DM246" s="99"/>
      <c r="DN246" s="99"/>
      <c r="DO246" s="99"/>
      <c r="DP246" s="99"/>
      <c r="DQ246" s="99"/>
      <c r="DR246" s="99"/>
      <c r="DS246" s="99"/>
      <c r="DT246" s="99"/>
      <c r="DU246" s="99"/>
      <c r="DV246" s="99"/>
      <c r="DW246" s="99"/>
      <c r="DX246" s="99"/>
      <c r="DY246" s="99"/>
      <c r="DZ246" s="99"/>
      <c r="EA246" s="99"/>
      <c r="EB246" s="99"/>
      <c r="EC246" s="99"/>
      <c r="ED246" s="99"/>
      <c r="EE246" s="99"/>
      <c r="EF246" s="99"/>
      <c r="EG246" s="99"/>
      <c r="EH246" s="99"/>
    </row>
    <row r="247" ht="15.75" customHeight="1">
      <c r="A247" s="99"/>
      <c r="B247" s="99"/>
      <c r="C247" s="99"/>
      <c r="D247" s="87"/>
      <c r="E247" s="99"/>
      <c r="F247" s="99"/>
      <c r="G247" s="99"/>
      <c r="H247" s="99"/>
      <c r="I247" s="99"/>
      <c r="J247" s="100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  <c r="AA247" s="99"/>
      <c r="AB247" s="99"/>
      <c r="AC247" s="99"/>
      <c r="AD247" s="99"/>
      <c r="AE247" s="99"/>
      <c r="AF247" s="99"/>
      <c r="AG247" s="99"/>
      <c r="AH247" s="99"/>
      <c r="AI247" s="99"/>
      <c r="AJ247" s="99"/>
      <c r="AK247" s="99"/>
      <c r="AL247" s="99"/>
      <c r="AM247" s="99"/>
      <c r="AN247" s="99"/>
      <c r="AO247" s="99"/>
      <c r="AP247" s="99"/>
      <c r="AQ247" s="99"/>
      <c r="AR247" s="99"/>
      <c r="AS247" s="99"/>
      <c r="AT247" s="99"/>
      <c r="AU247" s="99"/>
      <c r="AV247" s="99"/>
      <c r="AW247" s="99"/>
      <c r="AX247" s="99"/>
      <c r="AY247" s="99"/>
      <c r="AZ247" s="99"/>
      <c r="BA247" s="99"/>
      <c r="BB247" s="99"/>
      <c r="BC247" s="99"/>
      <c r="BD247" s="99"/>
      <c r="BE247" s="99"/>
      <c r="BF247" s="99"/>
      <c r="BG247" s="99"/>
      <c r="BH247" s="99"/>
      <c r="BI247" s="99"/>
      <c r="BJ247" s="99"/>
      <c r="BK247" s="99"/>
      <c r="BL247" s="99"/>
      <c r="BM247" s="99"/>
      <c r="BN247" s="99"/>
      <c r="BO247" s="99"/>
      <c r="BP247" s="99"/>
      <c r="BQ247" s="99"/>
      <c r="BR247" s="99"/>
      <c r="BS247" s="99"/>
      <c r="BT247" s="99"/>
      <c r="BU247" s="99"/>
      <c r="BV247" s="99"/>
      <c r="BW247" s="99"/>
      <c r="BX247" s="99"/>
      <c r="BY247" s="99"/>
      <c r="BZ247" s="99"/>
      <c r="CA247" s="99"/>
      <c r="CB247" s="99"/>
      <c r="CC247" s="99"/>
      <c r="CD247" s="99"/>
      <c r="CE247" s="99"/>
      <c r="CF247" s="99"/>
      <c r="CG247" s="99"/>
      <c r="CH247" s="99"/>
      <c r="CI247" s="99"/>
      <c r="CJ247" s="99"/>
      <c r="CK247" s="99"/>
      <c r="CL247" s="99"/>
      <c r="CM247" s="99"/>
      <c r="CN247" s="99"/>
      <c r="CO247" s="99"/>
      <c r="CP247" s="99"/>
      <c r="CQ247" s="99"/>
      <c r="CR247" s="99"/>
      <c r="CS247" s="99"/>
      <c r="CT247" s="99"/>
      <c r="CU247" s="99"/>
      <c r="CV247" s="99"/>
      <c r="CW247" s="99"/>
      <c r="CX247" s="99"/>
      <c r="CY247" s="99"/>
      <c r="CZ247" s="99"/>
      <c r="DA247" s="99"/>
      <c r="DB247" s="99"/>
      <c r="DC247" s="99"/>
      <c r="DD247" s="99"/>
      <c r="DE247" s="99"/>
      <c r="DF247" s="99"/>
      <c r="DG247" s="99"/>
      <c r="DH247" s="99"/>
      <c r="DI247" s="99"/>
      <c r="DJ247" s="99"/>
      <c r="DK247" s="99"/>
      <c r="DL247" s="99"/>
      <c r="DM247" s="99"/>
      <c r="DN247" s="99"/>
      <c r="DO247" s="99"/>
      <c r="DP247" s="99"/>
      <c r="DQ247" s="99"/>
      <c r="DR247" s="99"/>
      <c r="DS247" s="99"/>
      <c r="DT247" s="99"/>
      <c r="DU247" s="99"/>
      <c r="DV247" s="99"/>
      <c r="DW247" s="99"/>
      <c r="DX247" s="99"/>
      <c r="DY247" s="99"/>
      <c r="DZ247" s="99"/>
      <c r="EA247" s="99"/>
      <c r="EB247" s="99"/>
      <c r="EC247" s="99"/>
      <c r="ED247" s="99"/>
      <c r="EE247" s="99"/>
      <c r="EF247" s="99"/>
      <c r="EG247" s="99"/>
      <c r="EH247" s="99"/>
    </row>
    <row r="248" ht="15.75" customHeight="1">
      <c r="A248" s="99"/>
      <c r="B248" s="99"/>
      <c r="C248" s="99"/>
      <c r="D248" s="87"/>
      <c r="E248" s="99"/>
      <c r="F248" s="99"/>
      <c r="G248" s="99"/>
      <c r="H248" s="99"/>
      <c r="I248" s="99"/>
      <c r="J248" s="100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  <c r="AA248" s="99"/>
      <c r="AB248" s="99"/>
      <c r="AC248" s="99"/>
      <c r="AD248" s="99"/>
      <c r="AE248" s="99"/>
      <c r="AF248" s="99"/>
      <c r="AG248" s="99"/>
      <c r="AH248" s="99"/>
      <c r="AI248" s="99"/>
      <c r="AJ248" s="99"/>
      <c r="AK248" s="99"/>
      <c r="AL248" s="99"/>
      <c r="AM248" s="99"/>
      <c r="AN248" s="99"/>
      <c r="AO248" s="99"/>
      <c r="AP248" s="99"/>
      <c r="AQ248" s="99"/>
      <c r="AR248" s="99"/>
      <c r="AS248" s="99"/>
      <c r="AT248" s="99"/>
      <c r="AU248" s="99"/>
      <c r="AV248" s="99"/>
      <c r="AW248" s="99"/>
      <c r="AX248" s="99"/>
      <c r="AY248" s="99"/>
      <c r="AZ248" s="99"/>
      <c r="BA248" s="99"/>
      <c r="BB248" s="99"/>
      <c r="BC248" s="99"/>
      <c r="BD248" s="99"/>
      <c r="BE248" s="99"/>
      <c r="BF248" s="99"/>
      <c r="BG248" s="99"/>
      <c r="BH248" s="99"/>
      <c r="BI248" s="99"/>
      <c r="BJ248" s="99"/>
      <c r="BK248" s="99"/>
      <c r="BL248" s="99"/>
      <c r="BM248" s="99"/>
      <c r="BN248" s="99"/>
      <c r="BO248" s="99"/>
      <c r="BP248" s="99"/>
      <c r="BQ248" s="99"/>
      <c r="BR248" s="99"/>
      <c r="BS248" s="99"/>
      <c r="BT248" s="99"/>
      <c r="BU248" s="99"/>
      <c r="BV248" s="99"/>
      <c r="BW248" s="99"/>
      <c r="BX248" s="99"/>
      <c r="BY248" s="99"/>
      <c r="BZ248" s="99"/>
      <c r="CA248" s="99"/>
      <c r="CB248" s="99"/>
      <c r="CC248" s="99"/>
      <c r="CD248" s="99"/>
      <c r="CE248" s="99"/>
      <c r="CF248" s="99"/>
      <c r="CG248" s="99"/>
      <c r="CH248" s="99"/>
      <c r="CI248" s="99"/>
      <c r="CJ248" s="99"/>
      <c r="CK248" s="99"/>
      <c r="CL248" s="99"/>
      <c r="CM248" s="99"/>
      <c r="CN248" s="99"/>
      <c r="CO248" s="99"/>
      <c r="CP248" s="99"/>
      <c r="CQ248" s="99"/>
      <c r="CR248" s="99"/>
      <c r="CS248" s="99"/>
      <c r="CT248" s="99"/>
      <c r="CU248" s="99"/>
      <c r="CV248" s="99"/>
      <c r="CW248" s="99"/>
      <c r="CX248" s="99"/>
      <c r="CY248" s="99"/>
      <c r="CZ248" s="99"/>
      <c r="DA248" s="99"/>
      <c r="DB248" s="99"/>
      <c r="DC248" s="99"/>
      <c r="DD248" s="99"/>
      <c r="DE248" s="99"/>
      <c r="DF248" s="99"/>
      <c r="DG248" s="99"/>
      <c r="DH248" s="99"/>
      <c r="DI248" s="99"/>
      <c r="DJ248" s="99"/>
      <c r="DK248" s="99"/>
      <c r="DL248" s="99"/>
      <c r="DM248" s="99"/>
      <c r="DN248" s="99"/>
      <c r="DO248" s="99"/>
      <c r="DP248" s="99"/>
      <c r="DQ248" s="99"/>
      <c r="DR248" s="99"/>
      <c r="DS248" s="99"/>
      <c r="DT248" s="99"/>
      <c r="DU248" s="99"/>
      <c r="DV248" s="99"/>
      <c r="DW248" s="99"/>
      <c r="DX248" s="99"/>
      <c r="DY248" s="99"/>
      <c r="DZ248" s="99"/>
      <c r="EA248" s="99"/>
      <c r="EB248" s="99"/>
      <c r="EC248" s="99"/>
      <c r="ED248" s="99"/>
      <c r="EE248" s="99"/>
      <c r="EF248" s="99"/>
      <c r="EG248" s="99"/>
      <c r="EH248" s="99"/>
    </row>
    <row r="249" ht="15.75" customHeight="1">
      <c r="A249" s="99"/>
      <c r="B249" s="99"/>
      <c r="C249" s="99"/>
      <c r="D249" s="87"/>
      <c r="E249" s="99"/>
      <c r="F249" s="99"/>
      <c r="G249" s="99"/>
      <c r="H249" s="99"/>
      <c r="I249" s="99"/>
      <c r="J249" s="100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  <c r="AA249" s="99"/>
      <c r="AB249" s="99"/>
      <c r="AC249" s="99"/>
      <c r="AD249" s="99"/>
      <c r="AE249" s="99"/>
      <c r="AF249" s="99"/>
      <c r="AG249" s="99"/>
      <c r="AH249" s="99"/>
      <c r="AI249" s="99"/>
      <c r="AJ249" s="99"/>
      <c r="AK249" s="99"/>
      <c r="AL249" s="99"/>
      <c r="AM249" s="99"/>
      <c r="AN249" s="99"/>
      <c r="AO249" s="99"/>
      <c r="AP249" s="99"/>
      <c r="AQ249" s="99"/>
      <c r="AR249" s="99"/>
      <c r="AS249" s="99"/>
      <c r="AT249" s="99"/>
      <c r="AU249" s="99"/>
      <c r="AV249" s="99"/>
      <c r="AW249" s="99"/>
      <c r="AX249" s="99"/>
      <c r="AY249" s="99"/>
      <c r="AZ249" s="99"/>
      <c r="BA249" s="99"/>
      <c r="BB249" s="99"/>
      <c r="BC249" s="99"/>
      <c r="BD249" s="99"/>
      <c r="BE249" s="99"/>
      <c r="BF249" s="99"/>
      <c r="BG249" s="99"/>
      <c r="BH249" s="99"/>
      <c r="BI249" s="99"/>
      <c r="BJ249" s="99"/>
      <c r="BK249" s="99"/>
      <c r="BL249" s="99"/>
      <c r="BM249" s="99"/>
      <c r="BN249" s="99"/>
      <c r="BO249" s="99"/>
      <c r="BP249" s="99"/>
      <c r="BQ249" s="99"/>
      <c r="BR249" s="99"/>
      <c r="BS249" s="99"/>
      <c r="BT249" s="99"/>
      <c r="BU249" s="99"/>
      <c r="BV249" s="99"/>
      <c r="BW249" s="99"/>
      <c r="BX249" s="99"/>
      <c r="BY249" s="99"/>
      <c r="BZ249" s="99"/>
      <c r="CA249" s="99"/>
      <c r="CB249" s="99"/>
      <c r="CC249" s="99"/>
      <c r="CD249" s="99"/>
      <c r="CE249" s="99"/>
      <c r="CF249" s="99"/>
      <c r="CG249" s="99"/>
      <c r="CH249" s="99"/>
      <c r="CI249" s="99"/>
      <c r="CJ249" s="99"/>
      <c r="CK249" s="99"/>
      <c r="CL249" s="99"/>
      <c r="CM249" s="99"/>
      <c r="CN249" s="99"/>
      <c r="CO249" s="99"/>
      <c r="CP249" s="99"/>
      <c r="CQ249" s="99"/>
      <c r="CR249" s="99"/>
      <c r="CS249" s="99"/>
      <c r="CT249" s="99"/>
      <c r="CU249" s="99"/>
      <c r="CV249" s="99"/>
      <c r="CW249" s="99"/>
      <c r="CX249" s="99"/>
      <c r="CY249" s="99"/>
      <c r="CZ249" s="99"/>
      <c r="DA249" s="99"/>
      <c r="DB249" s="99"/>
      <c r="DC249" s="99"/>
      <c r="DD249" s="99"/>
      <c r="DE249" s="99"/>
      <c r="DF249" s="99"/>
      <c r="DG249" s="99"/>
      <c r="DH249" s="99"/>
      <c r="DI249" s="99"/>
      <c r="DJ249" s="99"/>
      <c r="DK249" s="99"/>
      <c r="DL249" s="99"/>
      <c r="DM249" s="99"/>
      <c r="DN249" s="99"/>
      <c r="DO249" s="99"/>
      <c r="DP249" s="99"/>
      <c r="DQ249" s="99"/>
      <c r="DR249" s="99"/>
      <c r="DS249" s="99"/>
      <c r="DT249" s="99"/>
      <c r="DU249" s="99"/>
      <c r="DV249" s="99"/>
      <c r="DW249" s="99"/>
      <c r="DX249" s="99"/>
      <c r="DY249" s="99"/>
      <c r="DZ249" s="99"/>
      <c r="EA249" s="99"/>
      <c r="EB249" s="99"/>
      <c r="EC249" s="99"/>
      <c r="ED249" s="99"/>
      <c r="EE249" s="99"/>
      <c r="EF249" s="99"/>
      <c r="EG249" s="99"/>
      <c r="EH249" s="99"/>
    </row>
    <row r="250" ht="15.75" customHeight="1">
      <c r="A250" s="99"/>
      <c r="B250" s="99"/>
      <c r="C250" s="99"/>
      <c r="D250" s="87"/>
      <c r="E250" s="99"/>
      <c r="F250" s="99"/>
      <c r="G250" s="99"/>
      <c r="H250" s="99"/>
      <c r="I250" s="99"/>
      <c r="J250" s="100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  <c r="AA250" s="99"/>
      <c r="AB250" s="99"/>
      <c r="AC250" s="99"/>
      <c r="AD250" s="99"/>
      <c r="AE250" s="99"/>
      <c r="AF250" s="99"/>
      <c r="AG250" s="99"/>
      <c r="AH250" s="99"/>
      <c r="AI250" s="99"/>
      <c r="AJ250" s="99"/>
      <c r="AK250" s="99"/>
      <c r="AL250" s="99"/>
      <c r="AM250" s="99"/>
      <c r="AN250" s="99"/>
      <c r="AO250" s="99"/>
      <c r="AP250" s="99"/>
      <c r="AQ250" s="99"/>
      <c r="AR250" s="99"/>
      <c r="AS250" s="99"/>
      <c r="AT250" s="99"/>
      <c r="AU250" s="99"/>
      <c r="AV250" s="99"/>
      <c r="AW250" s="99"/>
      <c r="AX250" s="99"/>
      <c r="AY250" s="99"/>
      <c r="AZ250" s="99"/>
      <c r="BA250" s="99"/>
      <c r="BB250" s="99"/>
      <c r="BC250" s="99"/>
      <c r="BD250" s="99"/>
      <c r="BE250" s="99"/>
      <c r="BF250" s="99"/>
      <c r="BG250" s="99"/>
      <c r="BH250" s="99"/>
      <c r="BI250" s="99"/>
      <c r="BJ250" s="99"/>
      <c r="BK250" s="99"/>
      <c r="BL250" s="99"/>
      <c r="BM250" s="99"/>
      <c r="BN250" s="99"/>
      <c r="BO250" s="99"/>
      <c r="BP250" s="99"/>
      <c r="BQ250" s="99"/>
      <c r="BR250" s="99"/>
      <c r="BS250" s="99"/>
      <c r="BT250" s="99"/>
      <c r="BU250" s="99"/>
      <c r="BV250" s="99"/>
      <c r="BW250" s="99"/>
      <c r="BX250" s="99"/>
      <c r="BY250" s="99"/>
      <c r="BZ250" s="99"/>
      <c r="CA250" s="99"/>
      <c r="CB250" s="99"/>
      <c r="CC250" s="99"/>
      <c r="CD250" s="99"/>
      <c r="CE250" s="99"/>
      <c r="CF250" s="99"/>
      <c r="CG250" s="99"/>
      <c r="CH250" s="99"/>
      <c r="CI250" s="99"/>
      <c r="CJ250" s="99"/>
      <c r="CK250" s="99"/>
      <c r="CL250" s="99"/>
      <c r="CM250" s="99"/>
      <c r="CN250" s="99"/>
      <c r="CO250" s="99"/>
      <c r="CP250" s="99"/>
      <c r="CQ250" s="99"/>
      <c r="CR250" s="99"/>
      <c r="CS250" s="99"/>
      <c r="CT250" s="99"/>
      <c r="CU250" s="99"/>
      <c r="CV250" s="99"/>
      <c r="CW250" s="99"/>
      <c r="CX250" s="99"/>
      <c r="CY250" s="99"/>
      <c r="CZ250" s="99"/>
      <c r="DA250" s="99"/>
      <c r="DB250" s="99"/>
      <c r="DC250" s="99"/>
      <c r="DD250" s="99"/>
      <c r="DE250" s="99"/>
      <c r="DF250" s="99"/>
      <c r="DG250" s="99"/>
      <c r="DH250" s="99"/>
      <c r="DI250" s="99"/>
      <c r="DJ250" s="99"/>
      <c r="DK250" s="99"/>
      <c r="DL250" s="99"/>
      <c r="DM250" s="99"/>
      <c r="DN250" s="99"/>
      <c r="DO250" s="99"/>
      <c r="DP250" s="99"/>
      <c r="DQ250" s="99"/>
      <c r="DR250" s="99"/>
      <c r="DS250" s="99"/>
      <c r="DT250" s="99"/>
      <c r="DU250" s="99"/>
      <c r="DV250" s="99"/>
      <c r="DW250" s="99"/>
      <c r="DX250" s="99"/>
      <c r="DY250" s="99"/>
      <c r="DZ250" s="99"/>
      <c r="EA250" s="99"/>
      <c r="EB250" s="99"/>
      <c r="EC250" s="99"/>
      <c r="ED250" s="99"/>
      <c r="EE250" s="99"/>
      <c r="EF250" s="99"/>
      <c r="EG250" s="99"/>
      <c r="EH250" s="99"/>
    </row>
    <row r="251" ht="15.75" customHeight="1">
      <c r="A251" s="99"/>
      <c r="B251" s="99"/>
      <c r="C251" s="99"/>
      <c r="D251" s="87"/>
      <c r="E251" s="99"/>
      <c r="F251" s="99"/>
      <c r="G251" s="99"/>
      <c r="H251" s="99"/>
      <c r="I251" s="99"/>
      <c r="J251" s="100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  <c r="AA251" s="99"/>
      <c r="AB251" s="99"/>
      <c r="AC251" s="99"/>
      <c r="AD251" s="99"/>
      <c r="AE251" s="99"/>
      <c r="AF251" s="99"/>
      <c r="AG251" s="99"/>
      <c r="AH251" s="99"/>
      <c r="AI251" s="99"/>
      <c r="AJ251" s="99"/>
      <c r="AK251" s="99"/>
      <c r="AL251" s="99"/>
      <c r="AM251" s="99"/>
      <c r="AN251" s="99"/>
      <c r="AO251" s="99"/>
      <c r="AP251" s="99"/>
      <c r="AQ251" s="99"/>
      <c r="AR251" s="99"/>
      <c r="AS251" s="99"/>
      <c r="AT251" s="99"/>
      <c r="AU251" s="99"/>
      <c r="AV251" s="99"/>
      <c r="AW251" s="99"/>
      <c r="AX251" s="99"/>
      <c r="AY251" s="99"/>
      <c r="AZ251" s="99"/>
      <c r="BA251" s="99"/>
      <c r="BB251" s="99"/>
      <c r="BC251" s="99"/>
      <c r="BD251" s="99"/>
      <c r="BE251" s="99"/>
      <c r="BF251" s="99"/>
      <c r="BG251" s="99"/>
      <c r="BH251" s="99"/>
      <c r="BI251" s="99"/>
      <c r="BJ251" s="99"/>
      <c r="BK251" s="99"/>
      <c r="BL251" s="99"/>
      <c r="BM251" s="99"/>
      <c r="BN251" s="99"/>
      <c r="BO251" s="99"/>
      <c r="BP251" s="99"/>
      <c r="BQ251" s="99"/>
      <c r="BR251" s="99"/>
      <c r="BS251" s="99"/>
      <c r="BT251" s="99"/>
      <c r="BU251" s="99"/>
      <c r="BV251" s="99"/>
      <c r="BW251" s="99"/>
      <c r="BX251" s="99"/>
      <c r="BY251" s="99"/>
      <c r="BZ251" s="99"/>
      <c r="CA251" s="99"/>
      <c r="CB251" s="99"/>
      <c r="CC251" s="99"/>
      <c r="CD251" s="99"/>
      <c r="CE251" s="99"/>
      <c r="CF251" s="99"/>
      <c r="CG251" s="99"/>
      <c r="CH251" s="99"/>
      <c r="CI251" s="99"/>
      <c r="CJ251" s="99"/>
      <c r="CK251" s="99"/>
      <c r="CL251" s="99"/>
      <c r="CM251" s="99"/>
      <c r="CN251" s="99"/>
      <c r="CO251" s="99"/>
      <c r="CP251" s="99"/>
      <c r="CQ251" s="99"/>
      <c r="CR251" s="99"/>
      <c r="CS251" s="99"/>
      <c r="CT251" s="99"/>
      <c r="CU251" s="99"/>
      <c r="CV251" s="99"/>
      <c r="CW251" s="99"/>
      <c r="CX251" s="99"/>
      <c r="CY251" s="99"/>
      <c r="CZ251" s="99"/>
      <c r="DA251" s="99"/>
      <c r="DB251" s="99"/>
      <c r="DC251" s="99"/>
      <c r="DD251" s="99"/>
      <c r="DE251" s="99"/>
      <c r="DF251" s="99"/>
      <c r="DG251" s="99"/>
      <c r="DH251" s="99"/>
      <c r="DI251" s="99"/>
      <c r="DJ251" s="99"/>
      <c r="DK251" s="99"/>
      <c r="DL251" s="99"/>
      <c r="DM251" s="99"/>
      <c r="DN251" s="99"/>
      <c r="DO251" s="99"/>
      <c r="DP251" s="99"/>
      <c r="DQ251" s="99"/>
      <c r="DR251" s="99"/>
      <c r="DS251" s="99"/>
      <c r="DT251" s="99"/>
      <c r="DU251" s="99"/>
      <c r="DV251" s="99"/>
      <c r="DW251" s="99"/>
      <c r="DX251" s="99"/>
      <c r="DY251" s="99"/>
      <c r="DZ251" s="99"/>
      <c r="EA251" s="99"/>
      <c r="EB251" s="99"/>
      <c r="EC251" s="99"/>
      <c r="ED251" s="99"/>
      <c r="EE251" s="99"/>
      <c r="EF251" s="99"/>
      <c r="EG251" s="99"/>
      <c r="EH251" s="99"/>
    </row>
    <row r="252" ht="15.75" customHeight="1">
      <c r="A252" s="99"/>
      <c r="B252" s="99"/>
      <c r="C252" s="99"/>
      <c r="D252" s="87"/>
      <c r="E252" s="99"/>
      <c r="F252" s="99"/>
      <c r="G252" s="99"/>
      <c r="H252" s="99"/>
      <c r="I252" s="99"/>
      <c r="J252" s="100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  <c r="AA252" s="99"/>
      <c r="AB252" s="99"/>
      <c r="AC252" s="99"/>
      <c r="AD252" s="99"/>
      <c r="AE252" s="99"/>
      <c r="AF252" s="99"/>
      <c r="AG252" s="99"/>
      <c r="AH252" s="99"/>
      <c r="AI252" s="99"/>
      <c r="AJ252" s="99"/>
      <c r="AK252" s="99"/>
      <c r="AL252" s="99"/>
      <c r="AM252" s="99"/>
      <c r="AN252" s="99"/>
      <c r="AO252" s="99"/>
      <c r="AP252" s="99"/>
      <c r="AQ252" s="99"/>
      <c r="AR252" s="99"/>
      <c r="AS252" s="99"/>
      <c r="AT252" s="99"/>
      <c r="AU252" s="99"/>
      <c r="AV252" s="99"/>
      <c r="AW252" s="99"/>
      <c r="AX252" s="99"/>
      <c r="AY252" s="99"/>
      <c r="AZ252" s="99"/>
      <c r="BA252" s="99"/>
      <c r="BB252" s="99"/>
      <c r="BC252" s="99"/>
      <c r="BD252" s="99"/>
      <c r="BE252" s="99"/>
      <c r="BF252" s="99"/>
      <c r="BG252" s="99"/>
      <c r="BH252" s="99"/>
      <c r="BI252" s="99"/>
      <c r="BJ252" s="99"/>
      <c r="BK252" s="99"/>
      <c r="BL252" s="99"/>
      <c r="BM252" s="99"/>
      <c r="BN252" s="99"/>
      <c r="BO252" s="99"/>
      <c r="BP252" s="99"/>
      <c r="BQ252" s="99"/>
      <c r="BR252" s="99"/>
      <c r="BS252" s="99"/>
      <c r="BT252" s="99"/>
      <c r="BU252" s="99"/>
      <c r="BV252" s="99"/>
      <c r="BW252" s="99"/>
      <c r="BX252" s="99"/>
      <c r="BY252" s="99"/>
      <c r="BZ252" s="99"/>
      <c r="CA252" s="99"/>
      <c r="CB252" s="99"/>
      <c r="CC252" s="99"/>
      <c r="CD252" s="99"/>
      <c r="CE252" s="99"/>
      <c r="CF252" s="99"/>
      <c r="CG252" s="99"/>
      <c r="CH252" s="99"/>
      <c r="CI252" s="99"/>
      <c r="CJ252" s="99"/>
      <c r="CK252" s="99"/>
      <c r="CL252" s="99"/>
      <c r="CM252" s="99"/>
      <c r="CN252" s="99"/>
      <c r="CO252" s="99"/>
      <c r="CP252" s="99"/>
      <c r="CQ252" s="99"/>
      <c r="CR252" s="99"/>
      <c r="CS252" s="99"/>
      <c r="CT252" s="99"/>
      <c r="CU252" s="99"/>
      <c r="CV252" s="99"/>
      <c r="CW252" s="99"/>
      <c r="CX252" s="99"/>
      <c r="CY252" s="99"/>
      <c r="CZ252" s="99"/>
      <c r="DA252" s="99"/>
      <c r="DB252" s="99"/>
      <c r="DC252" s="99"/>
      <c r="DD252" s="99"/>
      <c r="DE252" s="99"/>
      <c r="DF252" s="99"/>
      <c r="DG252" s="99"/>
      <c r="DH252" s="99"/>
      <c r="DI252" s="99"/>
      <c r="DJ252" s="99"/>
      <c r="DK252" s="99"/>
      <c r="DL252" s="99"/>
      <c r="DM252" s="99"/>
      <c r="DN252" s="99"/>
      <c r="DO252" s="99"/>
      <c r="DP252" s="99"/>
      <c r="DQ252" s="99"/>
      <c r="DR252" s="99"/>
      <c r="DS252" s="99"/>
      <c r="DT252" s="99"/>
      <c r="DU252" s="99"/>
      <c r="DV252" s="99"/>
      <c r="DW252" s="99"/>
      <c r="DX252" s="99"/>
      <c r="DY252" s="99"/>
      <c r="DZ252" s="99"/>
      <c r="EA252" s="99"/>
      <c r="EB252" s="99"/>
      <c r="EC252" s="99"/>
      <c r="ED252" s="99"/>
      <c r="EE252" s="99"/>
      <c r="EF252" s="99"/>
      <c r="EG252" s="99"/>
      <c r="EH252" s="99"/>
    </row>
    <row r="253" ht="15.75" customHeight="1">
      <c r="A253" s="99"/>
      <c r="B253" s="99"/>
      <c r="C253" s="99"/>
      <c r="D253" s="87"/>
      <c r="E253" s="99"/>
      <c r="F253" s="99"/>
      <c r="G253" s="99"/>
      <c r="H253" s="99"/>
      <c r="I253" s="99"/>
      <c r="J253" s="100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  <c r="AA253" s="99"/>
      <c r="AB253" s="99"/>
      <c r="AC253" s="99"/>
      <c r="AD253" s="99"/>
      <c r="AE253" s="99"/>
      <c r="AF253" s="99"/>
      <c r="AG253" s="99"/>
      <c r="AH253" s="99"/>
      <c r="AI253" s="99"/>
      <c r="AJ253" s="99"/>
      <c r="AK253" s="99"/>
      <c r="AL253" s="99"/>
      <c r="AM253" s="99"/>
      <c r="AN253" s="99"/>
      <c r="AO253" s="99"/>
      <c r="AP253" s="99"/>
      <c r="AQ253" s="99"/>
      <c r="AR253" s="99"/>
      <c r="AS253" s="99"/>
      <c r="AT253" s="99"/>
      <c r="AU253" s="99"/>
      <c r="AV253" s="99"/>
      <c r="AW253" s="99"/>
      <c r="AX253" s="99"/>
      <c r="AY253" s="99"/>
      <c r="AZ253" s="99"/>
      <c r="BA253" s="99"/>
      <c r="BB253" s="99"/>
      <c r="BC253" s="99"/>
      <c r="BD253" s="99"/>
      <c r="BE253" s="99"/>
      <c r="BF253" s="99"/>
      <c r="BG253" s="99"/>
      <c r="BH253" s="99"/>
      <c r="BI253" s="99"/>
      <c r="BJ253" s="99"/>
      <c r="BK253" s="99"/>
      <c r="BL253" s="99"/>
      <c r="BM253" s="99"/>
      <c r="BN253" s="99"/>
      <c r="BO253" s="99"/>
      <c r="BP253" s="99"/>
      <c r="BQ253" s="99"/>
      <c r="BR253" s="99"/>
      <c r="BS253" s="99"/>
      <c r="BT253" s="99"/>
      <c r="BU253" s="99"/>
      <c r="BV253" s="99"/>
      <c r="BW253" s="99"/>
      <c r="BX253" s="99"/>
      <c r="BY253" s="99"/>
      <c r="BZ253" s="99"/>
      <c r="CA253" s="99"/>
      <c r="CB253" s="99"/>
      <c r="CC253" s="99"/>
      <c r="CD253" s="99"/>
      <c r="CE253" s="99"/>
      <c r="CF253" s="99"/>
      <c r="CG253" s="99"/>
      <c r="CH253" s="99"/>
      <c r="CI253" s="99"/>
      <c r="CJ253" s="99"/>
      <c r="CK253" s="99"/>
      <c r="CL253" s="99"/>
      <c r="CM253" s="99"/>
      <c r="CN253" s="99"/>
      <c r="CO253" s="99"/>
      <c r="CP253" s="99"/>
      <c r="CQ253" s="99"/>
      <c r="CR253" s="99"/>
      <c r="CS253" s="99"/>
      <c r="CT253" s="99"/>
      <c r="CU253" s="99"/>
      <c r="CV253" s="99"/>
      <c r="CW253" s="99"/>
      <c r="CX253" s="99"/>
      <c r="CY253" s="99"/>
      <c r="CZ253" s="99"/>
      <c r="DA253" s="99"/>
      <c r="DB253" s="99"/>
      <c r="DC253" s="99"/>
      <c r="DD253" s="99"/>
      <c r="DE253" s="99"/>
      <c r="DF253" s="99"/>
      <c r="DG253" s="99"/>
      <c r="DH253" s="99"/>
      <c r="DI253" s="99"/>
      <c r="DJ253" s="99"/>
      <c r="DK253" s="99"/>
      <c r="DL253" s="99"/>
      <c r="DM253" s="99"/>
      <c r="DN253" s="99"/>
      <c r="DO253" s="99"/>
      <c r="DP253" s="99"/>
      <c r="DQ253" s="99"/>
      <c r="DR253" s="99"/>
      <c r="DS253" s="99"/>
      <c r="DT253" s="99"/>
      <c r="DU253" s="99"/>
      <c r="DV253" s="99"/>
      <c r="DW253" s="99"/>
      <c r="DX253" s="99"/>
      <c r="DY253" s="99"/>
      <c r="DZ253" s="99"/>
      <c r="EA253" s="99"/>
      <c r="EB253" s="99"/>
      <c r="EC253" s="99"/>
      <c r="ED253" s="99"/>
      <c r="EE253" s="99"/>
      <c r="EF253" s="99"/>
      <c r="EG253" s="99"/>
      <c r="EH253" s="99"/>
    </row>
    <row r="254" ht="15.75" customHeight="1">
      <c r="A254" s="99"/>
      <c r="B254" s="99"/>
      <c r="C254" s="99"/>
      <c r="D254" s="87"/>
      <c r="E254" s="99"/>
      <c r="F254" s="99"/>
      <c r="G254" s="99"/>
      <c r="H254" s="99"/>
      <c r="I254" s="99"/>
      <c r="J254" s="100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  <c r="AA254" s="99"/>
      <c r="AB254" s="99"/>
      <c r="AC254" s="99"/>
      <c r="AD254" s="99"/>
      <c r="AE254" s="99"/>
      <c r="AF254" s="99"/>
      <c r="AG254" s="99"/>
      <c r="AH254" s="99"/>
      <c r="AI254" s="99"/>
      <c r="AJ254" s="99"/>
      <c r="AK254" s="99"/>
      <c r="AL254" s="99"/>
      <c r="AM254" s="99"/>
      <c r="AN254" s="99"/>
      <c r="AO254" s="99"/>
      <c r="AP254" s="99"/>
      <c r="AQ254" s="99"/>
      <c r="AR254" s="99"/>
      <c r="AS254" s="99"/>
      <c r="AT254" s="99"/>
      <c r="AU254" s="99"/>
      <c r="AV254" s="99"/>
      <c r="AW254" s="99"/>
      <c r="AX254" s="99"/>
      <c r="AY254" s="99"/>
      <c r="AZ254" s="99"/>
      <c r="BA254" s="99"/>
      <c r="BB254" s="99"/>
      <c r="BC254" s="99"/>
      <c r="BD254" s="99"/>
      <c r="BE254" s="99"/>
      <c r="BF254" s="99"/>
      <c r="BG254" s="99"/>
      <c r="BH254" s="99"/>
      <c r="BI254" s="99"/>
      <c r="BJ254" s="99"/>
      <c r="BK254" s="99"/>
      <c r="BL254" s="99"/>
      <c r="BM254" s="99"/>
      <c r="BN254" s="99"/>
      <c r="BO254" s="99"/>
      <c r="BP254" s="99"/>
      <c r="BQ254" s="99"/>
      <c r="BR254" s="99"/>
      <c r="BS254" s="99"/>
      <c r="BT254" s="99"/>
      <c r="BU254" s="99"/>
      <c r="BV254" s="99"/>
      <c r="BW254" s="99"/>
      <c r="BX254" s="99"/>
      <c r="BY254" s="99"/>
      <c r="BZ254" s="99"/>
      <c r="CA254" s="99"/>
      <c r="CB254" s="99"/>
      <c r="CC254" s="99"/>
      <c r="CD254" s="99"/>
      <c r="CE254" s="99"/>
      <c r="CF254" s="99"/>
      <c r="CG254" s="99"/>
      <c r="CH254" s="99"/>
      <c r="CI254" s="99"/>
      <c r="CJ254" s="99"/>
      <c r="CK254" s="99"/>
      <c r="CL254" s="99"/>
      <c r="CM254" s="99"/>
      <c r="CN254" s="99"/>
      <c r="CO254" s="99"/>
      <c r="CP254" s="99"/>
      <c r="CQ254" s="99"/>
      <c r="CR254" s="99"/>
      <c r="CS254" s="99"/>
      <c r="CT254" s="99"/>
      <c r="CU254" s="99"/>
      <c r="CV254" s="99"/>
      <c r="CW254" s="99"/>
      <c r="CX254" s="99"/>
      <c r="CY254" s="99"/>
      <c r="CZ254" s="99"/>
      <c r="DA254" s="99"/>
      <c r="DB254" s="99"/>
      <c r="DC254" s="99"/>
      <c r="DD254" s="99"/>
      <c r="DE254" s="99"/>
      <c r="DF254" s="99"/>
      <c r="DG254" s="99"/>
      <c r="DH254" s="99"/>
      <c r="DI254" s="99"/>
      <c r="DJ254" s="99"/>
      <c r="DK254" s="99"/>
      <c r="DL254" s="99"/>
      <c r="DM254" s="99"/>
      <c r="DN254" s="99"/>
      <c r="DO254" s="99"/>
      <c r="DP254" s="99"/>
      <c r="DQ254" s="99"/>
      <c r="DR254" s="99"/>
      <c r="DS254" s="99"/>
      <c r="DT254" s="99"/>
      <c r="DU254" s="99"/>
      <c r="DV254" s="99"/>
      <c r="DW254" s="99"/>
      <c r="DX254" s="99"/>
      <c r="DY254" s="99"/>
      <c r="DZ254" s="99"/>
      <c r="EA254" s="99"/>
      <c r="EB254" s="99"/>
      <c r="EC254" s="99"/>
      <c r="ED254" s="99"/>
      <c r="EE254" s="99"/>
      <c r="EF254" s="99"/>
      <c r="EG254" s="99"/>
      <c r="EH254" s="99"/>
    </row>
    <row r="255" ht="15.75" customHeight="1">
      <c r="A255" s="99"/>
      <c r="B255" s="99"/>
      <c r="C255" s="99"/>
      <c r="D255" s="87"/>
      <c r="E255" s="99"/>
      <c r="F255" s="99"/>
      <c r="G255" s="99"/>
      <c r="H255" s="99"/>
      <c r="I255" s="99"/>
      <c r="J255" s="100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  <c r="AA255" s="99"/>
      <c r="AB255" s="99"/>
      <c r="AC255" s="99"/>
      <c r="AD255" s="99"/>
      <c r="AE255" s="99"/>
      <c r="AF255" s="99"/>
      <c r="AG255" s="99"/>
      <c r="AH255" s="99"/>
      <c r="AI255" s="99"/>
      <c r="AJ255" s="99"/>
      <c r="AK255" s="99"/>
      <c r="AL255" s="99"/>
      <c r="AM255" s="99"/>
      <c r="AN255" s="99"/>
      <c r="AO255" s="99"/>
      <c r="AP255" s="99"/>
      <c r="AQ255" s="99"/>
      <c r="AR255" s="99"/>
      <c r="AS255" s="99"/>
      <c r="AT255" s="99"/>
      <c r="AU255" s="99"/>
      <c r="AV255" s="99"/>
      <c r="AW255" s="99"/>
      <c r="AX255" s="99"/>
      <c r="AY255" s="99"/>
      <c r="AZ255" s="99"/>
      <c r="BA255" s="99"/>
      <c r="BB255" s="99"/>
      <c r="BC255" s="99"/>
      <c r="BD255" s="99"/>
      <c r="BE255" s="99"/>
      <c r="BF255" s="99"/>
      <c r="BG255" s="99"/>
      <c r="BH255" s="99"/>
      <c r="BI255" s="99"/>
      <c r="BJ255" s="99"/>
      <c r="BK255" s="99"/>
      <c r="BL255" s="99"/>
      <c r="BM255" s="99"/>
      <c r="BN255" s="99"/>
      <c r="BO255" s="99"/>
      <c r="BP255" s="99"/>
      <c r="BQ255" s="99"/>
      <c r="BR255" s="99"/>
      <c r="BS255" s="99"/>
      <c r="BT255" s="99"/>
      <c r="BU255" s="99"/>
      <c r="BV255" s="99"/>
      <c r="BW255" s="99"/>
      <c r="BX255" s="99"/>
      <c r="BY255" s="99"/>
      <c r="BZ255" s="99"/>
      <c r="CA255" s="99"/>
      <c r="CB255" s="99"/>
      <c r="CC255" s="99"/>
      <c r="CD255" s="99"/>
      <c r="CE255" s="99"/>
      <c r="CF255" s="99"/>
      <c r="CG255" s="99"/>
      <c r="CH255" s="99"/>
      <c r="CI255" s="99"/>
      <c r="CJ255" s="99"/>
      <c r="CK255" s="99"/>
      <c r="CL255" s="99"/>
      <c r="CM255" s="99"/>
      <c r="CN255" s="99"/>
      <c r="CO255" s="99"/>
      <c r="CP255" s="99"/>
      <c r="CQ255" s="99"/>
      <c r="CR255" s="99"/>
      <c r="CS255" s="99"/>
      <c r="CT255" s="99"/>
      <c r="CU255" s="99"/>
      <c r="CV255" s="99"/>
      <c r="CW255" s="99"/>
      <c r="CX255" s="99"/>
      <c r="CY255" s="99"/>
      <c r="CZ255" s="99"/>
      <c r="DA255" s="99"/>
      <c r="DB255" s="99"/>
      <c r="DC255" s="99"/>
      <c r="DD255" s="99"/>
      <c r="DE255" s="99"/>
      <c r="DF255" s="99"/>
      <c r="DG255" s="99"/>
      <c r="DH255" s="99"/>
      <c r="DI255" s="99"/>
      <c r="DJ255" s="99"/>
      <c r="DK255" s="99"/>
      <c r="DL255" s="99"/>
      <c r="DM255" s="99"/>
      <c r="DN255" s="99"/>
      <c r="DO255" s="99"/>
      <c r="DP255" s="99"/>
      <c r="DQ255" s="99"/>
      <c r="DR255" s="99"/>
      <c r="DS255" s="99"/>
      <c r="DT255" s="99"/>
      <c r="DU255" s="99"/>
      <c r="DV255" s="99"/>
      <c r="DW255" s="99"/>
      <c r="DX255" s="99"/>
      <c r="DY255" s="99"/>
      <c r="DZ255" s="99"/>
      <c r="EA255" s="99"/>
      <c r="EB255" s="99"/>
      <c r="EC255" s="99"/>
      <c r="ED255" s="99"/>
      <c r="EE255" s="99"/>
      <c r="EF255" s="99"/>
      <c r="EG255" s="99"/>
      <c r="EH255" s="99"/>
    </row>
    <row r="256" ht="15.75" customHeight="1">
      <c r="A256" s="99"/>
      <c r="B256" s="99"/>
      <c r="C256" s="99"/>
      <c r="D256" s="87"/>
      <c r="E256" s="99"/>
      <c r="F256" s="99"/>
      <c r="G256" s="99"/>
      <c r="H256" s="99"/>
      <c r="I256" s="99"/>
      <c r="J256" s="100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  <c r="AA256" s="99"/>
      <c r="AB256" s="99"/>
      <c r="AC256" s="99"/>
      <c r="AD256" s="99"/>
      <c r="AE256" s="99"/>
      <c r="AF256" s="99"/>
      <c r="AG256" s="99"/>
      <c r="AH256" s="99"/>
      <c r="AI256" s="99"/>
      <c r="AJ256" s="99"/>
      <c r="AK256" s="99"/>
      <c r="AL256" s="99"/>
      <c r="AM256" s="99"/>
      <c r="AN256" s="99"/>
      <c r="AO256" s="99"/>
      <c r="AP256" s="99"/>
      <c r="AQ256" s="99"/>
      <c r="AR256" s="99"/>
      <c r="AS256" s="99"/>
      <c r="AT256" s="99"/>
      <c r="AU256" s="99"/>
      <c r="AV256" s="99"/>
      <c r="AW256" s="99"/>
      <c r="AX256" s="99"/>
      <c r="AY256" s="99"/>
      <c r="AZ256" s="99"/>
      <c r="BA256" s="99"/>
      <c r="BB256" s="99"/>
      <c r="BC256" s="99"/>
      <c r="BD256" s="99"/>
      <c r="BE256" s="99"/>
      <c r="BF256" s="99"/>
      <c r="BG256" s="99"/>
      <c r="BH256" s="99"/>
      <c r="BI256" s="99"/>
      <c r="BJ256" s="99"/>
      <c r="BK256" s="99"/>
      <c r="BL256" s="99"/>
      <c r="BM256" s="99"/>
      <c r="BN256" s="99"/>
      <c r="BO256" s="99"/>
      <c r="BP256" s="99"/>
      <c r="BQ256" s="99"/>
      <c r="BR256" s="99"/>
      <c r="BS256" s="99"/>
      <c r="BT256" s="99"/>
      <c r="BU256" s="99"/>
      <c r="BV256" s="99"/>
      <c r="BW256" s="99"/>
      <c r="BX256" s="99"/>
      <c r="BY256" s="99"/>
      <c r="BZ256" s="99"/>
      <c r="CA256" s="99"/>
      <c r="CB256" s="99"/>
      <c r="CC256" s="99"/>
      <c r="CD256" s="99"/>
      <c r="CE256" s="99"/>
      <c r="CF256" s="99"/>
      <c r="CG256" s="99"/>
      <c r="CH256" s="99"/>
      <c r="CI256" s="99"/>
      <c r="CJ256" s="99"/>
      <c r="CK256" s="99"/>
      <c r="CL256" s="99"/>
      <c r="CM256" s="99"/>
      <c r="CN256" s="99"/>
      <c r="CO256" s="99"/>
      <c r="CP256" s="99"/>
      <c r="CQ256" s="99"/>
      <c r="CR256" s="99"/>
      <c r="CS256" s="99"/>
      <c r="CT256" s="99"/>
      <c r="CU256" s="99"/>
      <c r="CV256" s="99"/>
      <c r="CW256" s="99"/>
      <c r="CX256" s="99"/>
      <c r="CY256" s="99"/>
      <c r="CZ256" s="99"/>
      <c r="DA256" s="99"/>
      <c r="DB256" s="99"/>
      <c r="DC256" s="99"/>
      <c r="DD256" s="99"/>
      <c r="DE256" s="99"/>
      <c r="DF256" s="99"/>
      <c r="DG256" s="99"/>
      <c r="DH256" s="99"/>
      <c r="DI256" s="99"/>
      <c r="DJ256" s="99"/>
      <c r="DK256" s="99"/>
      <c r="DL256" s="99"/>
      <c r="DM256" s="99"/>
      <c r="DN256" s="99"/>
      <c r="DO256" s="99"/>
      <c r="DP256" s="99"/>
      <c r="DQ256" s="99"/>
      <c r="DR256" s="99"/>
      <c r="DS256" s="99"/>
      <c r="DT256" s="99"/>
      <c r="DU256" s="99"/>
      <c r="DV256" s="99"/>
      <c r="DW256" s="99"/>
      <c r="DX256" s="99"/>
      <c r="DY256" s="99"/>
      <c r="DZ256" s="99"/>
      <c r="EA256" s="99"/>
      <c r="EB256" s="99"/>
      <c r="EC256" s="99"/>
      <c r="ED256" s="99"/>
      <c r="EE256" s="99"/>
      <c r="EF256" s="99"/>
      <c r="EG256" s="99"/>
      <c r="EH256" s="99"/>
    </row>
    <row r="257" ht="15.75" customHeight="1">
      <c r="A257" s="99"/>
      <c r="B257" s="99"/>
      <c r="C257" s="99"/>
      <c r="D257" s="87"/>
      <c r="E257" s="99"/>
      <c r="F257" s="99"/>
      <c r="G257" s="99"/>
      <c r="H257" s="99"/>
      <c r="I257" s="99"/>
      <c r="J257" s="100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  <c r="AA257" s="99"/>
      <c r="AB257" s="99"/>
      <c r="AC257" s="99"/>
      <c r="AD257" s="99"/>
      <c r="AE257" s="99"/>
      <c r="AF257" s="99"/>
      <c r="AG257" s="99"/>
      <c r="AH257" s="99"/>
      <c r="AI257" s="99"/>
      <c r="AJ257" s="99"/>
      <c r="AK257" s="99"/>
      <c r="AL257" s="99"/>
      <c r="AM257" s="99"/>
      <c r="AN257" s="99"/>
      <c r="AO257" s="99"/>
      <c r="AP257" s="99"/>
      <c r="AQ257" s="99"/>
      <c r="AR257" s="99"/>
      <c r="AS257" s="99"/>
      <c r="AT257" s="99"/>
      <c r="AU257" s="99"/>
      <c r="AV257" s="99"/>
      <c r="AW257" s="99"/>
      <c r="AX257" s="99"/>
      <c r="AY257" s="99"/>
      <c r="AZ257" s="99"/>
      <c r="BA257" s="99"/>
      <c r="BB257" s="99"/>
      <c r="BC257" s="99"/>
      <c r="BD257" s="99"/>
      <c r="BE257" s="99"/>
      <c r="BF257" s="99"/>
      <c r="BG257" s="99"/>
      <c r="BH257" s="99"/>
      <c r="BI257" s="99"/>
      <c r="BJ257" s="99"/>
      <c r="BK257" s="99"/>
      <c r="BL257" s="99"/>
      <c r="BM257" s="99"/>
      <c r="BN257" s="99"/>
      <c r="BO257" s="99"/>
      <c r="BP257" s="99"/>
      <c r="BQ257" s="99"/>
      <c r="BR257" s="99"/>
      <c r="BS257" s="99"/>
      <c r="BT257" s="99"/>
      <c r="BU257" s="99"/>
      <c r="BV257" s="99"/>
      <c r="BW257" s="99"/>
      <c r="BX257" s="99"/>
      <c r="BY257" s="99"/>
      <c r="BZ257" s="99"/>
      <c r="CA257" s="99"/>
      <c r="CB257" s="99"/>
      <c r="CC257" s="99"/>
      <c r="CD257" s="99"/>
      <c r="CE257" s="99"/>
      <c r="CF257" s="99"/>
      <c r="CG257" s="99"/>
      <c r="CH257" s="99"/>
      <c r="CI257" s="99"/>
      <c r="CJ257" s="99"/>
      <c r="CK257" s="99"/>
      <c r="CL257" s="99"/>
      <c r="CM257" s="99"/>
      <c r="CN257" s="99"/>
      <c r="CO257" s="99"/>
      <c r="CP257" s="99"/>
      <c r="CQ257" s="99"/>
      <c r="CR257" s="99"/>
      <c r="CS257" s="99"/>
      <c r="CT257" s="99"/>
      <c r="CU257" s="99"/>
      <c r="CV257" s="99"/>
      <c r="CW257" s="99"/>
      <c r="CX257" s="99"/>
      <c r="CY257" s="99"/>
      <c r="CZ257" s="99"/>
      <c r="DA257" s="99"/>
      <c r="DB257" s="99"/>
      <c r="DC257" s="99"/>
      <c r="DD257" s="99"/>
      <c r="DE257" s="99"/>
      <c r="DF257" s="99"/>
      <c r="DG257" s="99"/>
      <c r="DH257" s="99"/>
      <c r="DI257" s="99"/>
      <c r="DJ257" s="99"/>
      <c r="DK257" s="99"/>
      <c r="DL257" s="99"/>
      <c r="DM257" s="99"/>
      <c r="DN257" s="99"/>
      <c r="DO257" s="99"/>
      <c r="DP257" s="99"/>
      <c r="DQ257" s="99"/>
      <c r="DR257" s="99"/>
      <c r="DS257" s="99"/>
      <c r="DT257" s="99"/>
      <c r="DU257" s="99"/>
      <c r="DV257" s="99"/>
      <c r="DW257" s="99"/>
      <c r="DX257" s="99"/>
      <c r="DY257" s="99"/>
      <c r="DZ257" s="99"/>
      <c r="EA257" s="99"/>
      <c r="EB257" s="99"/>
      <c r="EC257" s="99"/>
      <c r="ED257" s="99"/>
      <c r="EE257" s="99"/>
      <c r="EF257" s="99"/>
      <c r="EG257" s="99"/>
      <c r="EH257" s="99"/>
    </row>
    <row r="258" ht="15.75" customHeight="1">
      <c r="D258" s="87"/>
      <c r="J258" s="102"/>
    </row>
    <row r="259" ht="15.75" customHeight="1">
      <c r="D259" s="87"/>
      <c r="J259" s="102"/>
    </row>
    <row r="260" ht="15.75" customHeight="1">
      <c r="D260" s="87"/>
      <c r="J260" s="102"/>
    </row>
    <row r="261" ht="15.75" customHeight="1">
      <c r="D261" s="87"/>
      <c r="J261" s="102"/>
    </row>
    <row r="262" ht="15.75" customHeight="1">
      <c r="D262" s="87"/>
      <c r="J262" s="102"/>
    </row>
    <row r="263" ht="15.75" customHeight="1">
      <c r="D263" s="87"/>
      <c r="J263" s="102"/>
    </row>
    <row r="264" ht="15.75" customHeight="1">
      <c r="D264" s="87"/>
      <c r="J264" s="102"/>
    </row>
    <row r="265" ht="15.75" customHeight="1">
      <c r="D265" s="87"/>
      <c r="J265" s="102"/>
    </row>
    <row r="266" ht="15.75" customHeight="1">
      <c r="D266" s="87"/>
      <c r="J266" s="102"/>
    </row>
    <row r="267" ht="15.75" customHeight="1">
      <c r="D267" s="87"/>
      <c r="J267" s="102"/>
    </row>
    <row r="268" ht="15.75" customHeight="1">
      <c r="D268" s="87"/>
      <c r="J268" s="102"/>
    </row>
    <row r="269" ht="15.75" customHeight="1">
      <c r="D269" s="87"/>
      <c r="J269" s="102"/>
    </row>
    <row r="270" ht="15.75" customHeight="1">
      <c r="D270" s="87"/>
      <c r="J270" s="102"/>
    </row>
    <row r="271" ht="15.75" customHeight="1">
      <c r="D271" s="87"/>
      <c r="J271" s="102"/>
    </row>
    <row r="272" ht="15.75" customHeight="1">
      <c r="D272" s="87"/>
      <c r="J272" s="102"/>
    </row>
    <row r="273" ht="15.75" customHeight="1">
      <c r="D273" s="87"/>
      <c r="J273" s="102"/>
    </row>
    <row r="274" ht="15.75" customHeight="1">
      <c r="D274" s="87"/>
      <c r="J274" s="102"/>
    </row>
    <row r="275" ht="15.75" customHeight="1">
      <c r="D275" s="87"/>
      <c r="J275" s="102"/>
    </row>
    <row r="276" ht="15.75" customHeight="1">
      <c r="D276" s="87"/>
      <c r="J276" s="102"/>
    </row>
    <row r="277" ht="15.75" customHeight="1">
      <c r="D277" s="87"/>
      <c r="J277" s="102"/>
    </row>
    <row r="278" ht="15.75" customHeight="1">
      <c r="D278" s="87"/>
      <c r="J278" s="102"/>
    </row>
    <row r="279" ht="15.75" customHeight="1">
      <c r="D279" s="87"/>
      <c r="J279" s="102"/>
    </row>
    <row r="280" ht="15.75" customHeight="1">
      <c r="D280" s="87"/>
      <c r="J280" s="102"/>
    </row>
    <row r="281" ht="15.75" customHeight="1">
      <c r="D281" s="87"/>
      <c r="J281" s="102"/>
    </row>
    <row r="282" ht="15.75" customHeight="1">
      <c r="D282" s="87"/>
      <c r="J282" s="102"/>
    </row>
    <row r="283" ht="15.75" customHeight="1">
      <c r="D283" s="87"/>
      <c r="J283" s="102"/>
    </row>
    <row r="284" ht="15.75" customHeight="1">
      <c r="D284" s="87"/>
      <c r="J284" s="102"/>
    </row>
    <row r="285" ht="15.75" customHeight="1">
      <c r="D285" s="87"/>
      <c r="J285" s="102"/>
    </row>
    <row r="286" ht="15.75" customHeight="1">
      <c r="D286" s="87"/>
      <c r="J286" s="102"/>
    </row>
    <row r="287" ht="15.75" customHeight="1">
      <c r="D287" s="87"/>
      <c r="J287" s="102"/>
    </row>
    <row r="288" ht="15.75" customHeight="1">
      <c r="D288" s="87"/>
      <c r="J288" s="102"/>
    </row>
    <row r="289" ht="15.75" customHeight="1">
      <c r="D289" s="87"/>
      <c r="J289" s="102"/>
    </row>
    <row r="290" ht="15.75" customHeight="1">
      <c r="D290" s="87"/>
      <c r="J290" s="102"/>
    </row>
    <row r="291" ht="15.75" customHeight="1">
      <c r="D291" s="87"/>
      <c r="J291" s="102"/>
    </row>
    <row r="292" ht="15.75" customHeight="1">
      <c r="D292" s="87"/>
      <c r="J292" s="102"/>
    </row>
    <row r="293" ht="15.75" customHeight="1">
      <c r="D293" s="87"/>
      <c r="J293" s="102"/>
    </row>
    <row r="294" ht="15.75" customHeight="1">
      <c r="D294" s="87"/>
      <c r="J294" s="102"/>
    </row>
    <row r="295" ht="15.75" customHeight="1">
      <c r="D295" s="87"/>
      <c r="J295" s="102"/>
    </row>
    <row r="296" ht="15.75" customHeight="1">
      <c r="D296" s="87"/>
      <c r="J296" s="102"/>
    </row>
    <row r="297" ht="15.75" customHeight="1">
      <c r="D297" s="87"/>
      <c r="J297" s="102"/>
    </row>
    <row r="298" ht="15.75" customHeight="1">
      <c r="D298" s="87"/>
      <c r="J298" s="102"/>
    </row>
    <row r="299" ht="15.75" customHeight="1">
      <c r="D299" s="87"/>
      <c r="J299" s="102"/>
    </row>
    <row r="300" ht="15.75" customHeight="1">
      <c r="D300" s="87"/>
      <c r="J300" s="102"/>
    </row>
    <row r="301" ht="15.75" customHeight="1">
      <c r="D301" s="87"/>
      <c r="J301" s="102"/>
    </row>
    <row r="302" ht="15.75" customHeight="1">
      <c r="D302" s="87"/>
      <c r="J302" s="102"/>
    </row>
    <row r="303" ht="15.75" customHeight="1">
      <c r="D303" s="87"/>
      <c r="J303" s="102"/>
    </row>
    <row r="304" ht="15.75" customHeight="1">
      <c r="D304" s="87"/>
      <c r="J304" s="102"/>
    </row>
    <row r="305" ht="15.75" customHeight="1">
      <c r="D305" s="87"/>
      <c r="J305" s="102"/>
    </row>
    <row r="306" ht="15.75" customHeight="1">
      <c r="D306" s="87"/>
      <c r="J306" s="102"/>
    </row>
    <row r="307" ht="15.75" customHeight="1">
      <c r="D307" s="87"/>
      <c r="J307" s="102"/>
    </row>
    <row r="308" ht="15.75" customHeight="1">
      <c r="D308" s="87"/>
      <c r="J308" s="102"/>
    </row>
    <row r="309" ht="15.75" customHeight="1">
      <c r="D309" s="87"/>
      <c r="J309" s="102"/>
    </row>
    <row r="310" ht="15.75" customHeight="1">
      <c r="D310" s="87"/>
      <c r="J310" s="102"/>
    </row>
    <row r="311" ht="15.75" customHeight="1">
      <c r="D311" s="87"/>
      <c r="J311" s="102"/>
    </row>
    <row r="312" ht="15.75" customHeight="1">
      <c r="D312" s="87"/>
      <c r="J312" s="102"/>
    </row>
    <row r="313" ht="15.75" customHeight="1">
      <c r="D313" s="87"/>
      <c r="J313" s="102"/>
    </row>
    <row r="314" ht="15.75" customHeight="1">
      <c r="D314" s="87"/>
      <c r="J314" s="102"/>
    </row>
    <row r="315" ht="15.75" customHeight="1">
      <c r="D315" s="87"/>
      <c r="J315" s="102"/>
    </row>
    <row r="316" ht="15.75" customHeight="1">
      <c r="D316" s="87"/>
      <c r="J316" s="102"/>
    </row>
    <row r="317" ht="15.75" customHeight="1">
      <c r="D317" s="87"/>
      <c r="J317" s="102"/>
    </row>
    <row r="318" ht="15.75" customHeight="1">
      <c r="D318" s="87"/>
      <c r="J318" s="102"/>
    </row>
    <row r="319" ht="15.75" customHeight="1">
      <c r="D319" s="87"/>
      <c r="J319" s="102"/>
    </row>
    <row r="320" ht="15.75" customHeight="1">
      <c r="D320" s="87"/>
      <c r="J320" s="102"/>
    </row>
    <row r="321" ht="15.75" customHeight="1">
      <c r="D321" s="87"/>
      <c r="J321" s="102"/>
    </row>
    <row r="322" ht="15.75" customHeight="1">
      <c r="D322" s="87"/>
      <c r="J322" s="102"/>
    </row>
    <row r="323" ht="15.75" customHeight="1">
      <c r="D323" s="87"/>
      <c r="J323" s="102"/>
    </row>
    <row r="324" ht="15.75" customHeight="1">
      <c r="D324" s="87"/>
      <c r="J324" s="102"/>
    </row>
    <row r="325" ht="15.75" customHeight="1">
      <c r="D325" s="87"/>
      <c r="J325" s="102"/>
    </row>
    <row r="326" ht="15.75" customHeight="1">
      <c r="D326" s="87"/>
      <c r="J326" s="102"/>
    </row>
    <row r="327" ht="15.75" customHeight="1">
      <c r="D327" s="87"/>
      <c r="J327" s="102"/>
    </row>
    <row r="328" ht="15.75" customHeight="1">
      <c r="D328" s="87"/>
      <c r="J328" s="102"/>
    </row>
    <row r="329" ht="15.75" customHeight="1">
      <c r="D329" s="87"/>
      <c r="J329" s="102"/>
    </row>
    <row r="330" ht="15.75" customHeight="1">
      <c r="D330" s="87"/>
      <c r="J330" s="102"/>
    </row>
    <row r="331" ht="15.75" customHeight="1">
      <c r="D331" s="87"/>
      <c r="J331" s="102"/>
    </row>
    <row r="332" ht="15.75" customHeight="1">
      <c r="D332" s="87"/>
      <c r="J332" s="102"/>
    </row>
    <row r="333" ht="15.75" customHeight="1">
      <c r="D333" s="87"/>
      <c r="J333" s="102"/>
    </row>
    <row r="334" ht="15.75" customHeight="1">
      <c r="D334" s="87"/>
      <c r="J334" s="102"/>
    </row>
    <row r="335" ht="15.75" customHeight="1">
      <c r="D335" s="87"/>
      <c r="J335" s="102"/>
    </row>
    <row r="336" ht="15.75" customHeight="1">
      <c r="D336" s="87"/>
      <c r="J336" s="102"/>
    </row>
    <row r="337" ht="15.75" customHeight="1">
      <c r="D337" s="87"/>
      <c r="J337" s="102"/>
    </row>
    <row r="338" ht="15.75" customHeight="1">
      <c r="D338" s="87"/>
      <c r="J338" s="102"/>
    </row>
    <row r="339" ht="15.75" customHeight="1">
      <c r="D339" s="87"/>
      <c r="J339" s="102"/>
    </row>
    <row r="340" ht="15.75" customHeight="1">
      <c r="D340" s="87"/>
      <c r="J340" s="102"/>
    </row>
    <row r="341" ht="15.75" customHeight="1">
      <c r="D341" s="87"/>
      <c r="J341" s="102"/>
    </row>
    <row r="342" ht="15.75" customHeight="1">
      <c r="D342" s="87"/>
      <c r="J342" s="102"/>
    </row>
    <row r="343" ht="15.75" customHeight="1">
      <c r="D343" s="87"/>
      <c r="J343" s="102"/>
    </row>
    <row r="344" ht="15.75" customHeight="1">
      <c r="D344" s="87"/>
      <c r="J344" s="102"/>
    </row>
    <row r="345" ht="15.75" customHeight="1">
      <c r="D345" s="87"/>
      <c r="J345" s="102"/>
    </row>
    <row r="346" ht="15.75" customHeight="1">
      <c r="D346" s="87"/>
      <c r="J346" s="102"/>
    </row>
    <row r="347" ht="15.75" customHeight="1">
      <c r="D347" s="87"/>
      <c r="J347" s="102"/>
    </row>
    <row r="348" ht="15.75" customHeight="1">
      <c r="D348" s="87"/>
      <c r="J348" s="102"/>
    </row>
    <row r="349" ht="15.75" customHeight="1">
      <c r="D349" s="87"/>
      <c r="J349" s="102"/>
    </row>
    <row r="350" ht="15.75" customHeight="1">
      <c r="D350" s="87"/>
      <c r="J350" s="102"/>
    </row>
    <row r="351" ht="15.75" customHeight="1">
      <c r="D351" s="87"/>
      <c r="J351" s="102"/>
    </row>
    <row r="352" ht="15.75" customHeight="1">
      <c r="D352" s="87"/>
      <c r="J352" s="102"/>
    </row>
    <row r="353" ht="15.75" customHeight="1">
      <c r="D353" s="87"/>
      <c r="J353" s="102"/>
    </row>
    <row r="354" ht="15.75" customHeight="1">
      <c r="D354" s="87"/>
      <c r="J354" s="102"/>
    </row>
    <row r="355" ht="15.75" customHeight="1">
      <c r="D355" s="87"/>
      <c r="J355" s="102"/>
    </row>
    <row r="356" ht="15.75" customHeight="1">
      <c r="D356" s="87"/>
      <c r="J356" s="102"/>
    </row>
    <row r="357" ht="15.75" customHeight="1">
      <c r="D357" s="87"/>
      <c r="J357" s="102"/>
    </row>
    <row r="358" ht="15.75" customHeight="1">
      <c r="D358" s="87"/>
      <c r="J358" s="102"/>
    </row>
    <row r="359" ht="15.75" customHeight="1">
      <c r="D359" s="87"/>
      <c r="J359" s="102"/>
    </row>
    <row r="360" ht="15.75" customHeight="1">
      <c r="D360" s="87"/>
      <c r="J360" s="102"/>
    </row>
    <row r="361" ht="15.75" customHeight="1">
      <c r="D361" s="87"/>
      <c r="J361" s="102"/>
    </row>
    <row r="362" ht="15.75" customHeight="1">
      <c r="D362" s="87"/>
      <c r="J362" s="102"/>
    </row>
    <row r="363" ht="15.75" customHeight="1">
      <c r="D363" s="87"/>
      <c r="J363" s="102"/>
    </row>
    <row r="364" ht="15.75" customHeight="1">
      <c r="D364" s="87"/>
      <c r="J364" s="102"/>
    </row>
    <row r="365" ht="15.75" customHeight="1">
      <c r="D365" s="87"/>
      <c r="J365" s="102"/>
    </row>
    <row r="366" ht="15.75" customHeight="1">
      <c r="D366" s="87"/>
      <c r="J366" s="102"/>
    </row>
    <row r="367" ht="15.75" customHeight="1">
      <c r="D367" s="87"/>
      <c r="J367" s="102"/>
    </row>
    <row r="368" ht="15.75" customHeight="1">
      <c r="D368" s="87"/>
      <c r="J368" s="102"/>
    </row>
    <row r="369" ht="15.75" customHeight="1">
      <c r="D369" s="87"/>
      <c r="J369" s="102"/>
    </row>
    <row r="370" ht="15.75" customHeight="1">
      <c r="D370" s="87"/>
      <c r="J370" s="102"/>
    </row>
    <row r="371" ht="15.75" customHeight="1">
      <c r="D371" s="87"/>
      <c r="J371" s="102"/>
    </row>
    <row r="372" ht="15.75" customHeight="1">
      <c r="D372" s="87"/>
      <c r="J372" s="102"/>
    </row>
    <row r="373" ht="15.75" customHeight="1">
      <c r="D373" s="87"/>
      <c r="J373" s="102"/>
    </row>
    <row r="374" ht="15.75" customHeight="1">
      <c r="D374" s="87"/>
      <c r="J374" s="102"/>
    </row>
    <row r="375" ht="15.75" customHeight="1">
      <c r="D375" s="87"/>
      <c r="J375" s="102"/>
    </row>
    <row r="376" ht="15.75" customHeight="1">
      <c r="D376" s="87"/>
      <c r="J376" s="102"/>
    </row>
    <row r="377" ht="15.75" customHeight="1">
      <c r="D377" s="87"/>
      <c r="J377" s="102"/>
    </row>
    <row r="378" ht="15.75" customHeight="1">
      <c r="D378" s="87"/>
      <c r="J378" s="102"/>
    </row>
    <row r="379" ht="15.75" customHeight="1">
      <c r="D379" s="87"/>
      <c r="J379" s="102"/>
    </row>
    <row r="380" ht="15.75" customHeight="1">
      <c r="D380" s="87"/>
      <c r="J380" s="102"/>
    </row>
    <row r="381" ht="15.75" customHeight="1">
      <c r="D381" s="87"/>
      <c r="J381" s="102"/>
    </row>
    <row r="382" ht="15.75" customHeight="1">
      <c r="D382" s="87"/>
      <c r="J382" s="102"/>
    </row>
    <row r="383" ht="15.75" customHeight="1">
      <c r="D383" s="87"/>
      <c r="J383" s="102"/>
    </row>
    <row r="384" ht="15.75" customHeight="1">
      <c r="D384" s="87"/>
      <c r="J384" s="102"/>
    </row>
    <row r="385" ht="15.75" customHeight="1">
      <c r="D385" s="87"/>
      <c r="J385" s="102"/>
    </row>
    <row r="386" ht="15.75" customHeight="1">
      <c r="D386" s="87"/>
      <c r="J386" s="102"/>
    </row>
    <row r="387" ht="15.75" customHeight="1">
      <c r="D387" s="87"/>
      <c r="J387" s="102"/>
    </row>
    <row r="388" ht="15.75" customHeight="1">
      <c r="D388" s="87"/>
      <c r="J388" s="102"/>
    </row>
    <row r="389" ht="15.75" customHeight="1">
      <c r="D389" s="87"/>
      <c r="J389" s="102"/>
    </row>
    <row r="390" ht="15.75" customHeight="1">
      <c r="D390" s="87"/>
      <c r="J390" s="102"/>
    </row>
    <row r="391" ht="15.75" customHeight="1">
      <c r="D391" s="87"/>
      <c r="J391" s="102"/>
    </row>
    <row r="392" ht="15.75" customHeight="1">
      <c r="D392" s="87"/>
      <c r="J392" s="102"/>
    </row>
    <row r="393" ht="15.75" customHeight="1">
      <c r="D393" s="87"/>
      <c r="J393" s="102"/>
    </row>
    <row r="394" ht="15.75" customHeight="1">
      <c r="D394" s="87"/>
      <c r="J394" s="102"/>
    </row>
    <row r="395" ht="15.75" customHeight="1">
      <c r="D395" s="87"/>
      <c r="J395" s="102"/>
    </row>
    <row r="396" ht="15.75" customHeight="1">
      <c r="D396" s="87"/>
      <c r="J396" s="102"/>
    </row>
    <row r="397" ht="15.75" customHeight="1">
      <c r="D397" s="87"/>
      <c r="J397" s="102"/>
    </row>
    <row r="398" ht="15.75" customHeight="1">
      <c r="D398" s="87"/>
      <c r="J398" s="102"/>
    </row>
    <row r="399" ht="15.75" customHeight="1">
      <c r="D399" s="87"/>
      <c r="J399" s="102"/>
    </row>
    <row r="400" ht="15.75" customHeight="1">
      <c r="D400" s="87"/>
      <c r="J400" s="102"/>
    </row>
    <row r="401" ht="15.75" customHeight="1">
      <c r="D401" s="87"/>
      <c r="J401" s="102"/>
    </row>
    <row r="402" ht="15.75" customHeight="1">
      <c r="D402" s="87"/>
      <c r="J402" s="102"/>
    </row>
    <row r="403" ht="15.75" customHeight="1">
      <c r="D403" s="87"/>
      <c r="J403" s="102"/>
    </row>
    <row r="404" ht="15.75" customHeight="1">
      <c r="D404" s="87"/>
      <c r="J404" s="102"/>
    </row>
    <row r="405" ht="15.75" customHeight="1">
      <c r="D405" s="87"/>
      <c r="J405" s="102"/>
    </row>
    <row r="406" ht="15.75" customHeight="1">
      <c r="D406" s="87"/>
      <c r="J406" s="102"/>
    </row>
    <row r="407" ht="15.75" customHeight="1">
      <c r="D407" s="87"/>
      <c r="J407" s="102"/>
    </row>
    <row r="408" ht="15.75" customHeight="1">
      <c r="D408" s="87"/>
      <c r="J408" s="102"/>
    </row>
    <row r="409" ht="15.75" customHeight="1">
      <c r="D409" s="87"/>
      <c r="J409" s="102"/>
    </row>
    <row r="410" ht="15.75" customHeight="1">
      <c r="D410" s="87"/>
      <c r="J410" s="102"/>
    </row>
    <row r="411" ht="15.75" customHeight="1">
      <c r="D411" s="87"/>
      <c r="J411" s="102"/>
    </row>
    <row r="412" ht="15.75" customHeight="1">
      <c r="D412" s="87"/>
      <c r="J412" s="102"/>
    </row>
    <row r="413" ht="15.75" customHeight="1">
      <c r="D413" s="87"/>
      <c r="J413" s="102"/>
    </row>
    <row r="414" ht="15.75" customHeight="1">
      <c r="D414" s="87"/>
      <c r="J414" s="102"/>
    </row>
    <row r="415" ht="15.75" customHeight="1">
      <c r="D415" s="87"/>
      <c r="J415" s="102"/>
    </row>
    <row r="416" ht="15.75" customHeight="1">
      <c r="D416" s="87"/>
      <c r="J416" s="102"/>
    </row>
    <row r="417" ht="15.75" customHeight="1">
      <c r="D417" s="87"/>
      <c r="J417" s="102"/>
    </row>
    <row r="418" ht="15.75" customHeight="1">
      <c r="D418" s="87"/>
      <c r="J418" s="102"/>
    </row>
    <row r="419" ht="15.75" customHeight="1">
      <c r="D419" s="87"/>
      <c r="J419" s="102"/>
    </row>
    <row r="420" ht="15.75" customHeight="1">
      <c r="D420" s="87"/>
      <c r="J420" s="102"/>
    </row>
    <row r="421" ht="15.75" customHeight="1">
      <c r="D421" s="87"/>
      <c r="J421" s="102"/>
    </row>
    <row r="422" ht="15.75" customHeight="1">
      <c r="D422" s="87"/>
      <c r="J422" s="102"/>
    </row>
    <row r="423" ht="15.75" customHeight="1">
      <c r="D423" s="87"/>
      <c r="J423" s="102"/>
    </row>
    <row r="424" ht="15.75" customHeight="1">
      <c r="D424" s="87"/>
      <c r="J424" s="102"/>
    </row>
    <row r="425" ht="15.75" customHeight="1">
      <c r="D425" s="87"/>
      <c r="J425" s="102"/>
    </row>
    <row r="426" ht="15.75" customHeight="1">
      <c r="D426" s="87"/>
      <c r="J426" s="102"/>
    </row>
    <row r="427" ht="15.75" customHeight="1">
      <c r="D427" s="87"/>
      <c r="J427" s="102"/>
    </row>
    <row r="428" ht="15.75" customHeight="1">
      <c r="D428" s="87"/>
      <c r="J428" s="102"/>
    </row>
    <row r="429" ht="15.75" customHeight="1">
      <c r="D429" s="87"/>
      <c r="J429" s="102"/>
    </row>
    <row r="430" ht="15.75" customHeight="1">
      <c r="D430" s="87"/>
      <c r="J430" s="102"/>
    </row>
    <row r="431" ht="15.75" customHeight="1">
      <c r="D431" s="87"/>
      <c r="J431" s="102"/>
    </row>
    <row r="432" ht="15.75" customHeight="1">
      <c r="D432" s="87"/>
      <c r="J432" s="102"/>
    </row>
    <row r="433" ht="15.75" customHeight="1">
      <c r="D433" s="87"/>
      <c r="J433" s="102"/>
    </row>
    <row r="434" ht="15.75" customHeight="1">
      <c r="D434" s="87"/>
      <c r="J434" s="102"/>
    </row>
    <row r="435" ht="15.75" customHeight="1">
      <c r="D435" s="87"/>
      <c r="J435" s="102"/>
    </row>
    <row r="436" ht="15.75" customHeight="1">
      <c r="D436" s="87"/>
      <c r="J436" s="102"/>
    </row>
    <row r="437" ht="15.75" customHeight="1">
      <c r="D437" s="87"/>
      <c r="J437" s="102"/>
    </row>
    <row r="438" ht="15.75" customHeight="1">
      <c r="D438" s="87"/>
      <c r="J438" s="102"/>
    </row>
    <row r="439" ht="15.75" customHeight="1">
      <c r="D439" s="87"/>
      <c r="J439" s="102"/>
    </row>
    <row r="440" ht="15.75" customHeight="1">
      <c r="D440" s="87"/>
      <c r="J440" s="102"/>
    </row>
    <row r="441" ht="15.75" customHeight="1">
      <c r="D441" s="87"/>
      <c r="J441" s="102"/>
    </row>
    <row r="442" ht="15.75" customHeight="1">
      <c r="D442" s="87"/>
      <c r="J442" s="102"/>
    </row>
    <row r="443" ht="15.75" customHeight="1">
      <c r="D443" s="87"/>
      <c r="J443" s="102"/>
    </row>
    <row r="444" ht="15.75" customHeight="1">
      <c r="D444" s="87"/>
      <c r="J444" s="102"/>
    </row>
    <row r="445" ht="15.75" customHeight="1">
      <c r="D445" s="87"/>
      <c r="J445" s="102"/>
    </row>
    <row r="446" ht="15.75" customHeight="1">
      <c r="D446" s="87"/>
      <c r="J446" s="102"/>
    </row>
    <row r="447" ht="15.75" customHeight="1">
      <c r="D447" s="87"/>
      <c r="J447" s="102"/>
    </row>
    <row r="448" ht="15.75" customHeight="1">
      <c r="D448" s="87"/>
      <c r="J448" s="102"/>
    </row>
    <row r="449" ht="15.75" customHeight="1">
      <c r="D449" s="87"/>
      <c r="J449" s="102"/>
    </row>
    <row r="450" ht="15.75" customHeight="1">
      <c r="D450" s="87"/>
      <c r="J450" s="102"/>
    </row>
    <row r="451" ht="15.75" customHeight="1">
      <c r="D451" s="87"/>
      <c r="J451" s="102"/>
    </row>
    <row r="452" ht="15.75" customHeight="1">
      <c r="D452" s="87"/>
      <c r="J452" s="102"/>
    </row>
    <row r="453" ht="15.75" customHeight="1">
      <c r="D453" s="87"/>
      <c r="J453" s="102"/>
    </row>
    <row r="454" ht="15.75" customHeight="1">
      <c r="D454" s="87"/>
      <c r="J454" s="102"/>
    </row>
    <row r="455" ht="15.75" customHeight="1">
      <c r="D455" s="87"/>
      <c r="J455" s="102"/>
    </row>
    <row r="456" ht="15.75" customHeight="1">
      <c r="D456" s="87"/>
      <c r="J456" s="102"/>
    </row>
    <row r="457" ht="15.75" customHeight="1">
      <c r="D457" s="87"/>
      <c r="J457" s="102"/>
    </row>
    <row r="458" ht="15.75" customHeight="1">
      <c r="D458" s="87"/>
      <c r="J458" s="102"/>
    </row>
    <row r="459" ht="15.75" customHeight="1">
      <c r="D459" s="87"/>
      <c r="J459" s="102"/>
    </row>
    <row r="460" ht="15.75" customHeight="1">
      <c r="D460" s="87"/>
      <c r="J460" s="102"/>
    </row>
    <row r="461" ht="15.75" customHeight="1">
      <c r="D461" s="87"/>
      <c r="J461" s="102"/>
    </row>
    <row r="462" ht="15.75" customHeight="1">
      <c r="D462" s="87"/>
      <c r="J462" s="102"/>
    </row>
    <row r="463" ht="15.75" customHeight="1">
      <c r="D463" s="87"/>
      <c r="J463" s="102"/>
    </row>
    <row r="464" ht="15.75" customHeight="1">
      <c r="D464" s="87"/>
      <c r="J464" s="102"/>
    </row>
    <row r="465" ht="15.75" customHeight="1">
      <c r="D465" s="87"/>
      <c r="J465" s="102"/>
    </row>
    <row r="466" ht="15.75" customHeight="1">
      <c r="D466" s="87"/>
      <c r="J466" s="102"/>
    </row>
    <row r="467" ht="15.75" customHeight="1">
      <c r="D467" s="87"/>
      <c r="J467" s="102"/>
    </row>
    <row r="468" ht="15.75" customHeight="1">
      <c r="D468" s="87"/>
      <c r="J468" s="102"/>
    </row>
    <row r="469" ht="15.75" customHeight="1">
      <c r="D469" s="87"/>
      <c r="J469" s="102"/>
    </row>
    <row r="470" ht="15.75" customHeight="1">
      <c r="D470" s="87"/>
      <c r="J470" s="102"/>
    </row>
    <row r="471" ht="15.75" customHeight="1">
      <c r="D471" s="87"/>
      <c r="J471" s="102"/>
    </row>
    <row r="472" ht="15.75" customHeight="1">
      <c r="D472" s="87"/>
      <c r="J472" s="102"/>
    </row>
    <row r="473" ht="15.75" customHeight="1">
      <c r="D473" s="87"/>
      <c r="J473" s="102"/>
    </row>
    <row r="474" ht="15.75" customHeight="1">
      <c r="D474" s="87"/>
      <c r="J474" s="102"/>
    </row>
    <row r="475" ht="15.75" customHeight="1">
      <c r="D475" s="87"/>
      <c r="J475" s="102"/>
    </row>
    <row r="476" ht="15.75" customHeight="1">
      <c r="D476" s="87"/>
      <c r="J476" s="102"/>
    </row>
    <row r="477" ht="15.75" customHeight="1">
      <c r="D477" s="87"/>
      <c r="J477" s="102"/>
    </row>
    <row r="478" ht="15.75" customHeight="1">
      <c r="D478" s="87"/>
      <c r="J478" s="102"/>
    </row>
    <row r="479" ht="15.75" customHeight="1">
      <c r="D479" s="87"/>
      <c r="J479" s="102"/>
    </row>
    <row r="480" ht="15.75" customHeight="1">
      <c r="D480" s="87"/>
      <c r="J480" s="102"/>
    </row>
    <row r="481" ht="15.75" customHeight="1">
      <c r="D481" s="87"/>
      <c r="J481" s="102"/>
    </row>
    <row r="482" ht="15.75" customHeight="1">
      <c r="D482" s="87"/>
      <c r="J482" s="102"/>
    </row>
    <row r="483" ht="15.75" customHeight="1">
      <c r="D483" s="87"/>
      <c r="J483" s="102"/>
    </row>
    <row r="484" ht="15.75" customHeight="1">
      <c r="D484" s="87"/>
      <c r="J484" s="102"/>
    </row>
    <row r="485" ht="15.75" customHeight="1">
      <c r="D485" s="87"/>
      <c r="J485" s="102"/>
    </row>
    <row r="486" ht="15.75" customHeight="1">
      <c r="D486" s="87"/>
      <c r="J486" s="102"/>
    </row>
    <row r="487" ht="15.75" customHeight="1">
      <c r="D487" s="87"/>
      <c r="J487" s="102"/>
    </row>
    <row r="488" ht="15.75" customHeight="1">
      <c r="D488" s="87"/>
      <c r="J488" s="102"/>
    </row>
    <row r="489" ht="15.75" customHeight="1">
      <c r="D489" s="87"/>
      <c r="J489" s="102"/>
    </row>
    <row r="490" ht="15.75" customHeight="1">
      <c r="D490" s="87"/>
      <c r="J490" s="102"/>
    </row>
    <row r="491" ht="15.75" customHeight="1">
      <c r="D491" s="87"/>
      <c r="J491" s="102"/>
    </row>
    <row r="492" ht="15.75" customHeight="1">
      <c r="D492" s="87"/>
      <c r="J492" s="102"/>
    </row>
    <row r="493" ht="15.75" customHeight="1">
      <c r="D493" s="87"/>
      <c r="J493" s="102"/>
    </row>
    <row r="494" ht="15.75" customHeight="1">
      <c r="D494" s="87"/>
      <c r="J494" s="102"/>
    </row>
    <row r="495" ht="15.75" customHeight="1">
      <c r="D495" s="87"/>
      <c r="J495" s="102"/>
    </row>
    <row r="496" ht="15.75" customHeight="1">
      <c r="D496" s="87"/>
      <c r="J496" s="102"/>
    </row>
    <row r="497" ht="15.75" customHeight="1">
      <c r="D497" s="87"/>
      <c r="J497" s="102"/>
    </row>
    <row r="498" ht="15.75" customHeight="1">
      <c r="D498" s="87"/>
      <c r="J498" s="102"/>
    </row>
    <row r="499" ht="15.75" customHeight="1">
      <c r="D499" s="87"/>
      <c r="J499" s="102"/>
    </row>
    <row r="500" ht="15.75" customHeight="1">
      <c r="D500" s="87"/>
      <c r="J500" s="102"/>
    </row>
    <row r="501" ht="15.75" customHeight="1">
      <c r="D501" s="87"/>
      <c r="J501" s="102"/>
    </row>
    <row r="502" ht="15.75" customHeight="1">
      <c r="D502" s="87"/>
      <c r="J502" s="102"/>
    </row>
    <row r="503" ht="15.75" customHeight="1">
      <c r="D503" s="87"/>
      <c r="J503" s="102"/>
    </row>
    <row r="504" ht="15.75" customHeight="1">
      <c r="D504" s="87"/>
      <c r="J504" s="102"/>
    </row>
    <row r="505" ht="15.75" customHeight="1">
      <c r="D505" s="87"/>
      <c r="J505" s="102"/>
    </row>
    <row r="506" ht="15.75" customHeight="1">
      <c r="D506" s="87"/>
      <c r="J506" s="102"/>
    </row>
    <row r="507" ht="15.75" customHeight="1">
      <c r="D507" s="87"/>
      <c r="J507" s="102"/>
    </row>
    <row r="508" ht="15.75" customHeight="1">
      <c r="D508" s="87"/>
      <c r="J508" s="102"/>
    </row>
    <row r="509" ht="15.75" customHeight="1">
      <c r="D509" s="87"/>
      <c r="J509" s="102"/>
    </row>
    <row r="510" ht="15.75" customHeight="1">
      <c r="D510" s="87"/>
      <c r="J510" s="102"/>
    </row>
    <row r="511" ht="15.75" customHeight="1">
      <c r="D511" s="87"/>
      <c r="J511" s="102"/>
    </row>
    <row r="512" ht="15.75" customHeight="1">
      <c r="D512" s="87"/>
      <c r="J512" s="102"/>
    </row>
    <row r="513" ht="15.75" customHeight="1">
      <c r="D513" s="87"/>
      <c r="J513" s="102"/>
    </row>
    <row r="514" ht="15.75" customHeight="1">
      <c r="D514" s="87"/>
      <c r="J514" s="102"/>
    </row>
    <row r="515" ht="15.75" customHeight="1">
      <c r="D515" s="87"/>
      <c r="J515" s="102"/>
    </row>
    <row r="516" ht="15.75" customHeight="1">
      <c r="D516" s="87"/>
      <c r="J516" s="102"/>
    </row>
    <row r="517" ht="15.75" customHeight="1">
      <c r="D517" s="87"/>
      <c r="J517" s="102"/>
    </row>
    <row r="518" ht="15.75" customHeight="1">
      <c r="D518" s="87"/>
      <c r="J518" s="102"/>
    </row>
    <row r="519" ht="15.75" customHeight="1">
      <c r="D519" s="87"/>
      <c r="J519" s="102"/>
    </row>
    <row r="520" ht="15.75" customHeight="1">
      <c r="D520" s="87"/>
      <c r="J520" s="102"/>
    </row>
    <row r="521" ht="15.75" customHeight="1">
      <c r="D521" s="87"/>
      <c r="J521" s="102"/>
    </row>
    <row r="522" ht="15.75" customHeight="1">
      <c r="D522" s="87"/>
      <c r="J522" s="102"/>
    </row>
    <row r="523" ht="15.75" customHeight="1">
      <c r="D523" s="87"/>
      <c r="J523" s="102"/>
    </row>
    <row r="524" ht="15.75" customHeight="1">
      <c r="D524" s="87"/>
      <c r="J524" s="102"/>
    </row>
    <row r="525" ht="15.75" customHeight="1">
      <c r="D525" s="87"/>
      <c r="J525" s="102"/>
    </row>
    <row r="526" ht="15.75" customHeight="1">
      <c r="D526" s="87"/>
      <c r="J526" s="102"/>
    </row>
    <row r="527" ht="15.75" customHeight="1">
      <c r="D527" s="87"/>
      <c r="J527" s="102"/>
    </row>
    <row r="528" ht="15.75" customHeight="1">
      <c r="D528" s="87"/>
      <c r="J528" s="102"/>
    </row>
    <row r="529" ht="15.75" customHeight="1">
      <c r="D529" s="87"/>
      <c r="J529" s="102"/>
    </row>
    <row r="530" ht="15.75" customHeight="1">
      <c r="D530" s="87"/>
      <c r="J530" s="102"/>
    </row>
    <row r="531" ht="15.75" customHeight="1">
      <c r="D531" s="87"/>
      <c r="J531" s="102"/>
    </row>
    <row r="532" ht="15.75" customHeight="1">
      <c r="D532" s="87"/>
      <c r="J532" s="102"/>
    </row>
    <row r="533" ht="15.75" customHeight="1">
      <c r="D533" s="87"/>
      <c r="J533" s="102"/>
    </row>
    <row r="534" ht="15.75" customHeight="1">
      <c r="D534" s="87"/>
      <c r="J534" s="102"/>
    </row>
    <row r="535" ht="15.75" customHeight="1">
      <c r="D535" s="87"/>
      <c r="J535" s="102"/>
    </row>
    <row r="536" ht="15.75" customHeight="1">
      <c r="D536" s="87"/>
      <c r="J536" s="102"/>
    </row>
    <row r="537" ht="15.75" customHeight="1">
      <c r="D537" s="87"/>
      <c r="J537" s="102"/>
    </row>
    <row r="538" ht="15.75" customHeight="1">
      <c r="D538" s="87"/>
      <c r="J538" s="102"/>
    </row>
    <row r="539" ht="15.75" customHeight="1">
      <c r="D539" s="87"/>
      <c r="J539" s="102"/>
    </row>
    <row r="540" ht="15.75" customHeight="1">
      <c r="D540" s="87"/>
      <c r="J540" s="102"/>
    </row>
    <row r="541" ht="15.75" customHeight="1">
      <c r="D541" s="87"/>
      <c r="J541" s="102"/>
    </row>
    <row r="542" ht="15.75" customHeight="1">
      <c r="D542" s="87"/>
      <c r="J542" s="102"/>
    </row>
    <row r="543" ht="15.75" customHeight="1">
      <c r="D543" s="87"/>
      <c r="J543" s="102"/>
    </row>
    <row r="544" ht="15.75" customHeight="1">
      <c r="D544" s="87"/>
      <c r="J544" s="102"/>
    </row>
    <row r="545" ht="15.75" customHeight="1">
      <c r="D545" s="87"/>
      <c r="J545" s="102"/>
    </row>
    <row r="546" ht="15.75" customHeight="1">
      <c r="D546" s="87"/>
      <c r="J546" s="102"/>
    </row>
    <row r="547" ht="15.75" customHeight="1">
      <c r="D547" s="87"/>
      <c r="J547" s="102"/>
    </row>
    <row r="548" ht="15.75" customHeight="1">
      <c r="D548" s="87"/>
      <c r="J548" s="102"/>
    </row>
    <row r="549" ht="15.75" customHeight="1">
      <c r="D549" s="87"/>
      <c r="J549" s="102"/>
    </row>
    <row r="550" ht="15.75" customHeight="1">
      <c r="D550" s="87"/>
      <c r="J550" s="102"/>
    </row>
    <row r="551" ht="15.75" customHeight="1">
      <c r="D551" s="87"/>
      <c r="J551" s="102"/>
    </row>
    <row r="552" ht="15.75" customHeight="1">
      <c r="D552" s="87"/>
      <c r="J552" s="102"/>
    </row>
    <row r="553" ht="15.75" customHeight="1">
      <c r="D553" s="87"/>
      <c r="J553" s="102"/>
    </row>
    <row r="554" ht="15.75" customHeight="1">
      <c r="D554" s="87"/>
      <c r="J554" s="102"/>
    </row>
    <row r="555" ht="15.75" customHeight="1">
      <c r="D555" s="87"/>
      <c r="J555" s="102"/>
    </row>
    <row r="556" ht="15.75" customHeight="1">
      <c r="D556" s="87"/>
      <c r="J556" s="102"/>
    </row>
    <row r="557" ht="15.75" customHeight="1">
      <c r="D557" s="87"/>
      <c r="J557" s="102"/>
    </row>
    <row r="558" ht="15.75" customHeight="1">
      <c r="D558" s="87"/>
      <c r="J558" s="102"/>
    </row>
    <row r="559" ht="15.75" customHeight="1">
      <c r="D559" s="87"/>
      <c r="J559" s="102"/>
    </row>
    <row r="560" ht="15.75" customHeight="1">
      <c r="D560" s="87"/>
      <c r="J560" s="102"/>
    </row>
    <row r="561" ht="15.75" customHeight="1">
      <c r="D561" s="87"/>
      <c r="J561" s="102"/>
    </row>
    <row r="562" ht="15.75" customHeight="1">
      <c r="D562" s="87"/>
      <c r="J562" s="102"/>
    </row>
    <row r="563" ht="15.75" customHeight="1">
      <c r="D563" s="87"/>
      <c r="J563" s="102"/>
    </row>
    <row r="564" ht="15.75" customHeight="1">
      <c r="D564" s="87"/>
      <c r="J564" s="102"/>
    </row>
    <row r="565" ht="15.75" customHeight="1">
      <c r="D565" s="87"/>
      <c r="J565" s="102"/>
    </row>
    <row r="566" ht="15.75" customHeight="1">
      <c r="D566" s="87"/>
      <c r="J566" s="102"/>
    </row>
    <row r="567" ht="15.75" customHeight="1">
      <c r="D567" s="87"/>
      <c r="J567" s="102"/>
    </row>
    <row r="568" ht="15.75" customHeight="1">
      <c r="D568" s="87"/>
      <c r="J568" s="102"/>
    </row>
    <row r="569" ht="15.75" customHeight="1">
      <c r="D569" s="87"/>
      <c r="J569" s="102"/>
    </row>
    <row r="570" ht="15.75" customHeight="1">
      <c r="D570" s="87"/>
      <c r="J570" s="102"/>
    </row>
    <row r="571" ht="15.75" customHeight="1">
      <c r="D571" s="87"/>
      <c r="J571" s="102"/>
    </row>
    <row r="572" ht="15.75" customHeight="1">
      <c r="D572" s="87"/>
      <c r="J572" s="102"/>
    </row>
    <row r="573" ht="15.75" customHeight="1">
      <c r="D573" s="87"/>
      <c r="J573" s="102"/>
    </row>
    <row r="574" ht="15.75" customHeight="1">
      <c r="D574" s="87"/>
      <c r="J574" s="102"/>
    </row>
    <row r="575" ht="15.75" customHeight="1">
      <c r="D575" s="87"/>
      <c r="J575" s="102"/>
    </row>
    <row r="576" ht="15.75" customHeight="1">
      <c r="D576" s="87"/>
      <c r="J576" s="102"/>
    </row>
    <row r="577" ht="15.75" customHeight="1">
      <c r="D577" s="87"/>
      <c r="J577" s="102"/>
    </row>
    <row r="578" ht="15.75" customHeight="1">
      <c r="D578" s="87"/>
      <c r="J578" s="102"/>
    </row>
    <row r="579" ht="15.75" customHeight="1">
      <c r="D579" s="87"/>
      <c r="J579" s="102"/>
    </row>
    <row r="580" ht="15.75" customHeight="1">
      <c r="D580" s="87"/>
      <c r="J580" s="102"/>
    </row>
    <row r="581" ht="15.75" customHeight="1">
      <c r="D581" s="87"/>
      <c r="J581" s="102"/>
    </row>
    <row r="582" ht="15.75" customHeight="1">
      <c r="D582" s="87"/>
      <c r="J582" s="102"/>
    </row>
    <row r="583" ht="15.75" customHeight="1">
      <c r="D583" s="87"/>
      <c r="J583" s="102"/>
    </row>
    <row r="584" ht="15.75" customHeight="1">
      <c r="D584" s="87"/>
      <c r="J584" s="102"/>
    </row>
    <row r="585" ht="15.75" customHeight="1">
      <c r="D585" s="87"/>
      <c r="J585" s="102"/>
    </row>
    <row r="586" ht="15.75" customHeight="1">
      <c r="D586" s="87"/>
      <c r="J586" s="102"/>
    </row>
    <row r="587" ht="15.75" customHeight="1">
      <c r="D587" s="87"/>
      <c r="J587" s="102"/>
    </row>
    <row r="588" ht="15.75" customHeight="1">
      <c r="D588" s="87"/>
      <c r="J588" s="102"/>
    </row>
    <row r="589" ht="15.75" customHeight="1">
      <c r="D589" s="87"/>
      <c r="J589" s="102"/>
    </row>
    <row r="590" ht="15.75" customHeight="1">
      <c r="D590" s="87"/>
      <c r="J590" s="102"/>
    </row>
    <row r="591" ht="15.75" customHeight="1">
      <c r="D591" s="87"/>
      <c r="J591" s="102"/>
    </row>
    <row r="592" ht="15.75" customHeight="1">
      <c r="D592" s="87"/>
      <c r="J592" s="102"/>
    </row>
    <row r="593" ht="15.75" customHeight="1">
      <c r="D593" s="87"/>
      <c r="J593" s="102"/>
    </row>
    <row r="594" ht="15.75" customHeight="1">
      <c r="D594" s="87"/>
      <c r="J594" s="102"/>
    </row>
    <row r="595" ht="15.75" customHeight="1">
      <c r="D595" s="87"/>
      <c r="J595" s="102"/>
    </row>
    <row r="596" ht="15.75" customHeight="1">
      <c r="D596" s="87"/>
      <c r="J596" s="102"/>
    </row>
    <row r="597" ht="15.75" customHeight="1">
      <c r="D597" s="87"/>
      <c r="J597" s="102"/>
    </row>
    <row r="598" ht="15.75" customHeight="1">
      <c r="D598" s="87"/>
      <c r="J598" s="102"/>
    </row>
    <row r="599" ht="15.75" customHeight="1">
      <c r="D599" s="87"/>
      <c r="J599" s="102"/>
    </row>
    <row r="600" ht="15.75" customHeight="1">
      <c r="D600" s="87"/>
      <c r="J600" s="102"/>
    </row>
    <row r="601" ht="15.75" customHeight="1">
      <c r="D601" s="87"/>
      <c r="J601" s="102"/>
    </row>
    <row r="602" ht="15.75" customHeight="1">
      <c r="D602" s="87"/>
      <c r="J602" s="102"/>
    </row>
    <row r="603" ht="15.75" customHeight="1">
      <c r="D603" s="87"/>
      <c r="J603" s="102"/>
    </row>
    <row r="604" ht="15.75" customHeight="1">
      <c r="D604" s="87"/>
      <c r="J604" s="102"/>
    </row>
    <row r="605" ht="15.75" customHeight="1">
      <c r="D605" s="87"/>
      <c r="J605" s="102"/>
    </row>
    <row r="606" ht="15.75" customHeight="1">
      <c r="D606" s="87"/>
      <c r="J606" s="102"/>
    </row>
    <row r="607" ht="15.75" customHeight="1">
      <c r="D607" s="87"/>
      <c r="J607" s="102"/>
    </row>
    <row r="608" ht="15.75" customHeight="1">
      <c r="D608" s="87"/>
      <c r="J608" s="102"/>
    </row>
    <row r="609" ht="15.75" customHeight="1">
      <c r="D609" s="87"/>
      <c r="J609" s="102"/>
    </row>
    <row r="610" ht="15.75" customHeight="1">
      <c r="D610" s="87"/>
      <c r="J610" s="102"/>
    </row>
    <row r="611" ht="15.75" customHeight="1">
      <c r="D611" s="87"/>
      <c r="J611" s="102"/>
    </row>
    <row r="612" ht="15.75" customHeight="1">
      <c r="D612" s="87"/>
      <c r="J612" s="102"/>
    </row>
    <row r="613" ht="15.75" customHeight="1">
      <c r="D613" s="87"/>
      <c r="J613" s="102"/>
    </row>
    <row r="614" ht="15.75" customHeight="1">
      <c r="D614" s="87"/>
      <c r="J614" s="102"/>
    </row>
    <row r="615" ht="15.75" customHeight="1">
      <c r="D615" s="87"/>
      <c r="J615" s="102"/>
    </row>
    <row r="616" ht="15.75" customHeight="1">
      <c r="D616" s="87"/>
      <c r="J616" s="102"/>
    </row>
    <row r="617" ht="15.75" customHeight="1">
      <c r="D617" s="87"/>
      <c r="J617" s="102"/>
    </row>
    <row r="618" ht="15.75" customHeight="1">
      <c r="D618" s="87"/>
      <c r="J618" s="102"/>
    </row>
    <row r="619" ht="15.75" customHeight="1">
      <c r="D619" s="87"/>
      <c r="J619" s="102"/>
    </row>
    <row r="620" ht="15.75" customHeight="1">
      <c r="D620" s="87"/>
      <c r="J620" s="102"/>
    </row>
    <row r="621" ht="15.75" customHeight="1">
      <c r="D621" s="87"/>
      <c r="J621" s="102"/>
    </row>
    <row r="622" ht="15.75" customHeight="1">
      <c r="D622" s="87"/>
      <c r="J622" s="102"/>
    </row>
    <row r="623" ht="15.75" customHeight="1">
      <c r="D623" s="87"/>
      <c r="J623" s="102"/>
    </row>
    <row r="624" ht="15.75" customHeight="1">
      <c r="D624" s="87"/>
      <c r="J624" s="102"/>
    </row>
    <row r="625" ht="15.75" customHeight="1">
      <c r="D625" s="87"/>
      <c r="J625" s="102"/>
    </row>
    <row r="626" ht="15.75" customHeight="1">
      <c r="D626" s="87"/>
      <c r="J626" s="102"/>
    </row>
    <row r="627" ht="15.75" customHeight="1">
      <c r="D627" s="87"/>
      <c r="J627" s="102"/>
    </row>
    <row r="628" ht="15.75" customHeight="1">
      <c r="D628" s="87"/>
      <c r="J628" s="102"/>
    </row>
    <row r="629" ht="15.75" customHeight="1">
      <c r="D629" s="87"/>
      <c r="J629" s="102"/>
    </row>
    <row r="630" ht="15.75" customHeight="1">
      <c r="D630" s="87"/>
      <c r="J630" s="102"/>
    </row>
    <row r="631" ht="15.75" customHeight="1">
      <c r="D631" s="87"/>
      <c r="J631" s="102"/>
    </row>
    <row r="632" ht="15.75" customHeight="1">
      <c r="D632" s="87"/>
      <c r="J632" s="102"/>
    </row>
    <row r="633" ht="15.75" customHeight="1">
      <c r="D633" s="87"/>
      <c r="J633" s="102"/>
    </row>
    <row r="634" ht="15.75" customHeight="1">
      <c r="D634" s="87"/>
      <c r="J634" s="102"/>
    </row>
    <row r="635" ht="15.75" customHeight="1">
      <c r="D635" s="87"/>
      <c r="J635" s="102"/>
    </row>
    <row r="636" ht="15.75" customHeight="1">
      <c r="D636" s="87"/>
      <c r="J636" s="102"/>
    </row>
    <row r="637" ht="15.75" customHeight="1">
      <c r="D637" s="87"/>
      <c r="J637" s="102"/>
    </row>
    <row r="638" ht="15.75" customHeight="1">
      <c r="D638" s="87"/>
      <c r="J638" s="102"/>
    </row>
    <row r="639" ht="15.75" customHeight="1">
      <c r="D639" s="87"/>
      <c r="J639" s="102"/>
    </row>
    <row r="640" ht="15.75" customHeight="1">
      <c r="D640" s="87"/>
      <c r="J640" s="102"/>
    </row>
    <row r="641" ht="15.75" customHeight="1">
      <c r="D641" s="87"/>
      <c r="J641" s="102"/>
    </row>
    <row r="642" ht="15.75" customHeight="1">
      <c r="D642" s="87"/>
      <c r="J642" s="102"/>
    </row>
    <row r="643" ht="15.75" customHeight="1">
      <c r="D643" s="87"/>
      <c r="J643" s="102"/>
    </row>
    <row r="644" ht="15.75" customHeight="1">
      <c r="D644" s="87"/>
      <c r="J644" s="102"/>
    </row>
    <row r="645" ht="15.75" customHeight="1">
      <c r="D645" s="87"/>
      <c r="J645" s="102"/>
    </row>
    <row r="646" ht="15.75" customHeight="1">
      <c r="D646" s="87"/>
      <c r="J646" s="102"/>
    </row>
    <row r="647" ht="15.75" customHeight="1">
      <c r="D647" s="87"/>
      <c r="J647" s="102"/>
    </row>
    <row r="648" ht="15.75" customHeight="1">
      <c r="D648" s="87"/>
      <c r="J648" s="102"/>
    </row>
    <row r="649" ht="15.75" customHeight="1">
      <c r="D649" s="87"/>
      <c r="J649" s="102"/>
    </row>
    <row r="650" ht="15.75" customHeight="1">
      <c r="D650" s="87"/>
      <c r="J650" s="102"/>
    </row>
    <row r="651" ht="15.75" customHeight="1">
      <c r="D651" s="87"/>
      <c r="J651" s="102"/>
    </row>
    <row r="652" ht="15.75" customHeight="1">
      <c r="D652" s="87"/>
      <c r="J652" s="102"/>
    </row>
    <row r="653" ht="15.75" customHeight="1">
      <c r="D653" s="87"/>
      <c r="J653" s="102"/>
    </row>
    <row r="654" ht="15.75" customHeight="1">
      <c r="D654" s="87"/>
      <c r="J654" s="102"/>
    </row>
    <row r="655" ht="15.75" customHeight="1">
      <c r="D655" s="87"/>
      <c r="J655" s="102"/>
    </row>
    <row r="656" ht="15.75" customHeight="1">
      <c r="D656" s="87"/>
      <c r="J656" s="102"/>
    </row>
    <row r="657" ht="15.75" customHeight="1">
      <c r="D657" s="87"/>
      <c r="J657" s="102"/>
    </row>
    <row r="658" ht="15.75" customHeight="1">
      <c r="D658" s="87"/>
      <c r="J658" s="102"/>
    </row>
    <row r="659" ht="15.75" customHeight="1">
      <c r="D659" s="87"/>
      <c r="J659" s="102"/>
    </row>
    <row r="660" ht="15.75" customHeight="1">
      <c r="D660" s="87"/>
      <c r="J660" s="102"/>
    </row>
    <row r="661" ht="15.75" customHeight="1">
      <c r="D661" s="87"/>
      <c r="J661" s="102"/>
    </row>
    <row r="662" ht="15.75" customHeight="1">
      <c r="D662" s="87"/>
      <c r="J662" s="102"/>
    </row>
    <row r="663" ht="15.75" customHeight="1">
      <c r="D663" s="87"/>
      <c r="J663" s="102"/>
    </row>
    <row r="664" ht="15.75" customHeight="1">
      <c r="D664" s="87"/>
      <c r="J664" s="102"/>
    </row>
    <row r="665" ht="15.75" customHeight="1">
      <c r="D665" s="87"/>
      <c r="J665" s="102"/>
    </row>
    <row r="666" ht="15.75" customHeight="1">
      <c r="D666" s="87"/>
      <c r="J666" s="102"/>
    </row>
    <row r="667" ht="15.75" customHeight="1">
      <c r="D667" s="87"/>
      <c r="J667" s="102"/>
    </row>
    <row r="668" ht="15.75" customHeight="1">
      <c r="D668" s="87"/>
      <c r="J668" s="102"/>
    </row>
    <row r="669" ht="15.75" customHeight="1">
      <c r="D669" s="87"/>
      <c r="J669" s="102"/>
    </row>
    <row r="670" ht="15.75" customHeight="1">
      <c r="D670" s="87"/>
      <c r="J670" s="102"/>
    </row>
    <row r="671" ht="15.75" customHeight="1">
      <c r="D671" s="87"/>
      <c r="J671" s="102"/>
    </row>
    <row r="672" ht="15.75" customHeight="1">
      <c r="D672" s="87"/>
      <c r="J672" s="102"/>
    </row>
    <row r="673" ht="15.75" customHeight="1">
      <c r="D673" s="87"/>
      <c r="J673" s="102"/>
    </row>
    <row r="674" ht="15.75" customHeight="1">
      <c r="D674" s="87"/>
      <c r="J674" s="102"/>
    </row>
    <row r="675" ht="15.75" customHeight="1">
      <c r="D675" s="87"/>
      <c r="J675" s="102"/>
    </row>
    <row r="676" ht="15.75" customHeight="1">
      <c r="D676" s="87"/>
      <c r="J676" s="102"/>
    </row>
    <row r="677" ht="15.75" customHeight="1">
      <c r="D677" s="87"/>
      <c r="J677" s="102"/>
    </row>
    <row r="678" ht="15.75" customHeight="1">
      <c r="D678" s="87"/>
      <c r="J678" s="102"/>
    </row>
    <row r="679" ht="15.75" customHeight="1">
      <c r="D679" s="87"/>
      <c r="J679" s="102"/>
    </row>
    <row r="680" ht="15.75" customHeight="1">
      <c r="D680" s="87"/>
      <c r="J680" s="102"/>
    </row>
    <row r="681" ht="15.75" customHeight="1">
      <c r="D681" s="87"/>
      <c r="J681" s="102"/>
    </row>
    <row r="682" ht="15.75" customHeight="1">
      <c r="D682" s="87"/>
      <c r="J682" s="102"/>
    </row>
    <row r="683" ht="15.75" customHeight="1">
      <c r="D683" s="87"/>
      <c r="J683" s="102"/>
    </row>
    <row r="684" ht="15.75" customHeight="1">
      <c r="D684" s="87"/>
      <c r="J684" s="102"/>
    </row>
    <row r="685" ht="15.75" customHeight="1">
      <c r="D685" s="87"/>
      <c r="J685" s="102"/>
    </row>
    <row r="686" ht="15.75" customHeight="1">
      <c r="D686" s="87"/>
      <c r="J686" s="102"/>
    </row>
    <row r="687" ht="15.75" customHeight="1">
      <c r="D687" s="87"/>
      <c r="J687" s="102"/>
    </row>
    <row r="688" ht="15.75" customHeight="1">
      <c r="D688" s="87"/>
      <c r="J688" s="102"/>
    </row>
    <row r="689" ht="15.75" customHeight="1">
      <c r="D689" s="87"/>
      <c r="J689" s="102"/>
    </row>
    <row r="690" ht="15.75" customHeight="1">
      <c r="D690" s="87"/>
      <c r="J690" s="102"/>
    </row>
    <row r="691" ht="15.75" customHeight="1">
      <c r="D691" s="87"/>
      <c r="J691" s="102"/>
    </row>
    <row r="692" ht="15.75" customHeight="1">
      <c r="D692" s="87"/>
      <c r="J692" s="102"/>
    </row>
    <row r="693" ht="15.75" customHeight="1">
      <c r="D693" s="87"/>
      <c r="J693" s="102"/>
    </row>
    <row r="694" ht="15.75" customHeight="1">
      <c r="D694" s="87"/>
      <c r="J694" s="102"/>
    </row>
    <row r="695" ht="15.75" customHeight="1">
      <c r="D695" s="87"/>
      <c r="J695" s="102"/>
    </row>
    <row r="696" ht="15.75" customHeight="1">
      <c r="D696" s="87"/>
      <c r="J696" s="102"/>
    </row>
    <row r="697" ht="15.75" customHeight="1">
      <c r="D697" s="87"/>
      <c r="J697" s="102"/>
    </row>
    <row r="698" ht="15.75" customHeight="1">
      <c r="D698" s="87"/>
      <c r="J698" s="102"/>
    </row>
    <row r="699" ht="15.75" customHeight="1">
      <c r="D699" s="87"/>
      <c r="J699" s="102"/>
    </row>
    <row r="700" ht="15.75" customHeight="1">
      <c r="D700" s="87"/>
      <c r="J700" s="102"/>
    </row>
    <row r="701" ht="15.75" customHeight="1">
      <c r="D701" s="87"/>
      <c r="J701" s="102"/>
    </row>
    <row r="702" ht="15.75" customHeight="1">
      <c r="D702" s="87"/>
      <c r="J702" s="102"/>
    </row>
    <row r="703" ht="15.75" customHeight="1">
      <c r="D703" s="87"/>
      <c r="J703" s="102"/>
    </row>
    <row r="704" ht="15.75" customHeight="1">
      <c r="D704" s="87"/>
      <c r="J704" s="102"/>
    </row>
    <row r="705" ht="15.75" customHeight="1">
      <c r="D705" s="87"/>
      <c r="J705" s="102"/>
    </row>
    <row r="706" ht="15.75" customHeight="1">
      <c r="D706" s="87"/>
      <c r="J706" s="102"/>
    </row>
    <row r="707" ht="15.75" customHeight="1">
      <c r="D707" s="87"/>
      <c r="J707" s="102"/>
    </row>
    <row r="708" ht="15.75" customHeight="1">
      <c r="D708" s="87"/>
      <c r="J708" s="102"/>
    </row>
    <row r="709" ht="15.75" customHeight="1">
      <c r="D709" s="87"/>
      <c r="J709" s="102"/>
    </row>
    <row r="710" ht="15.75" customHeight="1">
      <c r="D710" s="87"/>
      <c r="J710" s="102"/>
    </row>
    <row r="711" ht="15.75" customHeight="1">
      <c r="D711" s="87"/>
      <c r="J711" s="102"/>
    </row>
    <row r="712" ht="15.75" customHeight="1">
      <c r="D712" s="87"/>
      <c r="J712" s="102"/>
    </row>
    <row r="713" ht="15.75" customHeight="1">
      <c r="D713" s="87"/>
      <c r="J713" s="102"/>
    </row>
    <row r="714" ht="15.75" customHeight="1">
      <c r="D714" s="87"/>
      <c r="J714" s="102"/>
    </row>
    <row r="715" ht="15.75" customHeight="1">
      <c r="D715" s="87"/>
      <c r="J715" s="102"/>
    </row>
    <row r="716" ht="15.75" customHeight="1">
      <c r="D716" s="87"/>
      <c r="J716" s="102"/>
    </row>
    <row r="717" ht="15.75" customHeight="1">
      <c r="D717" s="87"/>
      <c r="J717" s="102"/>
    </row>
    <row r="718" ht="15.75" customHeight="1">
      <c r="D718" s="87"/>
      <c r="J718" s="102"/>
    </row>
    <row r="719" ht="15.75" customHeight="1">
      <c r="D719" s="87"/>
      <c r="J719" s="102"/>
    </row>
    <row r="720" ht="15.75" customHeight="1">
      <c r="D720" s="87"/>
      <c r="J720" s="102"/>
    </row>
    <row r="721" ht="15.75" customHeight="1">
      <c r="D721" s="87"/>
      <c r="J721" s="102"/>
    </row>
    <row r="722" ht="15.75" customHeight="1">
      <c r="D722" s="87"/>
      <c r="J722" s="102"/>
    </row>
    <row r="723" ht="15.75" customHeight="1">
      <c r="D723" s="87"/>
      <c r="J723" s="102"/>
    </row>
    <row r="724" ht="15.75" customHeight="1">
      <c r="D724" s="87"/>
      <c r="J724" s="102"/>
    </row>
    <row r="725" ht="15.75" customHeight="1">
      <c r="D725" s="87"/>
      <c r="J725" s="102"/>
    </row>
    <row r="726" ht="15.75" customHeight="1">
      <c r="D726" s="87"/>
      <c r="J726" s="102"/>
    </row>
    <row r="727" ht="15.75" customHeight="1">
      <c r="D727" s="87"/>
      <c r="J727" s="102"/>
    </row>
    <row r="728" ht="15.75" customHeight="1">
      <c r="D728" s="87"/>
      <c r="J728" s="102"/>
    </row>
    <row r="729" ht="15.75" customHeight="1">
      <c r="D729" s="87"/>
      <c r="J729" s="102"/>
    </row>
    <row r="730" ht="15.75" customHeight="1">
      <c r="D730" s="87"/>
      <c r="J730" s="102"/>
    </row>
    <row r="731" ht="15.75" customHeight="1">
      <c r="D731" s="87"/>
      <c r="J731" s="102"/>
    </row>
    <row r="732" ht="15.75" customHeight="1">
      <c r="D732" s="87"/>
      <c r="J732" s="102"/>
    </row>
    <row r="733" ht="15.75" customHeight="1">
      <c r="D733" s="87"/>
      <c r="J733" s="102"/>
    </row>
    <row r="734" ht="15.75" customHeight="1">
      <c r="D734" s="87"/>
      <c r="J734" s="102"/>
    </row>
    <row r="735" ht="15.75" customHeight="1">
      <c r="D735" s="87"/>
      <c r="J735" s="102"/>
    </row>
    <row r="736" ht="15.75" customHeight="1">
      <c r="D736" s="87"/>
      <c r="J736" s="102"/>
    </row>
    <row r="737" ht="15.75" customHeight="1">
      <c r="D737" s="87"/>
      <c r="J737" s="102"/>
    </row>
    <row r="738" ht="15.75" customHeight="1">
      <c r="D738" s="87"/>
      <c r="J738" s="102"/>
    </row>
    <row r="739" ht="15.75" customHeight="1">
      <c r="D739" s="87"/>
      <c r="J739" s="102"/>
    </row>
    <row r="740" ht="15.75" customHeight="1">
      <c r="D740" s="87"/>
      <c r="J740" s="102"/>
    </row>
    <row r="741" ht="15.75" customHeight="1">
      <c r="D741" s="87"/>
      <c r="J741" s="102"/>
    </row>
    <row r="742" ht="15.75" customHeight="1">
      <c r="D742" s="87"/>
      <c r="J742" s="102"/>
    </row>
    <row r="743" ht="15.75" customHeight="1">
      <c r="D743" s="87"/>
      <c r="J743" s="102"/>
    </row>
    <row r="744" ht="15.75" customHeight="1">
      <c r="D744" s="87"/>
      <c r="J744" s="102"/>
    </row>
    <row r="745" ht="15.75" customHeight="1">
      <c r="D745" s="87"/>
      <c r="J745" s="102"/>
    </row>
    <row r="746" ht="15.75" customHeight="1">
      <c r="D746" s="87"/>
      <c r="J746" s="102"/>
    </row>
    <row r="747" ht="15.75" customHeight="1">
      <c r="D747" s="87"/>
      <c r="J747" s="102"/>
    </row>
    <row r="748" ht="15.75" customHeight="1">
      <c r="D748" s="87"/>
      <c r="J748" s="102"/>
    </row>
    <row r="749" ht="15.75" customHeight="1">
      <c r="D749" s="87"/>
      <c r="J749" s="102"/>
    </row>
    <row r="750" ht="15.75" customHeight="1">
      <c r="D750" s="87"/>
      <c r="J750" s="102"/>
    </row>
    <row r="751" ht="15.75" customHeight="1">
      <c r="D751" s="87"/>
      <c r="J751" s="102"/>
    </row>
    <row r="752" ht="15.75" customHeight="1">
      <c r="D752" s="87"/>
      <c r="J752" s="102"/>
    </row>
    <row r="753" ht="15.75" customHeight="1">
      <c r="D753" s="87"/>
      <c r="J753" s="102"/>
    </row>
    <row r="754" ht="15.75" customHeight="1">
      <c r="D754" s="87"/>
      <c r="J754" s="102"/>
    </row>
    <row r="755" ht="15.75" customHeight="1">
      <c r="D755" s="87"/>
      <c r="J755" s="102"/>
    </row>
    <row r="756" ht="15.75" customHeight="1">
      <c r="D756" s="87"/>
      <c r="J756" s="102"/>
    </row>
    <row r="757" ht="15.75" customHeight="1">
      <c r="D757" s="87"/>
      <c r="J757" s="102"/>
    </row>
    <row r="758" ht="15.75" customHeight="1">
      <c r="D758" s="87"/>
      <c r="J758" s="102"/>
    </row>
    <row r="759" ht="15.75" customHeight="1">
      <c r="D759" s="87"/>
      <c r="J759" s="102"/>
    </row>
    <row r="760" ht="15.75" customHeight="1">
      <c r="D760" s="87"/>
      <c r="J760" s="102"/>
    </row>
    <row r="761" ht="15.75" customHeight="1">
      <c r="D761" s="87"/>
      <c r="J761" s="102"/>
    </row>
    <row r="762" ht="15.75" customHeight="1">
      <c r="D762" s="87"/>
      <c r="J762" s="102"/>
    </row>
    <row r="763" ht="15.75" customHeight="1">
      <c r="D763" s="87"/>
      <c r="J763" s="102"/>
    </row>
    <row r="764" ht="15.75" customHeight="1">
      <c r="D764" s="87"/>
      <c r="J764" s="102"/>
    </row>
    <row r="765" ht="15.75" customHeight="1">
      <c r="D765" s="87"/>
      <c r="J765" s="102"/>
    </row>
    <row r="766" ht="15.75" customHeight="1">
      <c r="D766" s="87"/>
      <c r="J766" s="102"/>
    </row>
    <row r="767" ht="15.75" customHeight="1">
      <c r="D767" s="87"/>
      <c r="J767" s="102"/>
    </row>
    <row r="768" ht="15.75" customHeight="1">
      <c r="D768" s="87"/>
      <c r="J768" s="102"/>
    </row>
    <row r="769" ht="15.75" customHeight="1">
      <c r="D769" s="87"/>
      <c r="J769" s="102"/>
    </row>
    <row r="770" ht="15.75" customHeight="1">
      <c r="D770" s="87"/>
      <c r="J770" s="102"/>
    </row>
    <row r="771" ht="15.75" customHeight="1">
      <c r="D771" s="87"/>
      <c r="J771" s="102"/>
    </row>
    <row r="772" ht="15.75" customHeight="1">
      <c r="D772" s="87"/>
      <c r="J772" s="102"/>
    </row>
    <row r="773" ht="15.75" customHeight="1">
      <c r="D773" s="87"/>
      <c r="J773" s="102"/>
    </row>
    <row r="774" ht="15.75" customHeight="1">
      <c r="D774" s="87"/>
      <c r="J774" s="102"/>
    </row>
    <row r="775" ht="15.75" customHeight="1">
      <c r="D775" s="87"/>
      <c r="J775" s="102"/>
    </row>
    <row r="776" ht="15.75" customHeight="1">
      <c r="D776" s="87"/>
      <c r="J776" s="102"/>
    </row>
    <row r="777" ht="15.75" customHeight="1">
      <c r="D777" s="87"/>
      <c r="J777" s="102"/>
    </row>
    <row r="778" ht="15.75" customHeight="1">
      <c r="D778" s="87"/>
      <c r="J778" s="102"/>
    </row>
    <row r="779" ht="15.75" customHeight="1">
      <c r="D779" s="87"/>
      <c r="J779" s="102"/>
    </row>
    <row r="780" ht="15.75" customHeight="1">
      <c r="D780" s="87"/>
      <c r="J780" s="102"/>
    </row>
    <row r="781" ht="15.75" customHeight="1">
      <c r="D781" s="87"/>
      <c r="J781" s="102"/>
    </row>
    <row r="782" ht="15.75" customHeight="1">
      <c r="D782" s="87"/>
      <c r="J782" s="102"/>
    </row>
    <row r="783" ht="15.75" customHeight="1">
      <c r="D783" s="87"/>
      <c r="J783" s="102"/>
    </row>
    <row r="784" ht="15.75" customHeight="1">
      <c r="D784" s="87"/>
      <c r="J784" s="102"/>
    </row>
    <row r="785" ht="15.75" customHeight="1">
      <c r="D785" s="87"/>
      <c r="J785" s="102"/>
    </row>
    <row r="786" ht="15.75" customHeight="1">
      <c r="D786" s="87"/>
      <c r="J786" s="102"/>
    </row>
    <row r="787" ht="15.75" customHeight="1">
      <c r="D787" s="87"/>
      <c r="J787" s="102"/>
    </row>
    <row r="788" ht="15.75" customHeight="1">
      <c r="D788" s="87"/>
      <c r="J788" s="102"/>
    </row>
    <row r="789" ht="15.75" customHeight="1">
      <c r="D789" s="87"/>
      <c r="J789" s="102"/>
    </row>
    <row r="790" ht="15.75" customHeight="1">
      <c r="D790" s="87"/>
      <c r="J790" s="102"/>
    </row>
    <row r="791" ht="15.75" customHeight="1">
      <c r="D791" s="87"/>
      <c r="J791" s="102"/>
    </row>
    <row r="792" ht="15.75" customHeight="1">
      <c r="D792" s="87"/>
      <c r="J792" s="102"/>
    </row>
    <row r="793" ht="15.75" customHeight="1">
      <c r="D793" s="87"/>
      <c r="J793" s="102"/>
    </row>
    <row r="794" ht="15.75" customHeight="1">
      <c r="D794" s="87"/>
      <c r="J794" s="102"/>
    </row>
    <row r="795" ht="15.75" customHeight="1">
      <c r="D795" s="87"/>
      <c r="J795" s="102"/>
    </row>
    <row r="796" ht="15.75" customHeight="1">
      <c r="D796" s="87"/>
      <c r="J796" s="102"/>
    </row>
    <row r="797" ht="15.75" customHeight="1">
      <c r="D797" s="87"/>
      <c r="J797" s="102"/>
    </row>
    <row r="798" ht="15.75" customHeight="1">
      <c r="D798" s="87"/>
      <c r="J798" s="102"/>
    </row>
    <row r="799" ht="15.75" customHeight="1">
      <c r="D799" s="87"/>
      <c r="J799" s="102"/>
    </row>
    <row r="800" ht="15.75" customHeight="1">
      <c r="D800" s="87"/>
      <c r="J800" s="102"/>
    </row>
    <row r="801" ht="15.75" customHeight="1">
      <c r="D801" s="87"/>
      <c r="J801" s="102"/>
    </row>
    <row r="802" ht="15.75" customHeight="1">
      <c r="D802" s="87"/>
      <c r="J802" s="102"/>
    </row>
    <row r="803" ht="15.75" customHeight="1">
      <c r="D803" s="87"/>
      <c r="J803" s="102"/>
    </row>
    <row r="804" ht="15.75" customHeight="1">
      <c r="D804" s="87"/>
      <c r="J804" s="102"/>
    </row>
    <row r="805" ht="15.75" customHeight="1">
      <c r="D805" s="87"/>
      <c r="J805" s="102"/>
    </row>
    <row r="806" ht="15.75" customHeight="1">
      <c r="D806" s="87"/>
      <c r="J806" s="102"/>
    </row>
    <row r="807" ht="15.75" customHeight="1">
      <c r="D807" s="87"/>
      <c r="J807" s="102"/>
    </row>
    <row r="808" ht="15.75" customHeight="1">
      <c r="D808" s="87"/>
      <c r="J808" s="102"/>
    </row>
    <row r="809" ht="15.75" customHeight="1">
      <c r="D809" s="87"/>
      <c r="J809" s="102"/>
    </row>
    <row r="810" ht="15.75" customHeight="1">
      <c r="D810" s="87"/>
      <c r="J810" s="102"/>
    </row>
    <row r="811" ht="15.75" customHeight="1">
      <c r="D811" s="87"/>
      <c r="J811" s="102"/>
    </row>
    <row r="812" ht="15.75" customHeight="1">
      <c r="D812" s="87"/>
      <c r="J812" s="102"/>
    </row>
    <row r="813" ht="15.75" customHeight="1">
      <c r="D813" s="87"/>
      <c r="J813" s="102"/>
    </row>
    <row r="814" ht="15.75" customHeight="1">
      <c r="D814" s="87"/>
      <c r="J814" s="102"/>
    </row>
    <row r="815" ht="15.75" customHeight="1">
      <c r="D815" s="87"/>
      <c r="J815" s="102"/>
    </row>
    <row r="816" ht="15.75" customHeight="1">
      <c r="D816" s="87"/>
      <c r="J816" s="102"/>
    </row>
    <row r="817" ht="15.75" customHeight="1">
      <c r="D817" s="87"/>
      <c r="J817" s="102"/>
    </row>
    <row r="818" ht="15.75" customHeight="1">
      <c r="D818" s="87"/>
      <c r="J818" s="102"/>
    </row>
    <row r="819" ht="15.75" customHeight="1">
      <c r="D819" s="87"/>
      <c r="J819" s="102"/>
    </row>
    <row r="820" ht="15.75" customHeight="1">
      <c r="D820" s="87"/>
      <c r="J820" s="102"/>
    </row>
    <row r="821" ht="15.75" customHeight="1">
      <c r="D821" s="87"/>
      <c r="J821" s="102"/>
    </row>
    <row r="822" ht="15.75" customHeight="1">
      <c r="D822" s="87"/>
      <c r="J822" s="102"/>
    </row>
    <row r="823" ht="15.75" customHeight="1">
      <c r="D823" s="87"/>
      <c r="J823" s="102"/>
    </row>
    <row r="824" ht="15.75" customHeight="1">
      <c r="D824" s="87"/>
      <c r="J824" s="102"/>
    </row>
    <row r="825" ht="15.75" customHeight="1">
      <c r="D825" s="87"/>
      <c r="J825" s="102"/>
    </row>
    <row r="826" ht="15.75" customHeight="1">
      <c r="D826" s="87"/>
      <c r="J826" s="102"/>
    </row>
    <row r="827" ht="15.75" customHeight="1">
      <c r="D827" s="87"/>
      <c r="J827" s="102"/>
    </row>
    <row r="828" ht="15.75" customHeight="1">
      <c r="D828" s="87"/>
      <c r="J828" s="102"/>
    </row>
    <row r="829" ht="15.75" customHeight="1">
      <c r="D829" s="87"/>
      <c r="J829" s="102"/>
    </row>
    <row r="830" ht="15.75" customHeight="1">
      <c r="D830" s="87"/>
      <c r="J830" s="102"/>
    </row>
    <row r="831" ht="15.75" customHeight="1">
      <c r="D831" s="87"/>
      <c r="J831" s="102"/>
    </row>
    <row r="832" ht="15.75" customHeight="1">
      <c r="D832" s="87"/>
      <c r="J832" s="102"/>
    </row>
    <row r="833" ht="15.75" customHeight="1">
      <c r="D833" s="87"/>
      <c r="J833" s="102"/>
    </row>
    <row r="834" ht="15.75" customHeight="1">
      <c r="D834" s="87"/>
      <c r="J834" s="102"/>
    </row>
    <row r="835" ht="15.75" customHeight="1">
      <c r="D835" s="87"/>
      <c r="J835" s="102"/>
    </row>
    <row r="836" ht="15.75" customHeight="1">
      <c r="D836" s="87"/>
      <c r="J836" s="102"/>
    </row>
    <row r="837" ht="15.75" customHeight="1">
      <c r="D837" s="87"/>
      <c r="J837" s="102"/>
    </row>
    <row r="838" ht="15.75" customHeight="1">
      <c r="D838" s="87"/>
      <c r="J838" s="102"/>
    </row>
    <row r="839" ht="15.75" customHeight="1">
      <c r="D839" s="87"/>
      <c r="J839" s="102"/>
    </row>
    <row r="840" ht="15.75" customHeight="1">
      <c r="D840" s="87"/>
      <c r="J840" s="102"/>
    </row>
    <row r="841" ht="15.75" customHeight="1">
      <c r="D841" s="87"/>
      <c r="J841" s="102"/>
    </row>
    <row r="842" ht="15.75" customHeight="1">
      <c r="D842" s="87"/>
      <c r="J842" s="102"/>
    </row>
    <row r="843" ht="15.75" customHeight="1">
      <c r="D843" s="87"/>
      <c r="J843" s="102"/>
    </row>
    <row r="844" ht="15.75" customHeight="1">
      <c r="D844" s="87"/>
      <c r="J844" s="102"/>
    </row>
    <row r="845" ht="15.75" customHeight="1">
      <c r="D845" s="87"/>
      <c r="J845" s="102"/>
    </row>
    <row r="846" ht="15.75" customHeight="1">
      <c r="D846" s="87"/>
      <c r="J846" s="102"/>
    </row>
    <row r="847" ht="15.75" customHeight="1">
      <c r="D847" s="87"/>
      <c r="J847" s="102"/>
    </row>
    <row r="848" ht="15.75" customHeight="1">
      <c r="D848" s="87"/>
      <c r="J848" s="102"/>
    </row>
    <row r="849" ht="15.75" customHeight="1">
      <c r="D849" s="87"/>
      <c r="J849" s="102"/>
    </row>
    <row r="850" ht="15.75" customHeight="1">
      <c r="D850" s="87"/>
      <c r="J850" s="102"/>
    </row>
    <row r="851" ht="15.75" customHeight="1">
      <c r="D851" s="87"/>
      <c r="J851" s="102"/>
    </row>
    <row r="852" ht="15.75" customHeight="1">
      <c r="D852" s="87"/>
      <c r="J852" s="102"/>
    </row>
    <row r="853" ht="15.75" customHeight="1">
      <c r="D853" s="87"/>
      <c r="J853" s="102"/>
    </row>
    <row r="854" ht="15.75" customHeight="1">
      <c r="D854" s="87"/>
      <c r="J854" s="102"/>
    </row>
    <row r="855" ht="15.75" customHeight="1">
      <c r="D855" s="87"/>
      <c r="J855" s="102"/>
    </row>
    <row r="856" ht="15.75" customHeight="1">
      <c r="D856" s="87"/>
      <c r="J856" s="102"/>
    </row>
    <row r="857" ht="15.75" customHeight="1">
      <c r="D857" s="87"/>
      <c r="J857" s="102"/>
    </row>
    <row r="858" ht="15.75" customHeight="1">
      <c r="D858" s="87"/>
      <c r="J858" s="102"/>
    </row>
    <row r="859" ht="15.75" customHeight="1">
      <c r="D859" s="87"/>
      <c r="J859" s="102"/>
    </row>
    <row r="860" ht="15.75" customHeight="1">
      <c r="D860" s="87"/>
      <c r="J860" s="102"/>
    </row>
    <row r="861" ht="15.75" customHeight="1">
      <c r="D861" s="87"/>
      <c r="J861" s="102"/>
    </row>
    <row r="862" ht="15.75" customHeight="1">
      <c r="D862" s="87"/>
      <c r="J862" s="102"/>
    </row>
    <row r="863" ht="15.75" customHeight="1">
      <c r="D863" s="87"/>
      <c r="J863" s="102"/>
    </row>
    <row r="864" ht="15.75" customHeight="1">
      <c r="D864" s="87"/>
      <c r="J864" s="102"/>
    </row>
    <row r="865" ht="15.75" customHeight="1">
      <c r="D865" s="87"/>
      <c r="J865" s="102"/>
    </row>
    <row r="866" ht="15.75" customHeight="1">
      <c r="D866" s="87"/>
      <c r="J866" s="102"/>
    </row>
    <row r="867" ht="15.75" customHeight="1">
      <c r="D867" s="87"/>
      <c r="J867" s="102"/>
    </row>
    <row r="868" ht="15.75" customHeight="1">
      <c r="D868" s="87"/>
      <c r="J868" s="102"/>
    </row>
    <row r="869" ht="15.75" customHeight="1">
      <c r="D869" s="87"/>
      <c r="J869" s="102"/>
    </row>
    <row r="870" ht="15.75" customHeight="1">
      <c r="D870" s="87"/>
      <c r="J870" s="102"/>
    </row>
    <row r="871" ht="15.75" customHeight="1">
      <c r="D871" s="87"/>
      <c r="J871" s="102"/>
    </row>
    <row r="872" ht="15.75" customHeight="1">
      <c r="D872" s="87"/>
      <c r="J872" s="102"/>
    </row>
    <row r="873" ht="15.75" customHeight="1">
      <c r="D873" s="87"/>
      <c r="J873" s="102"/>
    </row>
    <row r="874" ht="15.75" customHeight="1">
      <c r="D874" s="87"/>
      <c r="J874" s="102"/>
    </row>
    <row r="875" ht="15.75" customHeight="1">
      <c r="D875" s="87"/>
      <c r="J875" s="102"/>
    </row>
    <row r="876" ht="15.75" customHeight="1">
      <c r="D876" s="87"/>
      <c r="J876" s="102"/>
    </row>
    <row r="877" ht="15.75" customHeight="1">
      <c r="D877" s="87"/>
      <c r="J877" s="102"/>
    </row>
    <row r="878" ht="15.75" customHeight="1">
      <c r="D878" s="87"/>
      <c r="J878" s="102"/>
    </row>
    <row r="879" ht="15.75" customHeight="1">
      <c r="D879" s="87"/>
      <c r="J879" s="102"/>
    </row>
    <row r="880" ht="15.75" customHeight="1">
      <c r="D880" s="87"/>
      <c r="J880" s="102"/>
    </row>
    <row r="881" ht="15.75" customHeight="1">
      <c r="D881" s="87"/>
      <c r="J881" s="102"/>
    </row>
    <row r="882" ht="15.75" customHeight="1">
      <c r="D882" s="87"/>
      <c r="J882" s="102"/>
    </row>
    <row r="883" ht="15.75" customHeight="1">
      <c r="D883" s="87"/>
      <c r="J883" s="102"/>
    </row>
    <row r="884" ht="15.75" customHeight="1">
      <c r="D884" s="87"/>
      <c r="J884" s="102"/>
    </row>
    <row r="885" ht="15.75" customHeight="1">
      <c r="D885" s="87"/>
      <c r="J885" s="102"/>
    </row>
    <row r="886" ht="15.75" customHeight="1">
      <c r="D886" s="87"/>
      <c r="J886" s="102"/>
    </row>
    <row r="887" ht="15.75" customHeight="1">
      <c r="D887" s="87"/>
      <c r="J887" s="102"/>
    </row>
    <row r="888" ht="15.75" customHeight="1">
      <c r="D888" s="87"/>
      <c r="J888" s="102"/>
    </row>
    <row r="889" ht="15.75" customHeight="1">
      <c r="D889" s="87"/>
      <c r="J889" s="102"/>
    </row>
    <row r="890" ht="15.75" customHeight="1">
      <c r="D890" s="87"/>
      <c r="J890" s="102"/>
    </row>
    <row r="891" ht="15.75" customHeight="1">
      <c r="D891" s="87"/>
      <c r="J891" s="102"/>
    </row>
    <row r="892" ht="15.75" customHeight="1">
      <c r="D892" s="87"/>
      <c r="J892" s="102"/>
    </row>
    <row r="893" ht="15.75" customHeight="1">
      <c r="D893" s="87"/>
      <c r="J893" s="102"/>
    </row>
    <row r="894" ht="15.75" customHeight="1">
      <c r="D894" s="87"/>
      <c r="J894" s="102"/>
    </row>
    <row r="895" ht="15.75" customHeight="1">
      <c r="D895" s="87"/>
      <c r="J895" s="102"/>
    </row>
    <row r="896" ht="15.75" customHeight="1">
      <c r="D896" s="87"/>
      <c r="J896" s="102"/>
    </row>
    <row r="897" ht="15.75" customHeight="1">
      <c r="D897" s="87"/>
      <c r="J897" s="102"/>
    </row>
    <row r="898" ht="15.75" customHeight="1">
      <c r="D898" s="87"/>
      <c r="J898" s="102"/>
    </row>
    <row r="899" ht="15.75" customHeight="1">
      <c r="D899" s="87"/>
      <c r="J899" s="102"/>
    </row>
    <row r="900" ht="15.75" customHeight="1">
      <c r="D900" s="87"/>
      <c r="J900" s="102"/>
    </row>
    <row r="901" ht="15.75" customHeight="1">
      <c r="D901" s="87"/>
      <c r="J901" s="102"/>
    </row>
    <row r="902" ht="15.75" customHeight="1">
      <c r="D902" s="87"/>
      <c r="J902" s="102"/>
    </row>
    <row r="903" ht="15.75" customHeight="1">
      <c r="D903" s="87"/>
      <c r="J903" s="102"/>
    </row>
    <row r="904" ht="15.75" customHeight="1">
      <c r="D904" s="87"/>
      <c r="J904" s="102"/>
    </row>
    <row r="905" ht="15.75" customHeight="1">
      <c r="D905" s="87"/>
      <c r="J905" s="102"/>
    </row>
    <row r="906" ht="15.75" customHeight="1">
      <c r="D906" s="87"/>
      <c r="J906" s="102"/>
    </row>
    <row r="907" ht="15.75" customHeight="1">
      <c r="D907" s="87"/>
      <c r="J907" s="102"/>
    </row>
    <row r="908" ht="15.75" customHeight="1">
      <c r="D908" s="87"/>
      <c r="J908" s="102"/>
    </row>
    <row r="909" ht="15.75" customHeight="1">
      <c r="D909" s="87"/>
      <c r="J909" s="102"/>
    </row>
    <row r="910" ht="15.75" customHeight="1">
      <c r="D910" s="87"/>
      <c r="J910" s="102"/>
    </row>
    <row r="911" ht="15.75" customHeight="1">
      <c r="D911" s="87"/>
      <c r="J911" s="102"/>
    </row>
    <row r="912" ht="15.75" customHeight="1">
      <c r="D912" s="87"/>
      <c r="J912" s="102"/>
    </row>
    <row r="913" ht="15.75" customHeight="1">
      <c r="D913" s="87"/>
      <c r="J913" s="102"/>
    </row>
    <row r="914" ht="15.75" customHeight="1">
      <c r="D914" s="87"/>
      <c r="J914" s="102"/>
    </row>
    <row r="915" ht="15.75" customHeight="1">
      <c r="D915" s="87"/>
      <c r="J915" s="102"/>
    </row>
    <row r="916" ht="15.75" customHeight="1">
      <c r="D916" s="87"/>
      <c r="J916" s="102"/>
    </row>
    <row r="917" ht="15.75" customHeight="1">
      <c r="D917" s="87"/>
      <c r="J917" s="102"/>
    </row>
    <row r="918" ht="15.75" customHeight="1">
      <c r="D918" s="87"/>
      <c r="J918" s="102"/>
    </row>
    <row r="919" ht="15.75" customHeight="1">
      <c r="D919" s="87"/>
      <c r="J919" s="102"/>
    </row>
    <row r="920" ht="15.75" customHeight="1">
      <c r="D920" s="87"/>
      <c r="J920" s="102"/>
    </row>
    <row r="921" ht="15.75" customHeight="1">
      <c r="D921" s="87"/>
      <c r="J921" s="102"/>
    </row>
    <row r="922" ht="15.75" customHeight="1">
      <c r="D922" s="87"/>
      <c r="J922" s="102"/>
    </row>
    <row r="923" ht="15.75" customHeight="1">
      <c r="D923" s="87"/>
      <c r="J923" s="102"/>
    </row>
    <row r="924" ht="15.75" customHeight="1">
      <c r="D924" s="87"/>
      <c r="J924" s="102"/>
    </row>
    <row r="925" ht="15.75" customHeight="1">
      <c r="D925" s="87"/>
      <c r="J925" s="102"/>
    </row>
    <row r="926" ht="15.75" customHeight="1">
      <c r="D926" s="87"/>
      <c r="J926" s="102"/>
    </row>
    <row r="927" ht="15.75" customHeight="1">
      <c r="D927" s="87"/>
      <c r="J927" s="102"/>
    </row>
    <row r="928" ht="15.75" customHeight="1">
      <c r="D928" s="87"/>
      <c r="J928" s="102"/>
    </row>
    <row r="929" ht="15.75" customHeight="1">
      <c r="D929" s="87"/>
      <c r="J929" s="102"/>
    </row>
    <row r="930" ht="15.75" customHeight="1">
      <c r="D930" s="87"/>
      <c r="J930" s="102"/>
    </row>
    <row r="931" ht="15.75" customHeight="1">
      <c r="D931" s="87"/>
      <c r="J931" s="102"/>
    </row>
    <row r="932" ht="15.75" customHeight="1">
      <c r="D932" s="87"/>
      <c r="J932" s="102"/>
    </row>
    <row r="933" ht="15.75" customHeight="1">
      <c r="D933" s="87"/>
      <c r="J933" s="102"/>
    </row>
    <row r="934" ht="15.75" customHeight="1">
      <c r="D934" s="87"/>
      <c r="J934" s="102"/>
    </row>
    <row r="935" ht="15.75" customHeight="1">
      <c r="D935" s="87"/>
      <c r="J935" s="102"/>
    </row>
    <row r="936" ht="15.75" customHeight="1">
      <c r="D936" s="87"/>
      <c r="J936" s="102"/>
    </row>
    <row r="937" ht="15.75" customHeight="1">
      <c r="D937" s="87"/>
      <c r="J937" s="102"/>
    </row>
    <row r="938" ht="15.75" customHeight="1">
      <c r="D938" s="87"/>
      <c r="J938" s="102"/>
    </row>
    <row r="939" ht="15.75" customHeight="1">
      <c r="D939" s="87"/>
      <c r="J939" s="102"/>
    </row>
    <row r="940" ht="15.75" customHeight="1">
      <c r="D940" s="87"/>
      <c r="J940" s="102"/>
    </row>
    <row r="941" ht="15.75" customHeight="1">
      <c r="D941" s="87"/>
      <c r="J941" s="102"/>
    </row>
    <row r="942" ht="15.75" customHeight="1">
      <c r="D942" s="87"/>
      <c r="J942" s="102"/>
    </row>
    <row r="943" ht="15.75" customHeight="1">
      <c r="D943" s="87"/>
      <c r="J943" s="102"/>
    </row>
    <row r="944" ht="15.75" customHeight="1">
      <c r="D944" s="87"/>
      <c r="J944" s="102"/>
    </row>
    <row r="945" ht="15.75" customHeight="1">
      <c r="D945" s="87"/>
      <c r="J945" s="102"/>
    </row>
    <row r="946" ht="15.75" customHeight="1">
      <c r="D946" s="87"/>
      <c r="J946" s="102"/>
    </row>
    <row r="947" ht="15.75" customHeight="1">
      <c r="D947" s="87"/>
      <c r="J947" s="102"/>
    </row>
    <row r="948" ht="15.75" customHeight="1">
      <c r="D948" s="87"/>
      <c r="J948" s="102"/>
    </row>
    <row r="949" ht="15.75" customHeight="1">
      <c r="D949" s="87"/>
      <c r="J949" s="102"/>
    </row>
    <row r="950" ht="15.75" customHeight="1">
      <c r="D950" s="87"/>
      <c r="J950" s="102"/>
    </row>
    <row r="951" ht="15.75" customHeight="1">
      <c r="D951" s="87"/>
      <c r="J951" s="102"/>
    </row>
    <row r="952" ht="15.75" customHeight="1">
      <c r="D952" s="87"/>
      <c r="J952" s="102"/>
    </row>
    <row r="953" ht="15.75" customHeight="1">
      <c r="D953" s="87"/>
      <c r="J953" s="102"/>
    </row>
    <row r="954" ht="15.75" customHeight="1">
      <c r="D954" s="87"/>
      <c r="J954" s="102"/>
    </row>
    <row r="955" ht="15.75" customHeight="1">
      <c r="D955" s="87"/>
      <c r="J955" s="102"/>
    </row>
    <row r="956" ht="15.75" customHeight="1">
      <c r="D956" s="87"/>
      <c r="J956" s="102"/>
    </row>
    <row r="957" ht="15.75" customHeight="1">
      <c r="D957" s="87"/>
      <c r="J957" s="102"/>
    </row>
    <row r="958" ht="15.75" customHeight="1">
      <c r="D958" s="87"/>
      <c r="J958" s="102"/>
    </row>
    <row r="959" ht="15.75" customHeight="1">
      <c r="D959" s="87"/>
      <c r="J959" s="102"/>
    </row>
    <row r="960" ht="15.75" customHeight="1">
      <c r="D960" s="87"/>
      <c r="J960" s="102"/>
    </row>
    <row r="961" ht="15.75" customHeight="1">
      <c r="D961" s="87"/>
      <c r="J961" s="102"/>
    </row>
    <row r="962" ht="15.75" customHeight="1">
      <c r="D962" s="87"/>
      <c r="J962" s="102"/>
    </row>
    <row r="963" ht="15.75" customHeight="1">
      <c r="D963" s="87"/>
      <c r="J963" s="102"/>
    </row>
    <row r="964" ht="15.75" customHeight="1">
      <c r="D964" s="87"/>
      <c r="J964" s="102"/>
    </row>
    <row r="965" ht="15.75" customHeight="1">
      <c r="D965" s="87"/>
      <c r="J965" s="102"/>
    </row>
    <row r="966" ht="15.75" customHeight="1">
      <c r="D966" s="87"/>
      <c r="J966" s="102"/>
    </row>
    <row r="967" ht="15.75" customHeight="1">
      <c r="D967" s="87"/>
      <c r="J967" s="102"/>
    </row>
    <row r="968" ht="15.75" customHeight="1">
      <c r="D968" s="87"/>
      <c r="J968" s="102"/>
    </row>
    <row r="969" ht="15.75" customHeight="1">
      <c r="D969" s="87"/>
      <c r="J969" s="102"/>
    </row>
    <row r="970" ht="15.75" customHeight="1">
      <c r="D970" s="87"/>
      <c r="J970" s="102"/>
    </row>
    <row r="971" ht="15.75" customHeight="1">
      <c r="D971" s="87"/>
      <c r="J971" s="102"/>
    </row>
    <row r="972" ht="15.75" customHeight="1">
      <c r="D972" s="87"/>
      <c r="J972" s="102"/>
    </row>
    <row r="973" ht="15.75" customHeight="1">
      <c r="D973" s="87"/>
      <c r="J973" s="102"/>
    </row>
    <row r="974" ht="15.75" customHeight="1">
      <c r="D974" s="87"/>
      <c r="J974" s="102"/>
    </row>
    <row r="975" ht="15.75" customHeight="1">
      <c r="D975" s="87"/>
      <c r="J975" s="102"/>
    </row>
    <row r="976" ht="15.75" customHeight="1">
      <c r="D976" s="87"/>
      <c r="J976" s="102"/>
    </row>
    <row r="977" ht="15.75" customHeight="1">
      <c r="D977" s="87"/>
      <c r="J977" s="102"/>
    </row>
    <row r="978" ht="15.75" customHeight="1">
      <c r="D978" s="87"/>
      <c r="J978" s="102"/>
    </row>
    <row r="979" ht="15.75" customHeight="1">
      <c r="D979" s="87"/>
      <c r="J979" s="102"/>
    </row>
    <row r="980" ht="15.75" customHeight="1">
      <c r="D980" s="87"/>
      <c r="J980" s="102"/>
    </row>
    <row r="981" ht="15.75" customHeight="1">
      <c r="D981" s="87"/>
      <c r="J981" s="102"/>
    </row>
    <row r="982" ht="15.75" customHeight="1">
      <c r="D982" s="87"/>
      <c r="J982" s="102"/>
    </row>
    <row r="983" ht="15.75" customHeight="1">
      <c r="D983" s="87"/>
      <c r="J983" s="102"/>
    </row>
    <row r="984" ht="15.75" customHeight="1">
      <c r="D984" s="87"/>
      <c r="J984" s="102"/>
    </row>
    <row r="985" ht="15.75" customHeight="1">
      <c r="D985" s="87"/>
      <c r="J985" s="102"/>
    </row>
    <row r="986" ht="15.75" customHeight="1">
      <c r="D986" s="87"/>
      <c r="J986" s="102"/>
    </row>
    <row r="987" ht="15.75" customHeight="1">
      <c r="D987" s="87"/>
      <c r="J987" s="102"/>
    </row>
    <row r="988" ht="15.75" customHeight="1">
      <c r="D988" s="87"/>
      <c r="J988" s="102"/>
    </row>
    <row r="989" ht="15.75" customHeight="1">
      <c r="D989" s="87"/>
      <c r="J989" s="102"/>
    </row>
    <row r="990" ht="15.75" customHeight="1">
      <c r="D990" s="87"/>
      <c r="J990" s="102"/>
    </row>
    <row r="991" ht="15.75" customHeight="1">
      <c r="D991" s="87"/>
      <c r="J991" s="102"/>
    </row>
    <row r="992" ht="15.75" customHeight="1">
      <c r="D992" s="87"/>
      <c r="J992" s="102"/>
    </row>
    <row r="993" ht="15.75" customHeight="1">
      <c r="D993" s="87"/>
      <c r="J993" s="102"/>
    </row>
    <row r="994" ht="15.75" customHeight="1">
      <c r="D994" s="87"/>
      <c r="J994" s="102"/>
    </row>
    <row r="995" ht="15.75" customHeight="1">
      <c r="D995" s="103"/>
      <c r="J995" s="102"/>
    </row>
    <row r="996" ht="15.75" customHeight="1">
      <c r="D996" s="104"/>
      <c r="J996" s="102"/>
    </row>
    <row r="997" ht="15.75" customHeight="1">
      <c r="D997" s="104"/>
      <c r="J997" s="102"/>
    </row>
    <row r="998" ht="15.75" customHeight="1">
      <c r="D998" s="104"/>
      <c r="J998" s="102"/>
    </row>
    <row r="999" ht="15.75" customHeight="1">
      <c r="D999" s="104"/>
      <c r="J999" s="102"/>
    </row>
    <row r="1000" ht="15.75" customHeight="1">
      <c r="D1000" s="104"/>
      <c r="J1000" s="102"/>
    </row>
    <row r="1001" ht="15.75" customHeight="1">
      <c r="D1001" s="104"/>
      <c r="J1001" s="102"/>
    </row>
    <row r="1002" ht="15.75" customHeight="1">
      <c r="D1002" s="104"/>
      <c r="J1002" s="102"/>
    </row>
    <row r="1003" ht="15.75" customHeight="1">
      <c r="D1003" s="104"/>
      <c r="J1003" s="102"/>
    </row>
    <row r="1004" ht="15.75" customHeight="1">
      <c r="D1004" s="104"/>
      <c r="J1004" s="102"/>
    </row>
    <row r="1005" ht="15.75" customHeight="1">
      <c r="D1005" s="104"/>
      <c r="J1005" s="102"/>
    </row>
    <row r="1006" ht="15.75" customHeight="1">
      <c r="D1006" s="104"/>
      <c r="J1006" s="102"/>
    </row>
    <row r="1007" ht="15.75" customHeight="1">
      <c r="D1007" s="104"/>
      <c r="J1007" s="102"/>
    </row>
    <row r="1008" ht="15.75" customHeight="1">
      <c r="D1008" s="104"/>
      <c r="J1008" s="102"/>
    </row>
    <row r="1009" ht="15.75" customHeight="1">
      <c r="D1009" s="104"/>
      <c r="J1009" s="102"/>
    </row>
    <row r="1010" ht="15.75" customHeight="1">
      <c r="D1010" s="104"/>
      <c r="J1010" s="102"/>
    </row>
    <row r="1011" ht="15.75" customHeight="1">
      <c r="D1011" s="104"/>
      <c r="J1011" s="102"/>
    </row>
    <row r="1012" ht="15.75" customHeight="1">
      <c r="D1012" s="104"/>
      <c r="J1012" s="102"/>
    </row>
    <row r="1013" ht="15.75" customHeight="1">
      <c r="D1013" s="104"/>
      <c r="J1013" s="102"/>
    </row>
    <row r="1014" ht="15.75" customHeight="1">
      <c r="D1014" s="104"/>
      <c r="J1014" s="102"/>
    </row>
    <row r="1015" ht="15.75" customHeight="1">
      <c r="D1015" s="104"/>
      <c r="J1015" s="102"/>
    </row>
    <row r="1016" ht="15.75" customHeight="1">
      <c r="D1016" s="104"/>
      <c r="J1016" s="102"/>
    </row>
    <row r="1017" ht="15.75" customHeight="1">
      <c r="D1017" s="104"/>
      <c r="J1017" s="102"/>
    </row>
    <row r="1018" ht="15.75" customHeight="1">
      <c r="D1018" s="104"/>
      <c r="J1018" s="102"/>
    </row>
    <row r="1019" ht="15.75" customHeight="1">
      <c r="D1019" s="104"/>
      <c r="J1019" s="102"/>
    </row>
    <row r="1020" ht="15.75" customHeight="1">
      <c r="D1020" s="104"/>
      <c r="J1020" s="102"/>
    </row>
    <row r="1021" ht="15.75" customHeight="1">
      <c r="D1021" s="104"/>
      <c r="J1021" s="102"/>
    </row>
    <row r="1022" ht="15.75" customHeight="1">
      <c r="D1022" s="104"/>
      <c r="J1022" s="102"/>
    </row>
    <row r="1023" ht="15.75" customHeight="1">
      <c r="D1023" s="104"/>
      <c r="J1023" s="102"/>
    </row>
    <row r="1024" ht="15.75" customHeight="1">
      <c r="D1024" s="104"/>
      <c r="J1024" s="102"/>
    </row>
  </sheetData>
  <autoFilter ref="$P$3:$U$217"/>
  <mergeCells count="20">
    <mergeCell ref="EG1:EG3"/>
    <mergeCell ref="EH1:EH3"/>
    <mergeCell ref="D2:G2"/>
    <mergeCell ref="H2:O2"/>
    <mergeCell ref="P2:U2"/>
    <mergeCell ref="W2:AK2"/>
    <mergeCell ref="AL2:BC2"/>
    <mergeCell ref="BK2:BX2"/>
    <mergeCell ref="BY2:CJ2"/>
    <mergeCell ref="CO2:DU2"/>
    <mergeCell ref="V1:V3"/>
    <mergeCell ref="P3:U3"/>
    <mergeCell ref="A1:A3"/>
    <mergeCell ref="B1:B3"/>
    <mergeCell ref="C1:C3"/>
    <mergeCell ref="BZ1:CA1"/>
    <mergeCell ref="CR1:CS1"/>
    <mergeCell ref="EF1:EF3"/>
    <mergeCell ref="DV2:EE2"/>
    <mergeCell ref="CL3:CM3"/>
  </mergeCells>
  <dataValidations>
    <dataValidation type="list" allowBlank="1" showErrorMessage="1" sqref="EC4:EC6 EC8:EC13 EC15 EC17 EC20:EC21 EC24:EC28 EC36:EC37 EC41 EC43 EC48:EC51 EC55 EC60 EC65 EC72:EC73 EC78 EC82 EC87 ED90 EC95 EC101:EC102 EC106 EC110 EC124 EC127 EC150:EC153 EC161:EC162 EC167 EC170 EC172:EC173 EC179 EC181:EC188 EC191 EC195 EC199:EC200 EC205 EC207 EC209">
      <formula1>"SI,NO,No se aplica,No se/prefiero no contestar"</formula1>
    </dataValidation>
    <dataValidation type="list" allowBlank="1" showErrorMessage="1" sqref="P5 X5 P9:P10 X9:X10 P12 X12 P14:P21 X14:X21 AL4:AV26 AL27:AN27 AP27:AV27 X24:X35 AX45 AX47 AX52:AX54 P23:P71 X37:X71 P74 X74 P79:P81 X79:X81 P83:P84 X83:X84 AX84:AX86 P87 X87 P89 X89 AX88:AX91 AX96:AX101 AL28:AV104 AL105:AX105 P91:P107 AL106:AV108 X91:X109 AL109:AU109 X111:X115 X117:X123 X126:X127 AL110:AV133 AL134:AU134 AL135:AV139 AX145 X129:X147 AL141:AV152 P109:P164 X149:X164 P166 X166 P168:P171 X168:X171 X173:X179 AX181 P173:P185 X182:X185 AL154:AV186 AX188:AX189 AX191:AX193 AX202 P187:P207 X187:X207 AX207 K4:K209 AX209 P209:P211 X209:X211 P213 X213 K211:K217 P215:P217 X215:X217 AL188:AV217">
      <formula1>"SI,NO"</formula1>
    </dataValidation>
    <dataValidation type="list" allowBlank="1" showErrorMessage="1" sqref="E4:E217">
      <formula1>"F,M,O"</formula1>
    </dataValidation>
    <dataValidation type="list" allowBlank="1" showErrorMessage="1" sqref="H4:H217">
      <formula1>"SI,NO,NS/NC"</formula1>
    </dataValidation>
    <dataValidation type="list" allowBlank="1" showErrorMessage="1" sqref="DY4:DY6 DY8:DY75 DY77:DY139 DY141:DY193 DY195:DY217">
      <formula1>"1,2,3 o más,Prefiero no contestar"</formula1>
    </dataValidation>
    <dataValidation type="list" allowBlank="1" showErrorMessage="1" sqref="EA4:EA6 EA8:EA75 EA77:EA139 EA141:EA193 EA195:EA217">
      <formula1>"Sin estudios,Primario incompleto,Primario completo,Secundario incompleto,Secundario completo,Terciario incompleto,Terciario completo,Universitario incompleto,Universitario completo,Posgrado,No se/prefiero no contestar"</formula1>
    </dataValidation>
    <dataValidation type="list" allowBlank="1" showErrorMessage="1" sqref="BB4:BB96 BB98:BB139 BB141:BB152 BB154:BB194 BB196:BB217">
      <formula1>"Si,todos los días,Si,los fines de semana,No"</formula1>
    </dataValidation>
    <dataValidation type="list" allowBlank="1" showErrorMessage="1" sqref="S16 S27 S39 S43:S44 S46 S51 S55:S56 S66 S92:S93 U92:U93 S99 S106 U106 S121 U121 S126 U126 S128:S129 U128:U129 S143 U143">
      <formula1>"NO,SI"</formula1>
    </dataValidation>
    <dataValidation type="list" allowBlank="1" showErrorMessage="1" sqref="DZ4:DZ6 ED4:ED6 ED8:ED11 ED18 ED20:ED24 ED27:ED30 ED34:ED49 ED51:ED55 ED57:ED65 ED67:ED70 ED72 DZ8:DZ75 ED77:ED87 ED89 ED91 ED94:ED101 ED103 ED108 ED110:ED111 ED115 ED117 ED119:ED120 ED122:ED127 ED129 ED132 ED137:ED138 DZ77:DZ139 ED141:ED163 ED166:ED169 ED171:ED177 ED179:ED188 ED190 DZ141:DZ193 ED192:ED193 ED195:ED207 ED209:ED211 DZ195:DZ217 ED213:ED217">
      <formula1>"SI,NO,No se/prefiero no contestar"</formula1>
    </dataValidation>
    <dataValidation type="list" allowBlank="1" showErrorMessage="1" sqref="EB4:EB6 EB8:EB14 EB16:EB75 EB77:EB117 EC118 EB119:EB139 EB141:EB193 EB195:EB217">
      <formula1>"Trabajando tiempo completo,Trabajando medio tiempo,Desocupado y buscó trabajo en últimos 2 meses,buscó trabajo en últimos 2 meses,Desocupado y no buscó trabajo en últimos 2 meses,no buscó trabajo en últimos 2 meses,Jubilado,Pensionado,Estudiando,Haciendo "&amp;"tareas del hogar,Otro,No se/prefiero no contestar,Licencia,Cuidando familiar enfermo,Reposo por enfermedad"</formula1>
    </dataValidation>
    <dataValidation type="list" allowBlank="1" showErrorMessage="1" sqref="EE4:EE6 EE8:EE75 EE77:EE99 EE101:EE139 EE141:EE193 EE195:EE217">
      <formula1>"Asalariado formal,empleador,Actividad económica familiar sin remuneracion fija,Asalariado ni efectivo ni contratado (""en negro""),Servicio doméstico,No se aplica,No se/prefiero no contestar"</formula1>
    </dataValidation>
    <dataValidation type="list" allowBlank="1" showErrorMessage="1" sqref="AX4:AX44 AX46 AX48:AX51 AX55:AX79 AX81:AX83 AX87 AX92:AX95 AX102:AX104 AX106:AX139 AX141:AX144 AX146:AX152 AX154:AX180 AX182:AX186 AX190 AX194 AX196:AX201 AX203:AX206 AX208 AX210:AX217">
      <formula1>"SI,NO,EX FUMADOR"</formula1>
    </dataValidation>
    <dataValidation type="list" allowBlank="1" showErrorMessage="1" sqref="W5 W9:W10 W12 W14:W71 W74 W79:W81 W83:W84 W87 W89 W91:W164 W166 W168:W171 W173:W176 W178:W179 W182:W185 W187:W201 W203:W204 W206:W207 W209:W211 W213 W215 W217">
      <formula1>"Si,completamente,Si,parcialmente,No mucho,No,para nada"</formula1>
    </dataValidation>
    <dataValidation type="list" allowBlank="1" showErrorMessage="1" sqref="N5 N14:N18 N21:N24 N26:N30 N32:N42 N44:N55 N57:N68 N71 N74 N79:N81 N83:N84 N87 N89 N91:N99 N101:N129 N131:N139 N141:N162 N164 N166 N168:N171 N173:N175 N177:N179 N182:N185 N189:N196 N199:N203 N205:N207 N210:N211 N213 N215:N217">
      <formula1>"SI,0,1,2,3,4,5,48 HS ANTES"</formula1>
    </dataValidation>
    <dataValidation type="list" allowBlank="1" showErrorMessage="1" sqref="DX4:DX6 DX8:DX75 DX77:DX139 DX141:DX217">
      <formula1>"PROPIO,ALQUILADO,PRESTADO,OTROS,NO SE / PREFIERO NO CONTESTAR"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3" max="3" width="13.5"/>
    <col customWidth="1" min="4" max="4" width="13.25"/>
    <col customWidth="1" min="5" max="5" width="16.13"/>
    <col customWidth="1" min="9" max="9" width="15.0"/>
    <col customWidth="1" min="10" max="10" width="16.13"/>
    <col customWidth="1" min="11" max="11" width="17.25"/>
  </cols>
  <sheetData>
    <row r="1" ht="15.75" customHeight="1">
      <c r="A1" s="105" t="s">
        <v>683</v>
      </c>
      <c r="B1" s="105"/>
      <c r="C1" s="106" t="s">
        <v>684</v>
      </c>
      <c r="D1" s="107" t="s">
        <v>684</v>
      </c>
      <c r="E1" s="108" t="s">
        <v>684</v>
      </c>
      <c r="F1" s="106" t="s">
        <v>685</v>
      </c>
      <c r="G1" s="107" t="s">
        <v>685</v>
      </c>
      <c r="H1" s="108" t="s">
        <v>685</v>
      </c>
      <c r="I1" s="106" t="s">
        <v>686</v>
      </c>
      <c r="J1" s="109" t="s">
        <v>686</v>
      </c>
      <c r="K1" s="108" t="s">
        <v>686</v>
      </c>
      <c r="L1" s="106"/>
      <c r="M1" s="107" t="s">
        <v>687</v>
      </c>
      <c r="N1" s="108"/>
      <c r="O1" s="106" t="s">
        <v>688</v>
      </c>
      <c r="P1" s="107" t="s">
        <v>688</v>
      </c>
      <c r="Q1" s="108" t="s">
        <v>688</v>
      </c>
      <c r="R1" s="106" t="s">
        <v>689</v>
      </c>
      <c r="S1" s="107" t="s">
        <v>689</v>
      </c>
      <c r="T1" s="108" t="s">
        <v>689</v>
      </c>
      <c r="U1" s="106" t="s">
        <v>690</v>
      </c>
      <c r="V1" s="107" t="s">
        <v>690</v>
      </c>
      <c r="W1" s="108" t="s">
        <v>690</v>
      </c>
      <c r="X1" s="106" t="s">
        <v>690</v>
      </c>
      <c r="Y1" s="107" t="s">
        <v>691</v>
      </c>
      <c r="Z1" s="108" t="s">
        <v>690</v>
      </c>
      <c r="AA1" s="106" t="s">
        <v>692</v>
      </c>
      <c r="AB1" s="110" t="s">
        <v>693</v>
      </c>
      <c r="AC1" s="108"/>
      <c r="AD1" s="110" t="s">
        <v>694</v>
      </c>
      <c r="AE1" s="27"/>
      <c r="AF1" s="27"/>
      <c r="AG1" s="27"/>
      <c r="AH1" s="111" t="s">
        <v>695</v>
      </c>
      <c r="AI1" s="14"/>
      <c r="AJ1" s="111" t="s">
        <v>696</v>
      </c>
      <c r="AK1" s="14"/>
    </row>
    <row r="2" ht="15.75" customHeight="1">
      <c r="A2" s="112"/>
      <c r="B2" s="113"/>
      <c r="C2" s="114" t="s">
        <v>697</v>
      </c>
      <c r="D2" s="115" t="s">
        <v>698</v>
      </c>
      <c r="E2" s="116" t="s">
        <v>699</v>
      </c>
      <c r="F2" s="115" t="s">
        <v>697</v>
      </c>
      <c r="G2" s="115" t="s">
        <v>698</v>
      </c>
      <c r="H2" s="116" t="s">
        <v>699</v>
      </c>
      <c r="I2" s="115" t="s">
        <v>700</v>
      </c>
      <c r="J2" s="113" t="s">
        <v>701</v>
      </c>
      <c r="K2" s="116" t="s">
        <v>699</v>
      </c>
      <c r="L2" s="115" t="s">
        <v>700</v>
      </c>
      <c r="M2" s="113" t="s">
        <v>701</v>
      </c>
      <c r="N2" s="115" t="s">
        <v>699</v>
      </c>
      <c r="O2" s="115" t="s">
        <v>697</v>
      </c>
      <c r="P2" s="115" t="s">
        <v>698</v>
      </c>
      <c r="Q2" s="115" t="s">
        <v>699</v>
      </c>
      <c r="R2" s="115" t="s">
        <v>697</v>
      </c>
      <c r="S2" s="115" t="s">
        <v>698</v>
      </c>
      <c r="T2" s="115" t="s">
        <v>699</v>
      </c>
      <c r="U2" s="115" t="s">
        <v>697</v>
      </c>
      <c r="V2" s="115" t="s">
        <v>698</v>
      </c>
      <c r="W2" s="115" t="s">
        <v>699</v>
      </c>
      <c r="X2" s="115" t="s">
        <v>697</v>
      </c>
      <c r="Y2" s="115" t="s">
        <v>698</v>
      </c>
      <c r="Z2" s="115" t="s">
        <v>699</v>
      </c>
      <c r="AA2" s="115" t="s">
        <v>697</v>
      </c>
      <c r="AB2" s="115" t="s">
        <v>698</v>
      </c>
      <c r="AC2" s="116" t="s">
        <v>699</v>
      </c>
      <c r="AD2" s="110" t="s">
        <v>193</v>
      </c>
      <c r="AE2" s="14"/>
      <c r="AF2" s="110" t="s">
        <v>702</v>
      </c>
      <c r="AG2" s="14"/>
      <c r="AH2" s="117" t="s">
        <v>697</v>
      </c>
      <c r="AI2" s="117" t="s">
        <v>699</v>
      </c>
      <c r="AJ2" s="117" t="s">
        <v>697</v>
      </c>
      <c r="AK2" s="117" t="s">
        <v>699</v>
      </c>
    </row>
    <row r="3" ht="15.75" customHeight="1">
      <c r="A3" s="48" t="s">
        <v>128</v>
      </c>
      <c r="B3" s="54" t="s">
        <v>129</v>
      </c>
      <c r="C3" s="118">
        <v>17.0</v>
      </c>
      <c r="D3" s="119">
        <v>95.0</v>
      </c>
      <c r="E3" s="120" t="s">
        <v>703</v>
      </c>
      <c r="F3" s="119">
        <v>61.0</v>
      </c>
      <c r="G3" s="119">
        <v>45.0</v>
      </c>
      <c r="H3" s="120" t="s">
        <v>703</v>
      </c>
      <c r="I3" s="119">
        <v>11.0</v>
      </c>
      <c r="J3" s="119">
        <v>95.0</v>
      </c>
      <c r="K3" s="120" t="s">
        <v>703</v>
      </c>
      <c r="L3" s="119">
        <v>9.0</v>
      </c>
      <c r="M3" s="119">
        <v>83.0</v>
      </c>
      <c r="N3" s="54" t="s">
        <v>703</v>
      </c>
      <c r="O3" s="119">
        <v>119.0</v>
      </c>
      <c r="P3" s="119">
        <v>90.0</v>
      </c>
      <c r="Q3" s="54" t="s">
        <v>703</v>
      </c>
      <c r="R3" s="119">
        <v>76.0</v>
      </c>
      <c r="S3" s="119">
        <v>60.0</v>
      </c>
      <c r="T3" s="54" t="s">
        <v>703</v>
      </c>
      <c r="U3" s="119">
        <v>57.0</v>
      </c>
      <c r="V3" s="119">
        <v>90.0</v>
      </c>
      <c r="W3" s="54" t="s">
        <v>703</v>
      </c>
      <c r="X3" s="119">
        <v>11.0</v>
      </c>
      <c r="Y3" s="119">
        <v>90.0</v>
      </c>
      <c r="Z3" s="121" t="s">
        <v>703</v>
      </c>
      <c r="AA3" s="119">
        <v>30.0</v>
      </c>
      <c r="AB3" s="119">
        <v>1.4</v>
      </c>
      <c r="AC3" s="120" t="s">
        <v>703</v>
      </c>
      <c r="AD3" s="119">
        <v>1.0</v>
      </c>
      <c r="AE3" s="120" t="s">
        <v>704</v>
      </c>
      <c r="AF3" s="119">
        <v>4.0</v>
      </c>
      <c r="AG3" s="120" t="s">
        <v>704</v>
      </c>
      <c r="AH3" s="122" t="s">
        <v>133</v>
      </c>
      <c r="AI3" s="123" t="s">
        <v>133</v>
      </c>
      <c r="AJ3" s="122" t="s">
        <v>133</v>
      </c>
      <c r="AK3" s="123" t="s">
        <v>133</v>
      </c>
    </row>
    <row r="4" ht="15.75" customHeight="1">
      <c r="A4" s="48" t="s">
        <v>142</v>
      </c>
      <c r="B4" s="54" t="s">
        <v>129</v>
      </c>
      <c r="C4" s="118">
        <v>47.0</v>
      </c>
      <c r="D4" s="119">
        <v>15.0</v>
      </c>
      <c r="E4" s="120" t="s">
        <v>703</v>
      </c>
      <c r="F4" s="119">
        <v>122.0</v>
      </c>
      <c r="G4" s="119">
        <v>10.0</v>
      </c>
      <c r="H4" s="120" t="s">
        <v>703</v>
      </c>
      <c r="I4" s="119">
        <v>6.0</v>
      </c>
      <c r="J4" s="119">
        <v>17.0</v>
      </c>
      <c r="K4" s="120" t="s">
        <v>703</v>
      </c>
      <c r="L4" s="119">
        <v>4.0</v>
      </c>
      <c r="M4" s="119">
        <v>12.0</v>
      </c>
      <c r="N4" s="54" t="s">
        <v>703</v>
      </c>
      <c r="O4" s="119">
        <v>73.0</v>
      </c>
      <c r="P4" s="54" t="s">
        <v>705</v>
      </c>
      <c r="Q4" s="54" t="s">
        <v>706</v>
      </c>
      <c r="R4" s="119">
        <v>57.0</v>
      </c>
      <c r="S4" s="119">
        <v>18.0</v>
      </c>
      <c r="T4" s="54" t="s">
        <v>703</v>
      </c>
      <c r="U4" s="119">
        <v>35.0</v>
      </c>
      <c r="V4" s="119">
        <v>25.0</v>
      </c>
      <c r="W4" s="54" t="s">
        <v>703</v>
      </c>
      <c r="X4" s="119">
        <v>3.0</v>
      </c>
      <c r="Y4" s="119">
        <v>60.0</v>
      </c>
      <c r="Z4" s="54" t="s">
        <v>703</v>
      </c>
      <c r="AA4" s="119">
        <v>27.0</v>
      </c>
      <c r="AB4" s="119">
        <v>0.5</v>
      </c>
      <c r="AC4" s="120" t="s">
        <v>703</v>
      </c>
      <c r="AD4" s="119">
        <v>7.0</v>
      </c>
      <c r="AE4" s="120" t="s">
        <v>704</v>
      </c>
      <c r="AF4" s="119">
        <v>1.0</v>
      </c>
      <c r="AG4" s="120" t="s">
        <v>704</v>
      </c>
      <c r="AH4" s="122" t="s">
        <v>133</v>
      </c>
      <c r="AI4" s="123" t="s">
        <v>133</v>
      </c>
      <c r="AJ4" s="122" t="s">
        <v>133</v>
      </c>
      <c r="AK4" s="123" t="s">
        <v>133</v>
      </c>
    </row>
    <row r="5" ht="15.75" customHeight="1">
      <c r="A5" s="48" t="s">
        <v>148</v>
      </c>
      <c r="B5" s="54" t="s">
        <v>129</v>
      </c>
      <c r="C5" s="118">
        <v>33.0</v>
      </c>
      <c r="D5" s="119">
        <v>75.0</v>
      </c>
      <c r="E5" s="120" t="s">
        <v>703</v>
      </c>
      <c r="F5" s="119">
        <v>69.0</v>
      </c>
      <c r="G5" s="119">
        <v>95.0</v>
      </c>
      <c r="H5" s="120" t="s">
        <v>703</v>
      </c>
      <c r="I5" s="119">
        <v>6.0</v>
      </c>
      <c r="J5" s="119">
        <v>17.0</v>
      </c>
      <c r="K5" s="120" t="s">
        <v>703</v>
      </c>
      <c r="L5" s="119">
        <v>6.0</v>
      </c>
      <c r="M5" s="119">
        <v>51.0</v>
      </c>
      <c r="N5" s="54" t="s">
        <v>703</v>
      </c>
      <c r="O5" s="119">
        <v>98.0</v>
      </c>
      <c r="P5" s="119">
        <v>70.0</v>
      </c>
      <c r="Q5" s="54" t="s">
        <v>703</v>
      </c>
      <c r="R5" s="119">
        <v>59.0</v>
      </c>
      <c r="S5" s="119">
        <v>45.0</v>
      </c>
      <c r="T5" s="54" t="s">
        <v>703</v>
      </c>
      <c r="U5" s="119">
        <v>36.0</v>
      </c>
      <c r="V5" s="119">
        <v>60.0</v>
      </c>
      <c r="W5" s="54" t="s">
        <v>703</v>
      </c>
      <c r="X5" s="119">
        <v>0.0</v>
      </c>
      <c r="Y5" s="119">
        <v>60.0</v>
      </c>
      <c r="Z5" s="54" t="s">
        <v>703</v>
      </c>
      <c r="AA5" s="119">
        <v>25.0</v>
      </c>
      <c r="AB5" s="119">
        <v>1.0</v>
      </c>
      <c r="AC5" s="120" t="s">
        <v>703</v>
      </c>
      <c r="AD5" s="122" t="s">
        <v>133</v>
      </c>
      <c r="AE5" s="123" t="s">
        <v>133</v>
      </c>
      <c r="AF5" s="122" t="s">
        <v>133</v>
      </c>
      <c r="AG5" s="123" t="s">
        <v>133</v>
      </c>
      <c r="AH5" s="122" t="s">
        <v>133</v>
      </c>
      <c r="AI5" s="123" t="s">
        <v>133</v>
      </c>
      <c r="AJ5" s="122" t="s">
        <v>133</v>
      </c>
      <c r="AK5" s="123" t="s">
        <v>133</v>
      </c>
    </row>
    <row r="6" ht="15.75" customHeight="1">
      <c r="A6" s="48" t="s">
        <v>152</v>
      </c>
      <c r="B6" s="54" t="s">
        <v>129</v>
      </c>
      <c r="C6" s="118">
        <v>33.0</v>
      </c>
      <c r="D6" s="119">
        <v>50.0</v>
      </c>
      <c r="E6" s="120" t="s">
        <v>703</v>
      </c>
      <c r="F6" s="119">
        <v>67.0</v>
      </c>
      <c r="G6" s="119">
        <v>75.0</v>
      </c>
      <c r="H6" s="120" t="s">
        <v>703</v>
      </c>
      <c r="I6" s="119">
        <v>11.0</v>
      </c>
      <c r="J6" s="119">
        <v>94.0</v>
      </c>
      <c r="K6" s="120" t="s">
        <v>703</v>
      </c>
      <c r="L6" s="119">
        <v>10.0</v>
      </c>
      <c r="M6" s="119">
        <v>97.0</v>
      </c>
      <c r="N6" s="54" t="s">
        <v>703</v>
      </c>
      <c r="O6" s="119">
        <v>101.0</v>
      </c>
      <c r="P6" s="119">
        <v>65.0</v>
      </c>
      <c r="Q6" s="54" t="s">
        <v>703</v>
      </c>
      <c r="R6" s="119">
        <v>64.0</v>
      </c>
      <c r="S6" s="119">
        <v>40.0</v>
      </c>
      <c r="T6" s="54" t="s">
        <v>703</v>
      </c>
      <c r="U6" s="119">
        <v>44.0</v>
      </c>
      <c r="V6" s="119">
        <v>70.0</v>
      </c>
      <c r="W6" s="54" t="s">
        <v>703</v>
      </c>
      <c r="X6" s="119">
        <v>5.0</v>
      </c>
      <c r="Y6" s="119">
        <v>80.0</v>
      </c>
      <c r="Z6" s="54" t="s">
        <v>703</v>
      </c>
      <c r="AA6" s="119">
        <v>25.0</v>
      </c>
      <c r="AB6" s="54"/>
      <c r="AC6" s="120" t="s">
        <v>703</v>
      </c>
      <c r="AD6" s="122" t="s">
        <v>133</v>
      </c>
      <c r="AE6" s="123" t="s">
        <v>133</v>
      </c>
      <c r="AF6" s="122" t="s">
        <v>133</v>
      </c>
      <c r="AG6" s="123" t="s">
        <v>133</v>
      </c>
      <c r="AH6" s="124">
        <v>9.0</v>
      </c>
      <c r="AI6" s="125" t="s">
        <v>707</v>
      </c>
      <c r="AJ6" s="124">
        <v>7.0</v>
      </c>
      <c r="AK6" s="125" t="s">
        <v>708</v>
      </c>
    </row>
    <row r="7" ht="15.75" customHeight="1">
      <c r="A7" s="48" t="s">
        <v>154</v>
      </c>
      <c r="B7" s="54" t="s">
        <v>129</v>
      </c>
      <c r="C7" s="118">
        <v>59.0</v>
      </c>
      <c r="D7" s="119">
        <v>6.0</v>
      </c>
      <c r="E7" s="120" t="s">
        <v>709</v>
      </c>
      <c r="F7" s="119">
        <v>86.0</v>
      </c>
      <c r="G7" s="119">
        <v>45.0</v>
      </c>
      <c r="H7" s="120" t="s">
        <v>703</v>
      </c>
      <c r="I7" s="119">
        <v>8.0</v>
      </c>
      <c r="J7" s="119">
        <v>51.0</v>
      </c>
      <c r="K7" s="120" t="s">
        <v>703</v>
      </c>
      <c r="L7" s="119">
        <v>2.0</v>
      </c>
      <c r="M7" s="119">
        <v>25.0</v>
      </c>
      <c r="N7" s="54" t="s">
        <v>706</v>
      </c>
      <c r="O7" s="119">
        <v>101.0</v>
      </c>
      <c r="P7" s="119">
        <v>60.0</v>
      </c>
      <c r="Q7" s="54" t="s">
        <v>703</v>
      </c>
      <c r="R7" s="119">
        <v>75.0</v>
      </c>
      <c r="S7" s="119">
        <v>70.0</v>
      </c>
      <c r="T7" s="54" t="s">
        <v>703</v>
      </c>
      <c r="U7" s="119">
        <v>37.0</v>
      </c>
      <c r="V7" s="119">
        <v>40.0</v>
      </c>
      <c r="W7" s="54" t="s">
        <v>703</v>
      </c>
      <c r="X7" s="119">
        <v>-6.0</v>
      </c>
      <c r="Y7" s="119">
        <v>20.0</v>
      </c>
      <c r="Z7" s="54" t="s">
        <v>703</v>
      </c>
      <c r="AA7" s="119">
        <v>24.0</v>
      </c>
      <c r="AB7" s="119">
        <v>-0.4</v>
      </c>
      <c r="AC7" s="120" t="s">
        <v>703</v>
      </c>
      <c r="AD7" s="122" t="s">
        <v>133</v>
      </c>
      <c r="AE7" s="123" t="s">
        <v>133</v>
      </c>
      <c r="AF7" s="122" t="s">
        <v>133</v>
      </c>
      <c r="AG7" s="123" t="s">
        <v>133</v>
      </c>
      <c r="AH7" s="122" t="s">
        <v>133</v>
      </c>
      <c r="AI7" s="123" t="s">
        <v>133</v>
      </c>
      <c r="AJ7" s="122" t="s">
        <v>133</v>
      </c>
      <c r="AK7" s="123" t="s">
        <v>133</v>
      </c>
    </row>
    <row r="8" ht="15.75" customHeight="1">
      <c r="A8" s="48" t="s">
        <v>159</v>
      </c>
      <c r="B8" s="54" t="s">
        <v>129</v>
      </c>
      <c r="C8" s="118">
        <v>26.0</v>
      </c>
      <c r="D8" s="119">
        <v>60.0</v>
      </c>
      <c r="E8" s="120" t="s">
        <v>703</v>
      </c>
      <c r="F8" s="119">
        <v>86.0</v>
      </c>
      <c r="G8" s="119">
        <v>25.0</v>
      </c>
      <c r="H8" s="120" t="s">
        <v>703</v>
      </c>
      <c r="I8" s="119">
        <v>6.0</v>
      </c>
      <c r="J8" s="119">
        <v>16.0</v>
      </c>
      <c r="K8" s="120" t="s">
        <v>703</v>
      </c>
      <c r="L8" s="119">
        <v>4.0</v>
      </c>
      <c r="M8" s="119">
        <v>9.0</v>
      </c>
      <c r="N8" s="54" t="s">
        <v>703</v>
      </c>
      <c r="O8" s="119">
        <v>81.0</v>
      </c>
      <c r="P8" s="119">
        <v>20.0</v>
      </c>
      <c r="Q8" s="54" t="s">
        <v>703</v>
      </c>
      <c r="R8" s="119">
        <v>61.0</v>
      </c>
      <c r="S8" s="119">
        <v>40.0</v>
      </c>
      <c r="T8" s="54" t="s">
        <v>703</v>
      </c>
      <c r="U8" s="119">
        <v>26.0</v>
      </c>
      <c r="V8" s="119">
        <v>10.0</v>
      </c>
      <c r="W8" s="54" t="s">
        <v>703</v>
      </c>
      <c r="X8" s="119">
        <v>-8.0</v>
      </c>
      <c r="Y8" s="119">
        <v>15.0</v>
      </c>
      <c r="Z8" s="54" t="s">
        <v>703</v>
      </c>
      <c r="AA8" s="119">
        <v>22.0</v>
      </c>
      <c r="AB8" s="119">
        <v>-0.8</v>
      </c>
      <c r="AC8" s="120" t="s">
        <v>703</v>
      </c>
      <c r="AD8" s="122" t="s">
        <v>133</v>
      </c>
      <c r="AE8" s="123" t="s">
        <v>133</v>
      </c>
      <c r="AF8" s="122" t="s">
        <v>133</v>
      </c>
      <c r="AG8" s="123" t="s">
        <v>133</v>
      </c>
      <c r="AH8" s="122" t="s">
        <v>133</v>
      </c>
      <c r="AI8" s="123" t="s">
        <v>133</v>
      </c>
      <c r="AJ8" s="122" t="s">
        <v>133</v>
      </c>
      <c r="AK8" s="123" t="s">
        <v>133</v>
      </c>
    </row>
    <row r="9" ht="15.75" customHeight="1">
      <c r="A9" s="48" t="s">
        <v>163</v>
      </c>
      <c r="B9" s="54" t="s">
        <v>129</v>
      </c>
      <c r="C9" s="118">
        <v>39.0</v>
      </c>
      <c r="D9" s="119">
        <v>25.0</v>
      </c>
      <c r="E9" s="120" t="s">
        <v>703</v>
      </c>
      <c r="F9" s="119">
        <v>52.0</v>
      </c>
      <c r="G9" s="119">
        <v>65.0</v>
      </c>
      <c r="H9" s="120" t="s">
        <v>703</v>
      </c>
      <c r="I9" s="119">
        <v>8.0</v>
      </c>
      <c r="J9" s="119">
        <v>51.0</v>
      </c>
      <c r="K9" s="120" t="s">
        <v>703</v>
      </c>
      <c r="L9" s="119">
        <v>8.0</v>
      </c>
      <c r="M9" s="119">
        <v>81.0</v>
      </c>
      <c r="N9" s="54" t="s">
        <v>703</v>
      </c>
      <c r="O9" s="119">
        <v>79.0</v>
      </c>
      <c r="P9" s="119">
        <v>18.0</v>
      </c>
      <c r="Q9" s="54" t="s">
        <v>703</v>
      </c>
      <c r="R9" s="119">
        <v>73.0</v>
      </c>
      <c r="S9" s="119">
        <v>75.0</v>
      </c>
      <c r="T9" s="54" t="s">
        <v>703</v>
      </c>
      <c r="U9" s="119">
        <v>55.0</v>
      </c>
      <c r="V9" s="119">
        <v>95.0</v>
      </c>
      <c r="W9" s="54" t="s">
        <v>703</v>
      </c>
      <c r="X9" s="119">
        <v>18.0</v>
      </c>
      <c r="Y9" s="119">
        <v>95.0</v>
      </c>
      <c r="Z9" s="54" t="s">
        <v>703</v>
      </c>
      <c r="AA9" s="119">
        <v>29.0</v>
      </c>
      <c r="AB9" s="119">
        <v>1.5</v>
      </c>
      <c r="AC9" s="120" t="s">
        <v>703</v>
      </c>
      <c r="AD9" s="122" t="s">
        <v>133</v>
      </c>
      <c r="AE9" s="123" t="s">
        <v>133</v>
      </c>
      <c r="AF9" s="122" t="s">
        <v>133</v>
      </c>
      <c r="AG9" s="123" t="s">
        <v>133</v>
      </c>
      <c r="AH9" s="124">
        <v>2.0</v>
      </c>
      <c r="AI9" s="125" t="s">
        <v>704</v>
      </c>
      <c r="AJ9" s="124">
        <v>1.0</v>
      </c>
      <c r="AK9" s="125" t="s">
        <v>704</v>
      </c>
    </row>
    <row r="10" ht="15.75" customHeight="1">
      <c r="A10" s="48" t="s">
        <v>164</v>
      </c>
      <c r="B10" s="54" t="s">
        <v>129</v>
      </c>
      <c r="C10" s="118">
        <v>29.0</v>
      </c>
      <c r="D10" s="119">
        <v>50.0</v>
      </c>
      <c r="E10" s="120" t="s">
        <v>703</v>
      </c>
      <c r="F10" s="119">
        <v>64.0</v>
      </c>
      <c r="G10" s="119">
        <v>30.0</v>
      </c>
      <c r="H10" s="120" t="s">
        <v>703</v>
      </c>
      <c r="I10" s="119">
        <v>6.0</v>
      </c>
      <c r="J10" s="119">
        <v>16.0</v>
      </c>
      <c r="K10" s="120" t="s">
        <v>703</v>
      </c>
      <c r="L10" s="119">
        <v>4.0</v>
      </c>
      <c r="M10" s="119">
        <v>9.0</v>
      </c>
      <c r="N10" s="54" t="s">
        <v>709</v>
      </c>
      <c r="O10" s="119">
        <v>89.0</v>
      </c>
      <c r="P10" s="119">
        <v>25.0</v>
      </c>
      <c r="Q10" s="54" t="s">
        <v>703</v>
      </c>
      <c r="R10" s="119">
        <v>80.0</v>
      </c>
      <c r="S10" s="119">
        <v>75.0</v>
      </c>
      <c r="T10" s="54" t="s">
        <v>703</v>
      </c>
      <c r="U10" s="119">
        <v>50.0</v>
      </c>
      <c r="V10" s="119">
        <v>75.0</v>
      </c>
      <c r="W10" s="54" t="s">
        <v>703</v>
      </c>
      <c r="X10" s="119">
        <v>8.0</v>
      </c>
      <c r="Y10" s="119">
        <v>80.0</v>
      </c>
      <c r="Z10" s="54" t="s">
        <v>703</v>
      </c>
      <c r="AA10" s="119">
        <v>28.0</v>
      </c>
      <c r="AB10" s="119">
        <v>0.8</v>
      </c>
      <c r="AC10" s="120" t="s">
        <v>703</v>
      </c>
      <c r="AD10" s="119">
        <v>4.0</v>
      </c>
      <c r="AE10" s="120" t="s">
        <v>704</v>
      </c>
      <c r="AF10" s="119">
        <v>2.0</v>
      </c>
      <c r="AG10" s="120" t="s">
        <v>704</v>
      </c>
      <c r="AH10" s="122" t="s">
        <v>133</v>
      </c>
      <c r="AI10" s="123" t="s">
        <v>133</v>
      </c>
      <c r="AJ10" s="122" t="s">
        <v>133</v>
      </c>
      <c r="AK10" s="123" t="s">
        <v>133</v>
      </c>
    </row>
    <row r="11" ht="15.75" customHeight="1">
      <c r="A11" s="48" t="s">
        <v>168</v>
      </c>
      <c r="B11" s="54" t="s">
        <v>129</v>
      </c>
      <c r="C11" s="118">
        <v>27.0</v>
      </c>
      <c r="D11" s="119">
        <v>55.0</v>
      </c>
      <c r="E11" s="120" t="s">
        <v>703</v>
      </c>
      <c r="F11" s="119">
        <v>70.0</v>
      </c>
      <c r="G11" s="119">
        <v>30.0</v>
      </c>
      <c r="H11" s="120" t="s">
        <v>703</v>
      </c>
      <c r="I11" s="119">
        <v>6.0</v>
      </c>
      <c r="J11" s="119">
        <v>16.0</v>
      </c>
      <c r="K11" s="120" t="s">
        <v>703</v>
      </c>
      <c r="L11" s="119">
        <v>4.0</v>
      </c>
      <c r="M11" s="119">
        <v>9.0</v>
      </c>
      <c r="N11" s="54" t="s">
        <v>709</v>
      </c>
      <c r="O11" s="119">
        <v>90.0</v>
      </c>
      <c r="P11" s="119">
        <v>25.0</v>
      </c>
      <c r="Q11" s="54" t="s">
        <v>703</v>
      </c>
      <c r="R11" s="119">
        <v>55.0</v>
      </c>
      <c r="S11" s="119">
        <v>10.0</v>
      </c>
      <c r="T11" s="54" t="s">
        <v>703</v>
      </c>
      <c r="U11" s="119">
        <v>35.0</v>
      </c>
      <c r="V11" s="119">
        <v>20.0</v>
      </c>
      <c r="W11" s="54" t="s">
        <v>703</v>
      </c>
      <c r="X11" s="119">
        <v>1.0</v>
      </c>
      <c r="Y11" s="119">
        <v>45.0</v>
      </c>
      <c r="Z11" s="54" t="s">
        <v>703</v>
      </c>
      <c r="AA11" s="119">
        <v>26.0</v>
      </c>
      <c r="AB11" s="119">
        <v>0.2</v>
      </c>
      <c r="AC11" s="120" t="s">
        <v>703</v>
      </c>
      <c r="AD11" s="122" t="s">
        <v>133</v>
      </c>
      <c r="AE11" s="123" t="s">
        <v>133</v>
      </c>
      <c r="AF11" s="122" t="s">
        <v>133</v>
      </c>
      <c r="AG11" s="123" t="s">
        <v>133</v>
      </c>
      <c r="AH11" s="122" t="s">
        <v>133</v>
      </c>
      <c r="AI11" s="123" t="s">
        <v>133</v>
      </c>
      <c r="AJ11" s="122" t="s">
        <v>133</v>
      </c>
      <c r="AK11" s="123" t="s">
        <v>133</v>
      </c>
    </row>
    <row r="12" ht="15.75" customHeight="1">
      <c r="A12" s="48" t="s">
        <v>173</v>
      </c>
      <c r="B12" s="54" t="s">
        <v>129</v>
      </c>
      <c r="C12" s="118">
        <v>38.0</v>
      </c>
      <c r="D12" s="119">
        <v>25.0</v>
      </c>
      <c r="E12" s="120" t="s">
        <v>703</v>
      </c>
      <c r="F12" s="119">
        <v>63.0</v>
      </c>
      <c r="G12" s="119">
        <v>40.0</v>
      </c>
      <c r="H12" s="120" t="s">
        <v>703</v>
      </c>
      <c r="I12" s="119">
        <v>4.0</v>
      </c>
      <c r="J12" s="119">
        <v>2.0</v>
      </c>
      <c r="K12" s="120" t="s">
        <v>706</v>
      </c>
      <c r="L12" s="119">
        <v>6.0</v>
      </c>
      <c r="M12" s="119">
        <v>53.0</v>
      </c>
      <c r="N12" s="54" t="s">
        <v>703</v>
      </c>
      <c r="O12" s="119">
        <v>94.0</v>
      </c>
      <c r="P12" s="119">
        <v>30.0</v>
      </c>
      <c r="Q12" s="54" t="s">
        <v>703</v>
      </c>
      <c r="R12" s="119">
        <v>56.0</v>
      </c>
      <c r="S12" s="119">
        <v>9.0</v>
      </c>
      <c r="T12" s="54" t="s">
        <v>709</v>
      </c>
      <c r="U12" s="119">
        <v>23.0</v>
      </c>
      <c r="V12" s="54" t="s">
        <v>705</v>
      </c>
      <c r="W12" s="54" t="s">
        <v>706</v>
      </c>
      <c r="X12" s="119">
        <v>-12.0</v>
      </c>
      <c r="Y12" s="54" t="s">
        <v>705</v>
      </c>
      <c r="Z12" s="54" t="s">
        <v>706</v>
      </c>
      <c r="AA12" s="119">
        <v>28.0</v>
      </c>
      <c r="AB12" s="124">
        <v>0.8</v>
      </c>
      <c r="AC12" s="120" t="s">
        <v>703</v>
      </c>
      <c r="AD12" s="122" t="s">
        <v>133</v>
      </c>
      <c r="AE12" s="123" t="s">
        <v>133</v>
      </c>
      <c r="AF12" s="122" t="s">
        <v>133</v>
      </c>
      <c r="AG12" s="123" t="s">
        <v>133</v>
      </c>
      <c r="AH12" s="122" t="s">
        <v>133</v>
      </c>
      <c r="AI12" s="123" t="s">
        <v>133</v>
      </c>
      <c r="AJ12" s="122" t="s">
        <v>133</v>
      </c>
      <c r="AK12" s="123" t="s">
        <v>133</v>
      </c>
    </row>
    <row r="13" ht="15.75" customHeight="1">
      <c r="A13" s="48" t="s">
        <v>174</v>
      </c>
      <c r="B13" s="54" t="s">
        <v>175</v>
      </c>
      <c r="C13" s="118">
        <v>25.0</v>
      </c>
      <c r="D13" s="119">
        <v>85.0</v>
      </c>
      <c r="E13" s="120" t="s">
        <v>703</v>
      </c>
      <c r="F13" s="119">
        <v>99.0</v>
      </c>
      <c r="G13" s="119">
        <v>30.0</v>
      </c>
      <c r="H13" s="120" t="s">
        <v>703</v>
      </c>
      <c r="I13" s="119">
        <v>8.0</v>
      </c>
      <c r="J13" s="119">
        <v>51.0</v>
      </c>
      <c r="K13" s="120" t="s">
        <v>703</v>
      </c>
      <c r="L13" s="119">
        <v>7.0</v>
      </c>
      <c r="M13" s="119">
        <v>54.0</v>
      </c>
      <c r="N13" s="121" t="s">
        <v>703</v>
      </c>
      <c r="O13" s="119">
        <v>112.0</v>
      </c>
      <c r="P13" s="119">
        <v>85.0</v>
      </c>
      <c r="Q13" s="54" t="s">
        <v>703</v>
      </c>
      <c r="R13" s="119">
        <v>83.0</v>
      </c>
      <c r="S13" s="119">
        <v>85.0</v>
      </c>
      <c r="T13" s="54" t="s">
        <v>703</v>
      </c>
      <c r="U13" s="119">
        <v>45.0</v>
      </c>
      <c r="V13" s="119">
        <v>70.0</v>
      </c>
      <c r="W13" s="121" t="s">
        <v>703</v>
      </c>
      <c r="X13" s="119">
        <v>-2.0</v>
      </c>
      <c r="Y13" s="119">
        <v>35.0</v>
      </c>
      <c r="Z13" s="54" t="s">
        <v>703</v>
      </c>
      <c r="AA13" s="119">
        <v>27.0</v>
      </c>
      <c r="AB13" s="54">
        <v>0.5</v>
      </c>
      <c r="AC13" s="120" t="s">
        <v>703</v>
      </c>
      <c r="AD13" s="124">
        <v>2.0</v>
      </c>
      <c r="AE13" s="126" t="s">
        <v>704</v>
      </c>
      <c r="AF13" s="124">
        <v>3.0</v>
      </c>
      <c r="AG13" s="126" t="s">
        <v>704</v>
      </c>
      <c r="AH13" s="122" t="s">
        <v>133</v>
      </c>
      <c r="AI13" s="123" t="s">
        <v>133</v>
      </c>
      <c r="AJ13" s="122" t="s">
        <v>133</v>
      </c>
      <c r="AK13" s="123" t="s">
        <v>133</v>
      </c>
    </row>
    <row r="14" ht="15.75" customHeight="1">
      <c r="A14" s="48" t="s">
        <v>179</v>
      </c>
      <c r="B14" s="54" t="s">
        <v>175</v>
      </c>
      <c r="C14" s="118">
        <v>44.0</v>
      </c>
      <c r="D14" s="119">
        <v>6.0</v>
      </c>
      <c r="E14" s="120" t="s">
        <v>709</v>
      </c>
      <c r="F14" s="119">
        <v>67.0</v>
      </c>
      <c r="G14" s="119">
        <v>45.0</v>
      </c>
      <c r="H14" s="120" t="s">
        <v>703</v>
      </c>
      <c r="I14" s="119">
        <v>8.0</v>
      </c>
      <c r="J14" s="119">
        <v>43.0</v>
      </c>
      <c r="K14" s="120" t="s">
        <v>703</v>
      </c>
      <c r="L14" s="119">
        <v>6.0</v>
      </c>
      <c r="M14" s="119">
        <v>47.0</v>
      </c>
      <c r="N14" s="54" t="s">
        <v>703</v>
      </c>
      <c r="O14" s="119">
        <v>84.0</v>
      </c>
      <c r="P14" s="119">
        <v>10.0</v>
      </c>
      <c r="Q14" s="54" t="s">
        <v>703</v>
      </c>
      <c r="R14" s="119">
        <v>69.0</v>
      </c>
      <c r="S14" s="119">
        <v>35.0</v>
      </c>
      <c r="T14" s="54" t="s">
        <v>703</v>
      </c>
      <c r="U14" s="119">
        <v>44.0</v>
      </c>
      <c r="V14" s="119">
        <v>40.0</v>
      </c>
      <c r="W14" s="54" t="s">
        <v>703</v>
      </c>
      <c r="X14" s="119">
        <v>6.0</v>
      </c>
      <c r="Y14" s="119">
        <v>70.0</v>
      </c>
      <c r="Z14" s="54" t="s">
        <v>703</v>
      </c>
      <c r="AA14" s="119">
        <v>29.0</v>
      </c>
      <c r="AB14" s="54">
        <v>1.15</v>
      </c>
      <c r="AC14" s="120" t="s">
        <v>703</v>
      </c>
      <c r="AD14" s="122" t="s">
        <v>133</v>
      </c>
      <c r="AE14" s="123" t="s">
        <v>133</v>
      </c>
      <c r="AF14" s="122" t="s">
        <v>133</v>
      </c>
      <c r="AG14" s="123" t="s">
        <v>133</v>
      </c>
      <c r="AH14" s="122" t="s">
        <v>133</v>
      </c>
      <c r="AI14" s="123" t="s">
        <v>133</v>
      </c>
      <c r="AJ14" s="122" t="s">
        <v>133</v>
      </c>
      <c r="AK14" s="123" t="s">
        <v>133</v>
      </c>
    </row>
    <row r="15" ht="15.75" customHeight="1">
      <c r="A15" s="48" t="s">
        <v>182</v>
      </c>
      <c r="B15" s="54" t="s">
        <v>175</v>
      </c>
      <c r="C15" s="118">
        <v>46.0</v>
      </c>
      <c r="D15" s="119">
        <v>15.0</v>
      </c>
      <c r="E15" s="120" t="s">
        <v>703</v>
      </c>
      <c r="F15" s="119">
        <v>176.0</v>
      </c>
      <c r="G15" s="119">
        <v>2.0</v>
      </c>
      <c r="H15" s="120" t="s">
        <v>706</v>
      </c>
      <c r="I15" s="119">
        <v>5.0</v>
      </c>
      <c r="J15" s="119">
        <v>4.0</v>
      </c>
      <c r="K15" s="120" t="s">
        <v>706</v>
      </c>
      <c r="L15" s="119">
        <v>5.0</v>
      </c>
      <c r="M15" s="119">
        <v>29.0</v>
      </c>
      <c r="N15" s="54" t="s">
        <v>703</v>
      </c>
      <c r="O15" s="119">
        <v>80.0</v>
      </c>
      <c r="P15" s="119">
        <v>10.0</v>
      </c>
      <c r="Q15" s="54" t="s">
        <v>703</v>
      </c>
      <c r="R15" s="119">
        <v>63.0</v>
      </c>
      <c r="S15" s="119">
        <v>30.0</v>
      </c>
      <c r="T15" s="54" t="s">
        <v>703</v>
      </c>
      <c r="U15" s="119">
        <v>35.0</v>
      </c>
      <c r="V15" s="119">
        <v>32.0</v>
      </c>
      <c r="W15" s="54" t="s">
        <v>703</v>
      </c>
      <c r="X15" s="119">
        <v>2.0</v>
      </c>
      <c r="Y15" s="119">
        <v>60.0</v>
      </c>
      <c r="Z15" s="54" t="s">
        <v>703</v>
      </c>
      <c r="AA15" s="119">
        <v>24.0</v>
      </c>
      <c r="AB15" s="127">
        <v>-0.4</v>
      </c>
      <c r="AC15" s="120" t="s">
        <v>703</v>
      </c>
      <c r="AD15" s="119">
        <v>6.0</v>
      </c>
      <c r="AE15" s="120" t="s">
        <v>704</v>
      </c>
      <c r="AF15" s="119">
        <v>3.0</v>
      </c>
      <c r="AG15" s="120" t="s">
        <v>704</v>
      </c>
      <c r="AH15" s="128">
        <v>4.0</v>
      </c>
      <c r="AI15" s="125" t="s">
        <v>704</v>
      </c>
      <c r="AJ15" s="128">
        <v>4.0</v>
      </c>
      <c r="AK15" s="125" t="s">
        <v>704</v>
      </c>
    </row>
    <row r="16" ht="15.75" customHeight="1">
      <c r="A16" s="48" t="s">
        <v>186</v>
      </c>
      <c r="B16" s="54" t="s">
        <v>175</v>
      </c>
      <c r="C16" s="129">
        <v>29.0</v>
      </c>
      <c r="D16" s="130">
        <v>50.0</v>
      </c>
      <c r="E16" s="131" t="s">
        <v>703</v>
      </c>
      <c r="F16" s="130">
        <v>83.0</v>
      </c>
      <c r="G16" s="130">
        <v>25.0</v>
      </c>
      <c r="H16" s="131" t="s">
        <v>703</v>
      </c>
      <c r="I16" s="130">
        <v>8.0</v>
      </c>
      <c r="J16" s="130">
        <v>50.0</v>
      </c>
      <c r="K16" s="131" t="s">
        <v>703</v>
      </c>
      <c r="L16" s="130">
        <v>5.0</v>
      </c>
      <c r="M16" s="130">
        <v>27.0</v>
      </c>
      <c r="N16" s="130" t="s">
        <v>703</v>
      </c>
      <c r="O16" s="130">
        <v>93.0</v>
      </c>
      <c r="P16" s="130">
        <v>50.0</v>
      </c>
      <c r="Q16" s="130" t="s">
        <v>703</v>
      </c>
      <c r="R16" s="130">
        <v>61.0</v>
      </c>
      <c r="S16" s="130">
        <v>20.0</v>
      </c>
      <c r="T16" s="130" t="s">
        <v>703</v>
      </c>
      <c r="U16" s="130">
        <v>30.0</v>
      </c>
      <c r="V16" s="130">
        <v>9.0</v>
      </c>
      <c r="W16" s="130" t="s">
        <v>703</v>
      </c>
      <c r="X16" s="130">
        <v>-6.0</v>
      </c>
      <c r="Y16" s="130">
        <v>14.0</v>
      </c>
      <c r="Z16" s="130" t="s">
        <v>703</v>
      </c>
      <c r="AA16" s="130">
        <v>24.0</v>
      </c>
      <c r="AB16" s="130">
        <v>-0.17</v>
      </c>
      <c r="AC16" s="131" t="s">
        <v>703</v>
      </c>
      <c r="AD16" s="132" t="s">
        <v>133</v>
      </c>
      <c r="AE16" s="133" t="s">
        <v>133</v>
      </c>
      <c r="AF16" s="132" t="s">
        <v>133</v>
      </c>
      <c r="AG16" s="133" t="s">
        <v>133</v>
      </c>
      <c r="AH16" s="132" t="s">
        <v>133</v>
      </c>
      <c r="AI16" s="133" t="s">
        <v>133</v>
      </c>
      <c r="AJ16" s="132" t="s">
        <v>133</v>
      </c>
      <c r="AK16" s="133" t="s">
        <v>133</v>
      </c>
    </row>
    <row r="17" ht="15.75" customHeight="1">
      <c r="A17" s="48" t="s">
        <v>189</v>
      </c>
      <c r="B17" s="54" t="s">
        <v>175</v>
      </c>
      <c r="C17" s="129">
        <v>27.0</v>
      </c>
      <c r="D17" s="130">
        <v>55.0</v>
      </c>
      <c r="E17" s="131" t="s">
        <v>703</v>
      </c>
      <c r="F17" s="130">
        <v>50.0</v>
      </c>
      <c r="G17" s="130">
        <v>65.0</v>
      </c>
      <c r="H17" s="131" t="s">
        <v>703</v>
      </c>
      <c r="I17" s="130">
        <v>10.0</v>
      </c>
      <c r="J17" s="130">
        <v>81.0</v>
      </c>
      <c r="K17" s="131" t="s">
        <v>703</v>
      </c>
      <c r="L17" s="130">
        <v>7.0</v>
      </c>
      <c r="M17" s="130">
        <v>71.0</v>
      </c>
      <c r="N17" s="130" t="s">
        <v>703</v>
      </c>
      <c r="O17" s="130">
        <v>99.0</v>
      </c>
      <c r="P17" s="130">
        <v>55.0</v>
      </c>
      <c r="Q17" s="130" t="s">
        <v>703</v>
      </c>
      <c r="R17" s="130">
        <v>69.0</v>
      </c>
      <c r="S17" s="130">
        <v>50.0</v>
      </c>
      <c r="T17" s="130" t="s">
        <v>703</v>
      </c>
      <c r="U17" s="130">
        <v>38.0</v>
      </c>
      <c r="V17" s="130">
        <v>40.0</v>
      </c>
      <c r="W17" s="130" t="s">
        <v>703</v>
      </c>
      <c r="X17" s="130">
        <v>-2.0</v>
      </c>
      <c r="Y17" s="130">
        <v>35.0</v>
      </c>
      <c r="Z17" s="130" t="s">
        <v>703</v>
      </c>
      <c r="AA17" s="130">
        <v>29.0</v>
      </c>
      <c r="AB17" s="130">
        <v>1.15</v>
      </c>
      <c r="AC17" s="131" t="s">
        <v>703</v>
      </c>
      <c r="AD17" s="119">
        <v>16.0</v>
      </c>
      <c r="AE17" s="120" t="s">
        <v>710</v>
      </c>
      <c r="AF17" s="119">
        <v>3.0</v>
      </c>
      <c r="AG17" s="120" t="s">
        <v>704</v>
      </c>
      <c r="AH17" s="134">
        <v>18.0</v>
      </c>
      <c r="AI17" s="135" t="s">
        <v>711</v>
      </c>
      <c r="AJ17" s="134">
        <v>3.0</v>
      </c>
      <c r="AK17" s="135" t="s">
        <v>704</v>
      </c>
    </row>
    <row r="18" ht="15.75" customHeight="1">
      <c r="A18" s="48" t="s">
        <v>194</v>
      </c>
      <c r="B18" s="54" t="s">
        <v>129</v>
      </c>
      <c r="C18" s="129">
        <v>45.0</v>
      </c>
      <c r="D18" s="130">
        <v>10.0</v>
      </c>
      <c r="E18" s="131" t="s">
        <v>703</v>
      </c>
      <c r="F18" s="130">
        <v>72.0</v>
      </c>
      <c r="G18" s="130">
        <v>30.0</v>
      </c>
      <c r="H18" s="131" t="s">
        <v>703</v>
      </c>
      <c r="I18" s="130">
        <v>10.0</v>
      </c>
      <c r="J18" s="130">
        <v>81.0</v>
      </c>
      <c r="K18" s="131" t="s">
        <v>703</v>
      </c>
      <c r="L18" s="130">
        <v>8.0</v>
      </c>
      <c r="M18" s="130">
        <v>77.0</v>
      </c>
      <c r="N18" s="130" t="s">
        <v>703</v>
      </c>
      <c r="O18" s="130">
        <v>102.0</v>
      </c>
      <c r="P18" s="130">
        <v>60.0</v>
      </c>
      <c r="Q18" s="130" t="s">
        <v>703</v>
      </c>
      <c r="R18" s="130">
        <v>75.0</v>
      </c>
      <c r="S18" s="130">
        <v>65.0</v>
      </c>
      <c r="T18" s="130" t="s">
        <v>703</v>
      </c>
      <c r="U18" s="130">
        <v>44.0</v>
      </c>
      <c r="V18" s="130">
        <v>60.0</v>
      </c>
      <c r="W18" s="130" t="s">
        <v>703</v>
      </c>
      <c r="X18" s="130">
        <v>1.0</v>
      </c>
      <c r="Y18" s="130">
        <v>50.0</v>
      </c>
      <c r="Z18" s="130" t="s">
        <v>703</v>
      </c>
      <c r="AA18" s="130">
        <v>27.0</v>
      </c>
      <c r="AB18" s="130">
        <v>0.53</v>
      </c>
      <c r="AC18" s="131" t="s">
        <v>703</v>
      </c>
      <c r="AD18" s="119">
        <v>9.0</v>
      </c>
      <c r="AE18" s="120" t="s">
        <v>712</v>
      </c>
      <c r="AF18" s="119">
        <v>6.0</v>
      </c>
      <c r="AG18" s="120" t="s">
        <v>704</v>
      </c>
      <c r="AH18" s="134">
        <v>5.0</v>
      </c>
      <c r="AI18" s="135" t="s">
        <v>704</v>
      </c>
      <c r="AJ18" s="134">
        <v>10.0</v>
      </c>
      <c r="AK18" s="135" t="s">
        <v>707</v>
      </c>
    </row>
    <row r="19" ht="15.75" customHeight="1">
      <c r="A19" s="48" t="s">
        <v>199</v>
      </c>
      <c r="B19" s="54" t="s">
        <v>175</v>
      </c>
      <c r="C19" s="129">
        <v>27.0</v>
      </c>
      <c r="D19" s="130">
        <v>90.0</v>
      </c>
      <c r="E19" s="131" t="s">
        <v>703</v>
      </c>
      <c r="F19" s="130">
        <v>50.0</v>
      </c>
      <c r="G19" s="130">
        <v>95.0</v>
      </c>
      <c r="H19" s="131" t="s">
        <v>703</v>
      </c>
      <c r="I19" s="130">
        <v>6.0</v>
      </c>
      <c r="J19" s="130">
        <v>16.0</v>
      </c>
      <c r="K19" s="131" t="s">
        <v>703</v>
      </c>
      <c r="L19" s="130">
        <v>6.0</v>
      </c>
      <c r="M19" s="130">
        <v>53.0</v>
      </c>
      <c r="N19" s="130" t="s">
        <v>703</v>
      </c>
      <c r="O19" s="130">
        <v>89.0</v>
      </c>
      <c r="P19" s="130">
        <v>40.0</v>
      </c>
      <c r="Q19" s="130" t="s">
        <v>703</v>
      </c>
      <c r="R19" s="130">
        <v>70.0</v>
      </c>
      <c r="S19" s="130">
        <v>65.0</v>
      </c>
      <c r="T19" s="130" t="s">
        <v>703</v>
      </c>
      <c r="U19" s="130">
        <v>49.0</v>
      </c>
      <c r="V19" s="130">
        <v>90.0</v>
      </c>
      <c r="W19" s="130" t="s">
        <v>703</v>
      </c>
      <c r="X19" s="130">
        <v>10.0</v>
      </c>
      <c r="Y19" s="130">
        <v>95.0</v>
      </c>
      <c r="Z19" s="130" t="s">
        <v>703</v>
      </c>
      <c r="AA19" s="130">
        <v>28.0</v>
      </c>
      <c r="AB19" s="130">
        <v>1.9</v>
      </c>
      <c r="AC19" s="131" t="s">
        <v>703</v>
      </c>
      <c r="AD19" s="130">
        <v>5.0</v>
      </c>
      <c r="AE19" s="131" t="s">
        <v>704</v>
      </c>
      <c r="AF19" s="130">
        <v>11.0</v>
      </c>
      <c r="AG19" s="131" t="s">
        <v>710</v>
      </c>
      <c r="AH19" s="132" t="s">
        <v>133</v>
      </c>
      <c r="AI19" s="133" t="s">
        <v>133</v>
      </c>
      <c r="AJ19" s="132" t="s">
        <v>133</v>
      </c>
      <c r="AK19" s="133" t="s">
        <v>133</v>
      </c>
    </row>
    <row r="20" ht="15.75" customHeight="1">
      <c r="A20" s="48" t="s">
        <v>204</v>
      </c>
      <c r="B20" s="54" t="s">
        <v>175</v>
      </c>
      <c r="C20" s="129">
        <v>65.0</v>
      </c>
      <c r="D20" s="130">
        <v>25.0</v>
      </c>
      <c r="E20" s="131" t="s">
        <v>703</v>
      </c>
      <c r="F20" s="130">
        <v>84.0</v>
      </c>
      <c r="G20" s="130">
        <v>25.0</v>
      </c>
      <c r="H20" s="131" t="s">
        <v>703</v>
      </c>
      <c r="I20" s="130">
        <v>6.0</v>
      </c>
      <c r="J20" s="130">
        <v>17.0</v>
      </c>
      <c r="K20" s="131" t="s">
        <v>703</v>
      </c>
      <c r="L20" s="130">
        <v>7.0</v>
      </c>
      <c r="M20" s="130">
        <v>71.0</v>
      </c>
      <c r="N20" s="130" t="s">
        <v>703</v>
      </c>
      <c r="O20" s="130">
        <v>91.0</v>
      </c>
      <c r="P20" s="130">
        <v>30.0</v>
      </c>
      <c r="Q20" s="130" t="s">
        <v>703</v>
      </c>
      <c r="R20" s="130">
        <v>62.0</v>
      </c>
      <c r="S20" s="130">
        <v>25.0</v>
      </c>
      <c r="T20" s="130" t="s">
        <v>703</v>
      </c>
      <c r="U20" s="130">
        <v>37.0</v>
      </c>
      <c r="V20" s="130">
        <v>30.0</v>
      </c>
      <c r="W20" s="130" t="s">
        <v>703</v>
      </c>
      <c r="X20" s="130">
        <v>1.0</v>
      </c>
      <c r="Y20" s="130">
        <v>50.0</v>
      </c>
      <c r="Z20" s="130" t="s">
        <v>703</v>
      </c>
      <c r="AA20" s="130">
        <v>28.0</v>
      </c>
      <c r="AB20" s="130">
        <v>0.84</v>
      </c>
      <c r="AC20" s="131" t="s">
        <v>703</v>
      </c>
      <c r="AD20" s="119">
        <v>9.0</v>
      </c>
      <c r="AE20" s="120" t="s">
        <v>712</v>
      </c>
      <c r="AF20" s="119">
        <v>7.0</v>
      </c>
      <c r="AG20" s="120" t="s">
        <v>704</v>
      </c>
      <c r="AH20" s="134">
        <v>12.0</v>
      </c>
      <c r="AI20" s="135" t="s">
        <v>707</v>
      </c>
      <c r="AJ20" s="134">
        <v>16.0</v>
      </c>
      <c r="AK20" s="135" t="s">
        <v>707</v>
      </c>
    </row>
    <row r="21" ht="15.75" customHeight="1">
      <c r="A21" s="48" t="s">
        <v>208</v>
      </c>
      <c r="B21" s="54" t="s">
        <v>175</v>
      </c>
      <c r="C21" s="129">
        <v>27.0</v>
      </c>
      <c r="D21" s="130">
        <v>55.0</v>
      </c>
      <c r="E21" s="131" t="s">
        <v>703</v>
      </c>
      <c r="F21" s="130">
        <v>76.0</v>
      </c>
      <c r="G21" s="130">
        <v>25.0</v>
      </c>
      <c r="H21" s="131" t="s">
        <v>703</v>
      </c>
      <c r="I21" s="130">
        <v>10.0</v>
      </c>
      <c r="J21" s="130">
        <v>81.0</v>
      </c>
      <c r="K21" s="131" t="s">
        <v>703</v>
      </c>
      <c r="L21" s="130">
        <v>12.0</v>
      </c>
      <c r="M21" s="130">
        <v>99.0</v>
      </c>
      <c r="N21" s="130" t="s">
        <v>703</v>
      </c>
      <c r="O21" s="130">
        <v>116.0</v>
      </c>
      <c r="P21" s="130">
        <v>90.0</v>
      </c>
      <c r="Q21" s="130" t="s">
        <v>703</v>
      </c>
      <c r="R21" s="130">
        <v>86.0</v>
      </c>
      <c r="S21" s="130">
        <v>87.0</v>
      </c>
      <c r="T21" s="130" t="s">
        <v>703</v>
      </c>
      <c r="U21" s="130">
        <v>58.0</v>
      </c>
      <c r="V21" s="130">
        <v>95.0</v>
      </c>
      <c r="W21" s="130" t="s">
        <v>703</v>
      </c>
      <c r="X21" s="130">
        <v>9.0</v>
      </c>
      <c r="Y21" s="130">
        <v>85.0</v>
      </c>
      <c r="Z21" s="130" t="s">
        <v>703</v>
      </c>
      <c r="AA21" s="130">
        <v>30.0</v>
      </c>
      <c r="AB21" s="130">
        <v>1.4</v>
      </c>
      <c r="AC21" s="131" t="s">
        <v>703</v>
      </c>
      <c r="AD21" s="119">
        <v>0.0</v>
      </c>
      <c r="AE21" s="120" t="s">
        <v>704</v>
      </c>
      <c r="AF21" s="119">
        <v>2.0</v>
      </c>
      <c r="AG21" s="120" t="s">
        <v>704</v>
      </c>
      <c r="AH21" s="132" t="s">
        <v>133</v>
      </c>
      <c r="AI21" s="133" t="s">
        <v>133</v>
      </c>
      <c r="AJ21" s="132" t="s">
        <v>133</v>
      </c>
      <c r="AK21" s="133" t="s">
        <v>133</v>
      </c>
    </row>
    <row r="22" ht="15.75" customHeight="1">
      <c r="A22" s="48" t="s">
        <v>210</v>
      </c>
      <c r="B22" s="54" t="s">
        <v>175</v>
      </c>
      <c r="C22" s="129">
        <v>69.0</v>
      </c>
      <c r="D22" s="130">
        <v>1.0</v>
      </c>
      <c r="E22" s="131" t="s">
        <v>706</v>
      </c>
      <c r="F22" s="130">
        <v>115.0</v>
      </c>
      <c r="G22" s="130">
        <v>10.0</v>
      </c>
      <c r="H22" s="131" t="s">
        <v>703</v>
      </c>
      <c r="I22" s="130">
        <v>4.0</v>
      </c>
      <c r="J22" s="130">
        <v>3.0</v>
      </c>
      <c r="K22" s="131" t="s">
        <v>706</v>
      </c>
      <c r="L22" s="130">
        <v>3.0</v>
      </c>
      <c r="M22" s="130">
        <v>5.0</v>
      </c>
      <c r="N22" s="130" t="s">
        <v>706</v>
      </c>
      <c r="O22" s="130">
        <v>81.0</v>
      </c>
      <c r="P22" s="130">
        <v>10.0</v>
      </c>
      <c r="Q22" s="130" t="s">
        <v>703</v>
      </c>
      <c r="R22" s="130">
        <v>34.0</v>
      </c>
      <c r="S22" s="130">
        <v>3.0</v>
      </c>
      <c r="T22" s="130" t="s">
        <v>706</v>
      </c>
      <c r="U22" s="130">
        <v>47.0</v>
      </c>
      <c r="V22" s="130">
        <v>70.0</v>
      </c>
      <c r="W22" s="130" t="s">
        <v>703</v>
      </c>
      <c r="X22" s="130">
        <v>23.0</v>
      </c>
      <c r="Y22" s="130">
        <v>95.0</v>
      </c>
      <c r="Z22" s="130" t="s">
        <v>703</v>
      </c>
      <c r="AA22" s="130">
        <v>20.0</v>
      </c>
      <c r="AB22" s="130">
        <v>-1.6</v>
      </c>
      <c r="AC22" s="131" t="s">
        <v>709</v>
      </c>
      <c r="AD22" s="119">
        <v>14.0</v>
      </c>
      <c r="AE22" s="120" t="s">
        <v>710</v>
      </c>
      <c r="AF22" s="119">
        <v>17.0</v>
      </c>
      <c r="AG22" s="136" t="s">
        <v>710</v>
      </c>
      <c r="AH22" s="134">
        <v>19.0</v>
      </c>
      <c r="AI22" s="135" t="s">
        <v>711</v>
      </c>
      <c r="AJ22" s="134">
        <v>18.0</v>
      </c>
      <c r="AK22" s="135" t="s">
        <v>711</v>
      </c>
    </row>
    <row r="23" ht="15.75" customHeight="1">
      <c r="A23" s="48" t="s">
        <v>214</v>
      </c>
      <c r="B23" s="54" t="s">
        <v>175</v>
      </c>
      <c r="C23" s="129">
        <v>60.0</v>
      </c>
      <c r="D23" s="130">
        <v>6.0</v>
      </c>
      <c r="E23" s="131" t="s">
        <v>709</v>
      </c>
      <c r="F23" s="130">
        <v>139.0</v>
      </c>
      <c r="G23" s="130">
        <v>10.0</v>
      </c>
      <c r="H23" s="131" t="s">
        <v>703</v>
      </c>
      <c r="I23" s="130">
        <v>7.0</v>
      </c>
      <c r="J23" s="130">
        <v>35.0</v>
      </c>
      <c r="K23" s="131" t="s">
        <v>703</v>
      </c>
      <c r="L23" s="130">
        <v>8.0</v>
      </c>
      <c r="M23" s="130">
        <v>85.0</v>
      </c>
      <c r="N23" s="130" t="s">
        <v>703</v>
      </c>
      <c r="O23" s="130">
        <v>120.0</v>
      </c>
      <c r="P23" s="130">
        <v>95.0</v>
      </c>
      <c r="Q23" s="130" t="s">
        <v>703</v>
      </c>
      <c r="R23" s="130">
        <v>73.0</v>
      </c>
      <c r="S23" s="130">
        <v>60.0</v>
      </c>
      <c r="T23" s="130" t="s">
        <v>703</v>
      </c>
      <c r="U23" s="130">
        <v>47.0</v>
      </c>
      <c r="V23" s="130">
        <v>80.0</v>
      </c>
      <c r="W23" s="130" t="s">
        <v>703</v>
      </c>
      <c r="X23" s="130">
        <v>2.0</v>
      </c>
      <c r="Y23" s="130">
        <v>60.0</v>
      </c>
      <c r="Z23" s="130" t="s">
        <v>703</v>
      </c>
      <c r="AA23" s="130">
        <v>27.0</v>
      </c>
      <c r="AB23" s="130">
        <v>0.5</v>
      </c>
      <c r="AC23" s="131" t="s">
        <v>703</v>
      </c>
      <c r="AD23" s="119">
        <v>9.0</v>
      </c>
      <c r="AE23" s="120" t="s">
        <v>712</v>
      </c>
      <c r="AF23" s="119">
        <v>7.0</v>
      </c>
      <c r="AG23" s="120" t="s">
        <v>704</v>
      </c>
      <c r="AH23" s="134">
        <v>18.0</v>
      </c>
      <c r="AI23" s="135" t="s">
        <v>711</v>
      </c>
      <c r="AJ23" s="134">
        <v>16.0</v>
      </c>
      <c r="AK23" s="135" t="s">
        <v>707</v>
      </c>
    </row>
    <row r="24" ht="15.75" customHeight="1">
      <c r="A24" s="48" t="s">
        <v>217</v>
      </c>
      <c r="B24" s="54" t="s">
        <v>175</v>
      </c>
      <c r="C24" s="129">
        <v>41.0</v>
      </c>
      <c r="D24" s="130">
        <v>15.0</v>
      </c>
      <c r="E24" s="131" t="s">
        <v>703</v>
      </c>
      <c r="F24" s="130">
        <v>135.0</v>
      </c>
      <c r="G24" s="130">
        <v>6.0</v>
      </c>
      <c r="H24" s="131" t="s">
        <v>709</v>
      </c>
      <c r="I24" s="130">
        <v>5.0</v>
      </c>
      <c r="J24" s="130">
        <v>4.0</v>
      </c>
      <c r="K24" s="131" t="s">
        <v>706</v>
      </c>
      <c r="L24" s="130">
        <v>4.0</v>
      </c>
      <c r="M24" s="130">
        <v>12.0</v>
      </c>
      <c r="N24" s="130" t="s">
        <v>703</v>
      </c>
      <c r="O24" s="130">
        <v>75.0</v>
      </c>
      <c r="P24" s="130">
        <v>6.0</v>
      </c>
      <c r="Q24" s="130" t="s">
        <v>709</v>
      </c>
      <c r="R24" s="130">
        <v>48.0</v>
      </c>
      <c r="S24" s="130">
        <v>5.0</v>
      </c>
      <c r="T24" s="130" t="s">
        <v>706</v>
      </c>
      <c r="U24" s="130">
        <v>28.0</v>
      </c>
      <c r="V24" s="130">
        <v>9.0</v>
      </c>
      <c r="W24" s="130" t="s">
        <v>703</v>
      </c>
      <c r="X24" s="130">
        <v>-1.0</v>
      </c>
      <c r="Y24" s="130">
        <v>40.0</v>
      </c>
      <c r="Z24" s="130" t="s">
        <v>703</v>
      </c>
      <c r="AA24" s="130">
        <v>25.0</v>
      </c>
      <c r="AB24" s="130">
        <v>-0.9</v>
      </c>
      <c r="AC24" s="131" t="s">
        <v>703</v>
      </c>
      <c r="AD24" s="132" t="s">
        <v>133</v>
      </c>
      <c r="AE24" s="133" t="s">
        <v>133</v>
      </c>
      <c r="AF24" s="132" t="s">
        <v>133</v>
      </c>
      <c r="AG24" s="133" t="s">
        <v>133</v>
      </c>
      <c r="AH24" s="132" t="s">
        <v>133</v>
      </c>
      <c r="AI24" s="133" t="s">
        <v>133</v>
      </c>
      <c r="AJ24" s="132" t="s">
        <v>133</v>
      </c>
      <c r="AK24" s="133" t="s">
        <v>133</v>
      </c>
    </row>
    <row r="25" ht="15.75" customHeight="1">
      <c r="A25" s="48" t="s">
        <v>220</v>
      </c>
      <c r="B25" s="54" t="s">
        <v>175</v>
      </c>
      <c r="C25" s="129">
        <v>43.0</v>
      </c>
      <c r="D25" s="130">
        <v>10.0</v>
      </c>
      <c r="E25" s="131" t="s">
        <v>703</v>
      </c>
      <c r="F25" s="130">
        <v>127.0</v>
      </c>
      <c r="G25" s="130">
        <v>6.0</v>
      </c>
      <c r="H25" s="131" t="s">
        <v>709</v>
      </c>
      <c r="I25" s="130">
        <v>9.0</v>
      </c>
      <c r="J25" s="130">
        <v>58.0</v>
      </c>
      <c r="K25" s="131" t="s">
        <v>703</v>
      </c>
      <c r="L25" s="130">
        <v>7.0</v>
      </c>
      <c r="M25" s="130">
        <v>61.0</v>
      </c>
      <c r="N25" s="130" t="s">
        <v>703</v>
      </c>
      <c r="O25" s="130">
        <v>121.0</v>
      </c>
      <c r="P25" s="130">
        <v>90.0</v>
      </c>
      <c r="Q25" s="130" t="s">
        <v>703</v>
      </c>
      <c r="R25" s="130">
        <v>70.0</v>
      </c>
      <c r="S25" s="130">
        <v>30.0</v>
      </c>
      <c r="T25" s="130" t="s">
        <v>703</v>
      </c>
      <c r="U25" s="130">
        <v>50.0</v>
      </c>
      <c r="V25" s="130">
        <v>85.0</v>
      </c>
      <c r="W25" s="130" t="s">
        <v>703</v>
      </c>
      <c r="X25" s="130">
        <v>6.0</v>
      </c>
      <c r="Y25" s="130">
        <v>60.0</v>
      </c>
      <c r="Z25" s="130" t="s">
        <v>703</v>
      </c>
      <c r="AA25" s="130">
        <v>30.0</v>
      </c>
      <c r="AB25" s="130">
        <v>1.4</v>
      </c>
      <c r="AC25" s="131" t="s">
        <v>703</v>
      </c>
      <c r="AD25" s="119">
        <v>6.0</v>
      </c>
      <c r="AE25" s="120" t="s">
        <v>704</v>
      </c>
      <c r="AF25" s="119">
        <v>10.0</v>
      </c>
      <c r="AG25" s="120" t="s">
        <v>712</v>
      </c>
      <c r="AH25" s="134">
        <v>6.0</v>
      </c>
      <c r="AI25" s="135" t="s">
        <v>708</v>
      </c>
      <c r="AJ25" s="134">
        <v>2.0</v>
      </c>
      <c r="AK25" s="135" t="s">
        <v>704</v>
      </c>
    </row>
    <row r="26" ht="15.75" customHeight="1">
      <c r="A26" s="48" t="s">
        <v>223</v>
      </c>
      <c r="B26" s="54" t="s">
        <v>175</v>
      </c>
      <c r="C26" s="129">
        <v>32.0</v>
      </c>
      <c r="D26" s="130">
        <v>35.0</v>
      </c>
      <c r="E26" s="131" t="s">
        <v>703</v>
      </c>
      <c r="F26" s="130">
        <v>114.0</v>
      </c>
      <c r="G26" s="130">
        <v>10.0</v>
      </c>
      <c r="H26" s="131" t="s">
        <v>703</v>
      </c>
      <c r="I26" s="130">
        <v>7.0</v>
      </c>
      <c r="J26" s="130">
        <v>28.0</v>
      </c>
      <c r="K26" s="131" t="s">
        <v>703</v>
      </c>
      <c r="L26" s="130">
        <v>5.0</v>
      </c>
      <c r="M26" s="130">
        <v>29.0</v>
      </c>
      <c r="N26" s="130" t="s">
        <v>703</v>
      </c>
      <c r="O26" s="130">
        <v>81.0</v>
      </c>
      <c r="P26" s="130">
        <v>20.0</v>
      </c>
      <c r="Q26" s="130" t="s">
        <v>703</v>
      </c>
      <c r="R26" s="130">
        <v>61.0</v>
      </c>
      <c r="S26" s="130">
        <v>40.0</v>
      </c>
      <c r="T26" s="130" t="s">
        <v>703</v>
      </c>
      <c r="U26" s="130">
        <v>41.0</v>
      </c>
      <c r="V26" s="130">
        <v>70.0</v>
      </c>
      <c r="W26" s="130" t="s">
        <v>703</v>
      </c>
      <c r="X26" s="130">
        <v>7.0</v>
      </c>
      <c r="Y26" s="130">
        <v>90.0</v>
      </c>
      <c r="Z26" s="130" t="s">
        <v>703</v>
      </c>
      <c r="AA26" s="130">
        <v>26.0</v>
      </c>
      <c r="AB26" s="130">
        <v>0.5</v>
      </c>
      <c r="AC26" s="131" t="s">
        <v>703</v>
      </c>
      <c r="AD26" s="130">
        <v>13.0</v>
      </c>
      <c r="AE26" s="131" t="s">
        <v>710</v>
      </c>
      <c r="AF26" s="130">
        <v>6.0</v>
      </c>
      <c r="AG26" s="131" t="s">
        <v>704</v>
      </c>
      <c r="AH26" s="134">
        <v>13.0</v>
      </c>
      <c r="AI26" s="135" t="s">
        <v>707</v>
      </c>
      <c r="AJ26" s="134">
        <v>9.0</v>
      </c>
      <c r="AK26" s="135" t="s">
        <v>708</v>
      </c>
    </row>
    <row r="27" ht="15.75" customHeight="1">
      <c r="A27" s="48" t="s">
        <v>226</v>
      </c>
      <c r="B27" s="54" t="s">
        <v>175</v>
      </c>
      <c r="C27" s="129">
        <v>66.0</v>
      </c>
      <c r="D27" s="130">
        <v>1.0</v>
      </c>
      <c r="E27" s="131" t="s">
        <v>706</v>
      </c>
      <c r="F27" s="130">
        <v>74.0</v>
      </c>
      <c r="G27" s="130">
        <v>25.0</v>
      </c>
      <c r="H27" s="131" t="s">
        <v>703</v>
      </c>
      <c r="I27" s="130">
        <v>8.0</v>
      </c>
      <c r="J27" s="130">
        <v>51.0</v>
      </c>
      <c r="K27" s="131" t="s">
        <v>703</v>
      </c>
      <c r="L27" s="130">
        <v>5.0</v>
      </c>
      <c r="M27" s="130">
        <v>29.0</v>
      </c>
      <c r="N27" s="130" t="s">
        <v>703</v>
      </c>
      <c r="O27" s="130">
        <v>101.0</v>
      </c>
      <c r="P27" s="130">
        <v>60.0</v>
      </c>
      <c r="Q27" s="130" t="s">
        <v>703</v>
      </c>
      <c r="R27" s="130">
        <v>58.0</v>
      </c>
      <c r="S27" s="130">
        <v>15.0</v>
      </c>
      <c r="T27" s="130" t="s">
        <v>703</v>
      </c>
      <c r="U27" s="130">
        <v>43.0</v>
      </c>
      <c r="V27" s="130">
        <v>50.0</v>
      </c>
      <c r="W27" s="130" t="s">
        <v>703</v>
      </c>
      <c r="X27" s="130">
        <v>6.0</v>
      </c>
      <c r="Y27" s="130">
        <v>75.0</v>
      </c>
      <c r="Z27" s="130" t="s">
        <v>703</v>
      </c>
      <c r="AA27" s="130">
        <v>26.0</v>
      </c>
      <c r="AB27" s="130">
        <v>0.2</v>
      </c>
      <c r="AC27" s="131" t="s">
        <v>703</v>
      </c>
      <c r="AD27" s="132" t="s">
        <v>133</v>
      </c>
      <c r="AE27" s="133" t="s">
        <v>133</v>
      </c>
      <c r="AF27" s="132" t="s">
        <v>133</v>
      </c>
      <c r="AG27" s="133" t="s">
        <v>133</v>
      </c>
      <c r="AH27" s="132" t="s">
        <v>133</v>
      </c>
      <c r="AI27" s="133" t="s">
        <v>133</v>
      </c>
      <c r="AJ27" s="132" t="s">
        <v>133</v>
      </c>
      <c r="AK27" s="133" t="s">
        <v>133</v>
      </c>
    </row>
    <row r="28" ht="15.75" customHeight="1">
      <c r="A28" s="48" t="s">
        <v>227</v>
      </c>
      <c r="B28" s="54" t="s">
        <v>175</v>
      </c>
      <c r="C28" s="129">
        <v>63.0</v>
      </c>
      <c r="D28" s="130">
        <v>6.0</v>
      </c>
      <c r="E28" s="131" t="s">
        <v>709</v>
      </c>
      <c r="F28" s="130">
        <v>111.0</v>
      </c>
      <c r="G28" s="130">
        <v>15.0</v>
      </c>
      <c r="H28" s="131" t="s">
        <v>703</v>
      </c>
      <c r="I28" s="130">
        <v>8.0</v>
      </c>
      <c r="J28" s="130">
        <v>51.0</v>
      </c>
      <c r="K28" s="131" t="s">
        <v>703</v>
      </c>
      <c r="L28" s="130">
        <v>7.0</v>
      </c>
      <c r="M28" s="130">
        <v>72.0</v>
      </c>
      <c r="N28" s="130" t="s">
        <v>703</v>
      </c>
      <c r="O28" s="130">
        <v>100.0</v>
      </c>
      <c r="P28" s="130">
        <v>80.0</v>
      </c>
      <c r="Q28" s="130" t="s">
        <v>703</v>
      </c>
      <c r="R28" s="130">
        <v>75.0</v>
      </c>
      <c r="S28" s="130">
        <v>90.0</v>
      </c>
      <c r="T28" s="130" t="s">
        <v>703</v>
      </c>
      <c r="U28" s="130">
        <v>33.0</v>
      </c>
      <c r="V28" s="130">
        <v>50.0</v>
      </c>
      <c r="W28" s="130" t="s">
        <v>703</v>
      </c>
      <c r="X28" s="130">
        <v>-10.0</v>
      </c>
      <c r="Y28" s="130">
        <v>15.0</v>
      </c>
      <c r="Z28" s="130" t="s">
        <v>703</v>
      </c>
      <c r="AA28" s="130">
        <v>27.0</v>
      </c>
      <c r="AB28" s="130">
        <v>0.86</v>
      </c>
      <c r="AC28" s="131" t="s">
        <v>703</v>
      </c>
      <c r="AD28" s="119">
        <v>13.0</v>
      </c>
      <c r="AE28" s="120" t="s">
        <v>710</v>
      </c>
      <c r="AF28" s="119">
        <v>9.0</v>
      </c>
      <c r="AG28" s="120" t="s">
        <v>712</v>
      </c>
      <c r="AH28" s="132" t="s">
        <v>133</v>
      </c>
      <c r="AI28" s="133" t="s">
        <v>133</v>
      </c>
      <c r="AJ28" s="132" t="s">
        <v>133</v>
      </c>
      <c r="AK28" s="133" t="s">
        <v>133</v>
      </c>
    </row>
    <row r="29" ht="15.75" customHeight="1">
      <c r="A29" s="48" t="s">
        <v>231</v>
      </c>
      <c r="B29" s="54" t="s">
        <v>175</v>
      </c>
      <c r="C29" s="129">
        <v>133.0</v>
      </c>
      <c r="D29" s="130">
        <v>1.0</v>
      </c>
      <c r="E29" s="131" t="s">
        <v>706</v>
      </c>
      <c r="F29" s="130">
        <v>103.0</v>
      </c>
      <c r="G29" s="130">
        <v>20.0</v>
      </c>
      <c r="H29" s="131" t="s">
        <v>703</v>
      </c>
      <c r="I29" s="130">
        <v>6.0</v>
      </c>
      <c r="J29" s="130">
        <v>18.0</v>
      </c>
      <c r="K29" s="131" t="s">
        <v>703</v>
      </c>
      <c r="L29" s="130">
        <v>2.0</v>
      </c>
      <c r="M29" s="130">
        <v>1.0</v>
      </c>
      <c r="N29" s="130" t="s">
        <v>706</v>
      </c>
      <c r="O29" s="130">
        <v>83.0</v>
      </c>
      <c r="P29" s="130">
        <v>20.0</v>
      </c>
      <c r="Q29" s="130" t="s">
        <v>703</v>
      </c>
      <c r="R29" s="130">
        <v>66.0</v>
      </c>
      <c r="S29" s="130">
        <v>50.0</v>
      </c>
      <c r="T29" s="130" t="s">
        <v>703</v>
      </c>
      <c r="U29" s="130">
        <v>42.0</v>
      </c>
      <c r="V29" s="130">
        <v>65.0</v>
      </c>
      <c r="W29" s="130" t="s">
        <v>703</v>
      </c>
      <c r="X29" s="130">
        <v>6.0</v>
      </c>
      <c r="Y29" s="130">
        <v>85.0</v>
      </c>
      <c r="Z29" s="130" t="s">
        <v>703</v>
      </c>
      <c r="AA29" s="130">
        <v>25.0</v>
      </c>
      <c r="AB29" s="130">
        <v>0.0</v>
      </c>
      <c r="AC29" s="131" t="s">
        <v>703</v>
      </c>
      <c r="AD29" s="130">
        <v>12.0</v>
      </c>
      <c r="AE29" s="131" t="s">
        <v>710</v>
      </c>
      <c r="AF29" s="130">
        <v>8.0</v>
      </c>
      <c r="AG29" s="131" t="s">
        <v>712</v>
      </c>
      <c r="AH29" s="132">
        <v>9.0</v>
      </c>
      <c r="AI29" s="135" t="s">
        <v>707</v>
      </c>
      <c r="AJ29" s="132">
        <v>6.0</v>
      </c>
      <c r="AK29" s="135" t="s">
        <v>708</v>
      </c>
    </row>
    <row r="30" ht="15.75" customHeight="1">
      <c r="A30" s="48" t="s">
        <v>233</v>
      </c>
      <c r="B30" s="54" t="s">
        <v>175</v>
      </c>
      <c r="C30" s="129">
        <v>52.0</v>
      </c>
      <c r="D30" s="130">
        <v>10.0</v>
      </c>
      <c r="E30" s="131" t="s">
        <v>703</v>
      </c>
      <c r="F30" s="130">
        <v>80.0</v>
      </c>
      <c r="G30" s="130">
        <v>50.0</v>
      </c>
      <c r="H30" s="131" t="s">
        <v>703</v>
      </c>
      <c r="I30" s="130">
        <v>6.0</v>
      </c>
      <c r="J30" s="130">
        <v>17.0</v>
      </c>
      <c r="K30" s="131" t="s">
        <v>703</v>
      </c>
      <c r="L30" s="130">
        <v>4.0</v>
      </c>
      <c r="M30" s="130">
        <v>12.0</v>
      </c>
      <c r="N30" s="130" t="s">
        <v>703</v>
      </c>
      <c r="O30" s="130">
        <v>40.0</v>
      </c>
      <c r="P30" s="130">
        <v>5.0</v>
      </c>
      <c r="Q30" s="130" t="s">
        <v>706</v>
      </c>
      <c r="R30" s="130">
        <v>40.0</v>
      </c>
      <c r="S30" s="130">
        <v>5.0</v>
      </c>
      <c r="T30" s="130" t="s">
        <v>706</v>
      </c>
      <c r="U30" s="130">
        <v>31.0</v>
      </c>
      <c r="V30" s="130">
        <v>17.0</v>
      </c>
      <c r="W30" s="130" t="s">
        <v>703</v>
      </c>
      <c r="X30" s="130">
        <v>11.0</v>
      </c>
      <c r="Y30" s="130">
        <v>93.0</v>
      </c>
      <c r="Z30" s="130" t="s">
        <v>703</v>
      </c>
      <c r="AA30" s="130">
        <v>29.0</v>
      </c>
      <c r="AB30" s="130">
        <v>1.15</v>
      </c>
      <c r="AC30" s="131" t="s">
        <v>703</v>
      </c>
      <c r="AD30" s="132" t="s">
        <v>133</v>
      </c>
      <c r="AE30" s="133" t="s">
        <v>133</v>
      </c>
      <c r="AF30" s="132" t="s">
        <v>133</v>
      </c>
      <c r="AG30" s="133" t="s">
        <v>133</v>
      </c>
      <c r="AH30" s="134">
        <v>12.0</v>
      </c>
      <c r="AI30" s="135" t="s">
        <v>707</v>
      </c>
      <c r="AJ30" s="134">
        <v>18.0</v>
      </c>
      <c r="AK30" s="135" t="s">
        <v>711</v>
      </c>
    </row>
    <row r="31" ht="15.75" customHeight="1">
      <c r="A31" s="48" t="s">
        <v>236</v>
      </c>
      <c r="B31" s="54" t="s">
        <v>175</v>
      </c>
      <c r="C31" s="129">
        <v>46.0</v>
      </c>
      <c r="D31" s="130">
        <v>15.0</v>
      </c>
      <c r="E31" s="131" t="s">
        <v>703</v>
      </c>
      <c r="F31" s="130">
        <v>159.0</v>
      </c>
      <c r="G31" s="130">
        <v>6.0</v>
      </c>
      <c r="H31" s="131" t="s">
        <v>709</v>
      </c>
      <c r="I31" s="130">
        <v>5.0</v>
      </c>
      <c r="J31" s="130">
        <v>5.0</v>
      </c>
      <c r="K31" s="131" t="s">
        <v>706</v>
      </c>
      <c r="L31" s="130">
        <v>3.0</v>
      </c>
      <c r="M31" s="130">
        <v>3.0</v>
      </c>
      <c r="N31" s="130" t="s">
        <v>706</v>
      </c>
      <c r="O31" s="130">
        <v>83.0</v>
      </c>
      <c r="P31" s="130">
        <v>17.0</v>
      </c>
      <c r="Q31" s="130" t="s">
        <v>703</v>
      </c>
      <c r="R31" s="130">
        <v>47.0</v>
      </c>
      <c r="S31" s="130">
        <v>5.0</v>
      </c>
      <c r="T31" s="130" t="s">
        <v>706</v>
      </c>
      <c r="U31" s="130">
        <v>32.0</v>
      </c>
      <c r="V31" s="130">
        <v>20.0</v>
      </c>
      <c r="W31" s="130" t="s">
        <v>703</v>
      </c>
      <c r="X31" s="130">
        <v>2.0</v>
      </c>
      <c r="Y31" s="130">
        <v>60.0</v>
      </c>
      <c r="Z31" s="130" t="s">
        <v>703</v>
      </c>
      <c r="AA31" s="130">
        <v>26.0</v>
      </c>
      <c r="AB31" s="130">
        <v>0.2</v>
      </c>
      <c r="AC31" s="131" t="s">
        <v>703</v>
      </c>
      <c r="AD31" s="130">
        <v>10.0</v>
      </c>
      <c r="AE31" s="131" t="s">
        <v>712</v>
      </c>
      <c r="AF31" s="130">
        <v>6.0</v>
      </c>
      <c r="AG31" s="131" t="s">
        <v>704</v>
      </c>
      <c r="AH31" s="134">
        <v>13.0</v>
      </c>
      <c r="AI31" s="135" t="s">
        <v>707</v>
      </c>
      <c r="AJ31" s="134">
        <v>15.0</v>
      </c>
      <c r="AK31" s="135" t="s">
        <v>711</v>
      </c>
    </row>
    <row r="32" ht="15.75" customHeight="1">
      <c r="A32" s="48" t="s">
        <v>237</v>
      </c>
      <c r="B32" s="54" t="s">
        <v>175</v>
      </c>
      <c r="C32" s="129">
        <v>74.0</v>
      </c>
      <c r="D32" s="130">
        <v>1.0</v>
      </c>
      <c r="E32" s="131" t="s">
        <v>706</v>
      </c>
      <c r="F32" s="130">
        <v>91.0</v>
      </c>
      <c r="G32" s="130">
        <v>20.0</v>
      </c>
      <c r="H32" s="131" t="s">
        <v>703</v>
      </c>
      <c r="I32" s="130">
        <v>7.0</v>
      </c>
      <c r="J32" s="130">
        <v>28.0</v>
      </c>
      <c r="K32" s="131" t="s">
        <v>703</v>
      </c>
      <c r="L32" s="130">
        <v>9.0</v>
      </c>
      <c r="M32" s="130">
        <v>90.0</v>
      </c>
      <c r="N32" s="130" t="s">
        <v>703</v>
      </c>
      <c r="O32" s="130">
        <v>120.0</v>
      </c>
      <c r="P32" s="130">
        <v>90.0</v>
      </c>
      <c r="Q32" s="130" t="s">
        <v>703</v>
      </c>
      <c r="R32" s="130">
        <v>80.0</v>
      </c>
      <c r="S32" s="130">
        <v>80.0</v>
      </c>
      <c r="T32" s="130" t="s">
        <v>703</v>
      </c>
      <c r="U32" s="130">
        <v>45.0</v>
      </c>
      <c r="V32" s="130">
        <v>65.0</v>
      </c>
      <c r="W32" s="130" t="s">
        <v>703</v>
      </c>
      <c r="X32" s="130">
        <v>-3.0</v>
      </c>
      <c r="Y32" s="130">
        <v>30.0</v>
      </c>
      <c r="Z32" s="130" t="s">
        <v>703</v>
      </c>
      <c r="AA32" s="130">
        <v>26.0</v>
      </c>
      <c r="AB32" s="130">
        <v>0.21</v>
      </c>
      <c r="AC32" s="131" t="s">
        <v>703</v>
      </c>
      <c r="AD32" s="132" t="s">
        <v>133</v>
      </c>
      <c r="AE32" s="133" t="s">
        <v>133</v>
      </c>
      <c r="AF32" s="132" t="s">
        <v>133</v>
      </c>
      <c r="AG32" s="133" t="s">
        <v>133</v>
      </c>
      <c r="AH32" s="134">
        <v>17.0</v>
      </c>
      <c r="AI32" s="135" t="s">
        <v>707</v>
      </c>
      <c r="AJ32" s="134">
        <v>16.0</v>
      </c>
      <c r="AK32" s="135" t="s">
        <v>707</v>
      </c>
    </row>
    <row r="33" ht="15.75" customHeight="1">
      <c r="A33" s="48" t="s">
        <v>241</v>
      </c>
      <c r="B33" s="54" t="s">
        <v>175</v>
      </c>
      <c r="C33" s="129">
        <v>71.0</v>
      </c>
      <c r="D33" s="130">
        <v>1.0</v>
      </c>
      <c r="E33" s="131" t="s">
        <v>706</v>
      </c>
      <c r="F33" s="130">
        <v>94.0</v>
      </c>
      <c r="G33" s="130">
        <v>20.0</v>
      </c>
      <c r="H33" s="131" t="s">
        <v>703</v>
      </c>
      <c r="I33" s="130">
        <v>6.0</v>
      </c>
      <c r="J33" s="130">
        <v>16.0</v>
      </c>
      <c r="K33" s="131" t="s">
        <v>703</v>
      </c>
      <c r="L33" s="130">
        <v>5.0</v>
      </c>
      <c r="M33" s="130">
        <v>53.0</v>
      </c>
      <c r="N33" s="130" t="s">
        <v>703</v>
      </c>
      <c r="O33" s="130">
        <v>75.0</v>
      </c>
      <c r="P33" s="130">
        <v>10.0</v>
      </c>
      <c r="Q33" s="130" t="s">
        <v>703</v>
      </c>
      <c r="R33" s="130">
        <v>57.0</v>
      </c>
      <c r="S33" s="130">
        <v>30.0</v>
      </c>
      <c r="T33" s="130" t="s">
        <v>703</v>
      </c>
      <c r="U33" s="130">
        <v>41.0</v>
      </c>
      <c r="V33" s="130">
        <v>70.0</v>
      </c>
      <c r="W33" s="130" t="s">
        <v>703</v>
      </c>
      <c r="X33" s="130">
        <v>9.0</v>
      </c>
      <c r="Y33" s="130">
        <v>90.0</v>
      </c>
      <c r="Z33" s="130" t="s">
        <v>703</v>
      </c>
      <c r="AA33" s="130">
        <v>27.0</v>
      </c>
      <c r="AB33" s="130">
        <v>0.53</v>
      </c>
      <c r="AC33" s="131" t="s">
        <v>703</v>
      </c>
      <c r="AD33" s="119">
        <v>7.0</v>
      </c>
      <c r="AE33" s="120" t="s">
        <v>704</v>
      </c>
      <c r="AF33" s="119">
        <v>4.0</v>
      </c>
      <c r="AG33" s="120" t="s">
        <v>704</v>
      </c>
      <c r="AH33" s="134">
        <v>3.0</v>
      </c>
      <c r="AI33" s="135" t="s">
        <v>704</v>
      </c>
      <c r="AJ33" s="134">
        <v>3.0</v>
      </c>
      <c r="AK33" s="135" t="s">
        <v>704</v>
      </c>
    </row>
    <row r="34" ht="15.75" customHeight="1">
      <c r="A34" s="48" t="s">
        <v>242</v>
      </c>
      <c r="B34" s="54" t="s">
        <v>175</v>
      </c>
      <c r="C34" s="129">
        <v>97.0</v>
      </c>
      <c r="D34" s="130">
        <v>1.0</v>
      </c>
      <c r="E34" s="131" t="s">
        <v>706</v>
      </c>
      <c r="F34" s="130">
        <v>85.0</v>
      </c>
      <c r="G34" s="130">
        <v>25.0</v>
      </c>
      <c r="H34" s="131" t="s">
        <v>703</v>
      </c>
      <c r="I34" s="130">
        <v>9.0</v>
      </c>
      <c r="J34" s="130">
        <v>64.0</v>
      </c>
      <c r="K34" s="131" t="s">
        <v>703</v>
      </c>
      <c r="L34" s="130">
        <v>6.0</v>
      </c>
      <c r="M34" s="130">
        <v>53.0</v>
      </c>
      <c r="N34" s="130" t="s">
        <v>703</v>
      </c>
      <c r="O34" s="130">
        <v>114.0</v>
      </c>
      <c r="P34" s="130">
        <v>85.0</v>
      </c>
      <c r="Q34" s="130" t="s">
        <v>703</v>
      </c>
      <c r="R34" s="130">
        <v>77.0</v>
      </c>
      <c r="S34" s="130">
        <v>85.0</v>
      </c>
      <c r="T34" s="130" t="s">
        <v>703</v>
      </c>
      <c r="U34" s="130">
        <v>48.0</v>
      </c>
      <c r="V34" s="130">
        <v>90.0</v>
      </c>
      <c r="W34" s="130" t="s">
        <v>703</v>
      </c>
      <c r="X34" s="130">
        <v>2.0</v>
      </c>
      <c r="Y34" s="130">
        <v>70.0</v>
      </c>
      <c r="Z34" s="130" t="s">
        <v>703</v>
      </c>
      <c r="AA34" s="130">
        <v>29.0</v>
      </c>
      <c r="AB34" s="130">
        <v>1.15</v>
      </c>
      <c r="AC34" s="131" t="s">
        <v>703</v>
      </c>
      <c r="AD34" s="130">
        <v>4.0</v>
      </c>
      <c r="AE34" s="131" t="s">
        <v>704</v>
      </c>
      <c r="AF34" s="130">
        <v>3.0</v>
      </c>
      <c r="AG34" s="131" t="s">
        <v>704</v>
      </c>
      <c r="AH34" s="134">
        <v>2.0</v>
      </c>
      <c r="AI34" s="135" t="s">
        <v>704</v>
      </c>
      <c r="AJ34" s="134">
        <v>3.0</v>
      </c>
      <c r="AK34" s="135" t="s">
        <v>704</v>
      </c>
    </row>
    <row r="35" ht="15.75" customHeight="1">
      <c r="A35" s="48" t="s">
        <v>245</v>
      </c>
      <c r="B35" s="54" t="s">
        <v>175</v>
      </c>
      <c r="C35" s="129">
        <v>32.0</v>
      </c>
      <c r="D35" s="130">
        <v>35.0</v>
      </c>
      <c r="E35" s="131" t="s">
        <v>703</v>
      </c>
      <c r="F35" s="130">
        <v>118.0</v>
      </c>
      <c r="G35" s="130">
        <v>10.0</v>
      </c>
      <c r="H35" s="131" t="s">
        <v>703</v>
      </c>
      <c r="I35" s="130">
        <v>5.0</v>
      </c>
      <c r="J35" s="130">
        <v>23.0</v>
      </c>
      <c r="K35" s="131" t="s">
        <v>706</v>
      </c>
      <c r="L35" s="130">
        <v>5.0</v>
      </c>
      <c r="M35" s="130">
        <v>27.0</v>
      </c>
      <c r="N35" s="130" t="s">
        <v>703</v>
      </c>
      <c r="O35" s="130">
        <v>77.0</v>
      </c>
      <c r="P35" s="130">
        <v>5.0</v>
      </c>
      <c r="Q35" s="130" t="s">
        <v>709</v>
      </c>
      <c r="R35" s="130">
        <v>47.0</v>
      </c>
      <c r="S35" s="130">
        <v>25.0</v>
      </c>
      <c r="T35" s="130" t="s">
        <v>706</v>
      </c>
      <c r="U35" s="130">
        <v>35.0</v>
      </c>
      <c r="V35" s="130">
        <v>20.0</v>
      </c>
      <c r="W35" s="130" t="s">
        <v>703</v>
      </c>
      <c r="X35" s="130">
        <v>6.0</v>
      </c>
      <c r="Y35" s="130">
        <v>70.0</v>
      </c>
      <c r="Z35" s="130" t="s">
        <v>703</v>
      </c>
      <c r="AA35" s="130">
        <v>25.0</v>
      </c>
      <c r="AB35" s="130">
        <v>1.08</v>
      </c>
      <c r="AC35" s="131" t="s">
        <v>703</v>
      </c>
      <c r="AD35" s="119">
        <v>3.0</v>
      </c>
      <c r="AE35" s="120" t="s">
        <v>704</v>
      </c>
      <c r="AF35" s="119">
        <v>6.0</v>
      </c>
      <c r="AG35" s="120" t="s">
        <v>704</v>
      </c>
      <c r="AH35" s="134">
        <v>3.0</v>
      </c>
      <c r="AI35" s="135" t="s">
        <v>704</v>
      </c>
      <c r="AJ35" s="134">
        <v>4.0</v>
      </c>
      <c r="AK35" s="135" t="s">
        <v>704</v>
      </c>
    </row>
    <row r="36" ht="15.75" customHeight="1">
      <c r="A36" s="48" t="s">
        <v>249</v>
      </c>
      <c r="B36" s="54" t="s">
        <v>175</v>
      </c>
      <c r="C36" s="129">
        <v>31.0</v>
      </c>
      <c r="D36" s="130">
        <v>35.0</v>
      </c>
      <c r="E36" s="131" t="s">
        <v>703</v>
      </c>
      <c r="F36" s="130">
        <v>48.0</v>
      </c>
      <c r="G36" s="130">
        <v>70.0</v>
      </c>
      <c r="H36" s="131" t="s">
        <v>703</v>
      </c>
      <c r="I36" s="130">
        <v>9.0</v>
      </c>
      <c r="J36" s="130">
        <v>67.0</v>
      </c>
      <c r="K36" s="131" t="s">
        <v>703</v>
      </c>
      <c r="L36" s="130">
        <v>8.0</v>
      </c>
      <c r="M36" s="130">
        <v>81.0</v>
      </c>
      <c r="N36" s="130" t="s">
        <v>703</v>
      </c>
      <c r="O36" s="130">
        <v>124.0</v>
      </c>
      <c r="P36" s="130">
        <v>95.0</v>
      </c>
      <c r="Q36" s="130" t="s">
        <v>703</v>
      </c>
      <c r="R36" s="130">
        <v>64.0</v>
      </c>
      <c r="S36" s="130">
        <v>35.0</v>
      </c>
      <c r="T36" s="130" t="s">
        <v>703</v>
      </c>
      <c r="U36" s="130">
        <v>43.0</v>
      </c>
      <c r="V36" s="130">
        <v>60.0</v>
      </c>
      <c r="W36" s="130" t="s">
        <v>703</v>
      </c>
      <c r="X36" s="130">
        <v>1.0</v>
      </c>
      <c r="Y36" s="130">
        <v>50.0</v>
      </c>
      <c r="Z36" s="130" t="s">
        <v>703</v>
      </c>
      <c r="AA36" s="130">
        <v>28.0</v>
      </c>
      <c r="AB36" s="130">
        <v>0.8</v>
      </c>
      <c r="AC36" s="131" t="s">
        <v>703</v>
      </c>
      <c r="AD36" s="130">
        <v>16.0</v>
      </c>
      <c r="AE36" s="131" t="s">
        <v>710</v>
      </c>
      <c r="AF36" s="130">
        <v>15.0</v>
      </c>
      <c r="AG36" s="131" t="s">
        <v>710</v>
      </c>
      <c r="AH36" s="134">
        <v>16.0</v>
      </c>
      <c r="AI36" s="135" t="s">
        <v>711</v>
      </c>
      <c r="AJ36" s="134">
        <v>5.0</v>
      </c>
      <c r="AK36" s="135" t="s">
        <v>708</v>
      </c>
    </row>
    <row r="37" ht="15.75" customHeight="1">
      <c r="A37" s="48" t="s">
        <v>250</v>
      </c>
      <c r="B37" s="54" t="s">
        <v>175</v>
      </c>
      <c r="C37" s="129">
        <v>43.0</v>
      </c>
      <c r="D37" s="130">
        <v>20.0</v>
      </c>
      <c r="E37" s="131" t="s">
        <v>703</v>
      </c>
      <c r="F37" s="130">
        <v>84.0</v>
      </c>
      <c r="G37" s="130">
        <v>45.0</v>
      </c>
      <c r="H37" s="131" t="s">
        <v>703</v>
      </c>
      <c r="I37" s="130">
        <v>6.0</v>
      </c>
      <c r="J37" s="130">
        <v>18.0</v>
      </c>
      <c r="K37" s="131" t="s">
        <v>703</v>
      </c>
      <c r="L37" s="130">
        <v>5.0</v>
      </c>
      <c r="M37" s="130">
        <v>31.0</v>
      </c>
      <c r="N37" s="130" t="s">
        <v>703</v>
      </c>
      <c r="O37" s="130">
        <v>67.0</v>
      </c>
      <c r="P37" s="130">
        <v>5.0</v>
      </c>
      <c r="Q37" s="130" t="s">
        <v>706</v>
      </c>
      <c r="R37" s="130">
        <v>44.0</v>
      </c>
      <c r="S37" s="130">
        <v>5.0</v>
      </c>
      <c r="T37" s="130" t="s">
        <v>706</v>
      </c>
      <c r="U37" s="130">
        <v>36.0</v>
      </c>
      <c r="V37" s="130">
        <v>35.0</v>
      </c>
      <c r="W37" s="130" t="s">
        <v>703</v>
      </c>
      <c r="X37" s="130">
        <v>10.0</v>
      </c>
      <c r="Y37" s="130">
        <v>90.0</v>
      </c>
      <c r="Z37" s="130" t="s">
        <v>703</v>
      </c>
      <c r="AA37" s="130">
        <v>26.0</v>
      </c>
      <c r="AB37" s="130">
        <v>0.2</v>
      </c>
      <c r="AC37" s="131" t="s">
        <v>703</v>
      </c>
      <c r="AD37" s="130">
        <v>5.0</v>
      </c>
      <c r="AE37" s="120" t="s">
        <v>704</v>
      </c>
      <c r="AF37" s="130">
        <v>5.0</v>
      </c>
      <c r="AG37" s="120" t="s">
        <v>704</v>
      </c>
      <c r="AH37" s="134">
        <v>16.0</v>
      </c>
      <c r="AI37" s="135" t="s">
        <v>711</v>
      </c>
      <c r="AJ37" s="134">
        <v>15.0</v>
      </c>
      <c r="AK37" s="135" t="s">
        <v>711</v>
      </c>
    </row>
    <row r="38" ht="15.75" customHeight="1">
      <c r="A38" s="48" t="s">
        <v>253</v>
      </c>
      <c r="B38" s="54" t="s">
        <v>175</v>
      </c>
      <c r="C38" s="129">
        <v>39.0</v>
      </c>
      <c r="D38" s="130">
        <v>35.0</v>
      </c>
      <c r="E38" s="131" t="s">
        <v>703</v>
      </c>
      <c r="F38" s="130">
        <v>79.0</v>
      </c>
      <c r="G38" s="130">
        <v>50.0</v>
      </c>
      <c r="H38" s="131" t="s">
        <v>703</v>
      </c>
      <c r="I38" s="130">
        <v>7.0</v>
      </c>
      <c r="J38" s="130">
        <v>35.0</v>
      </c>
      <c r="K38" s="131" t="s">
        <v>703</v>
      </c>
      <c r="L38" s="130">
        <v>5.0</v>
      </c>
      <c r="M38" s="130">
        <v>31.0</v>
      </c>
      <c r="N38" s="130" t="s">
        <v>703</v>
      </c>
      <c r="O38" s="130">
        <v>66.0</v>
      </c>
      <c r="P38" s="130">
        <v>5.0</v>
      </c>
      <c r="Q38" s="130" t="s">
        <v>706</v>
      </c>
      <c r="R38" s="130">
        <v>52.0</v>
      </c>
      <c r="S38" s="130">
        <v>10.0</v>
      </c>
      <c r="T38" s="130" t="s">
        <v>709</v>
      </c>
      <c r="U38" s="130">
        <v>29.0</v>
      </c>
      <c r="V38" s="130">
        <v>15.0</v>
      </c>
      <c r="W38" s="130" t="s">
        <v>703</v>
      </c>
      <c r="X38" s="130">
        <v>0.0</v>
      </c>
      <c r="Y38" s="130">
        <v>50.0</v>
      </c>
      <c r="Z38" s="130" t="s">
        <v>703</v>
      </c>
      <c r="AA38" s="130">
        <v>24.0</v>
      </c>
      <c r="AB38" s="130">
        <v>-0.4</v>
      </c>
      <c r="AC38" s="131" t="s">
        <v>703</v>
      </c>
      <c r="AD38" s="130">
        <v>6.0</v>
      </c>
      <c r="AE38" s="120" t="s">
        <v>704</v>
      </c>
      <c r="AF38" s="130">
        <v>6.0</v>
      </c>
      <c r="AG38" s="120" t="s">
        <v>704</v>
      </c>
      <c r="AH38" s="132" t="s">
        <v>133</v>
      </c>
      <c r="AI38" s="133" t="s">
        <v>133</v>
      </c>
      <c r="AJ38" s="132" t="s">
        <v>133</v>
      </c>
      <c r="AK38" s="133" t="s">
        <v>133</v>
      </c>
    </row>
    <row r="39" ht="15.0" customHeight="1">
      <c r="A39" s="48" t="s">
        <v>255</v>
      </c>
      <c r="B39" s="54" t="s">
        <v>175</v>
      </c>
      <c r="C39" s="129">
        <v>36.0</v>
      </c>
      <c r="D39" s="130">
        <v>25.0</v>
      </c>
      <c r="E39" s="131" t="s">
        <v>703</v>
      </c>
      <c r="F39" s="130">
        <v>81.0</v>
      </c>
      <c r="G39" s="130">
        <v>25.0</v>
      </c>
      <c r="H39" s="131" t="s">
        <v>703</v>
      </c>
      <c r="I39" s="130">
        <v>10.0</v>
      </c>
      <c r="J39" s="130">
        <v>81.0</v>
      </c>
      <c r="K39" s="131" t="s">
        <v>703</v>
      </c>
      <c r="L39" s="130">
        <v>4.0</v>
      </c>
      <c r="M39" s="130">
        <v>9.0</v>
      </c>
      <c r="N39" s="130" t="s">
        <v>709</v>
      </c>
      <c r="O39" s="130">
        <v>103.0</v>
      </c>
      <c r="P39" s="130">
        <v>60.0</v>
      </c>
      <c r="Q39" s="130" t="s">
        <v>703</v>
      </c>
      <c r="R39" s="130">
        <v>70.0</v>
      </c>
      <c r="S39" s="130">
        <v>50.0</v>
      </c>
      <c r="T39" s="130" t="s">
        <v>703</v>
      </c>
      <c r="U39" s="130">
        <v>41.0</v>
      </c>
      <c r="V39" s="130">
        <v>45.0</v>
      </c>
      <c r="W39" s="130" t="s">
        <v>703</v>
      </c>
      <c r="X39" s="130">
        <v>0.0</v>
      </c>
      <c r="Y39" s="130">
        <v>40.0</v>
      </c>
      <c r="Z39" s="130" t="s">
        <v>703</v>
      </c>
      <c r="AA39" s="130">
        <v>28.0</v>
      </c>
      <c r="AB39" s="130">
        <v>0.8</v>
      </c>
      <c r="AC39" s="131" t="s">
        <v>703</v>
      </c>
      <c r="AD39" s="130">
        <v>6.0</v>
      </c>
      <c r="AE39" s="131" t="s">
        <v>704</v>
      </c>
      <c r="AF39" s="130">
        <v>4.0</v>
      </c>
      <c r="AG39" s="131" t="s">
        <v>704</v>
      </c>
      <c r="AH39" s="134">
        <v>3.0</v>
      </c>
      <c r="AI39" s="135" t="s">
        <v>704</v>
      </c>
      <c r="AJ39" s="134">
        <v>1.0</v>
      </c>
      <c r="AK39" s="135" t="s">
        <v>704</v>
      </c>
    </row>
    <row r="40" ht="15.75" customHeight="1">
      <c r="A40" s="48" t="s">
        <v>258</v>
      </c>
      <c r="B40" s="54" t="s">
        <v>175</v>
      </c>
      <c r="C40" s="129">
        <v>35.0</v>
      </c>
      <c r="D40" s="130">
        <v>45.0</v>
      </c>
      <c r="E40" s="131" t="s">
        <v>703</v>
      </c>
      <c r="F40" s="130">
        <v>74.0</v>
      </c>
      <c r="G40" s="130">
        <v>60.0</v>
      </c>
      <c r="H40" s="131" t="s">
        <v>703</v>
      </c>
      <c r="I40" s="130">
        <v>8.0</v>
      </c>
      <c r="J40" s="130">
        <v>51.0</v>
      </c>
      <c r="K40" s="131" t="s">
        <v>703</v>
      </c>
      <c r="L40" s="130">
        <v>7.0</v>
      </c>
      <c r="M40" s="130">
        <v>72.0</v>
      </c>
      <c r="N40" s="130" t="s">
        <v>703</v>
      </c>
      <c r="O40" s="130">
        <v>83.0</v>
      </c>
      <c r="P40" s="130">
        <v>20.0</v>
      </c>
      <c r="Q40" s="130" t="s">
        <v>703</v>
      </c>
      <c r="R40" s="130">
        <v>50.0</v>
      </c>
      <c r="S40" s="130">
        <v>10.0</v>
      </c>
      <c r="T40" s="130" t="s">
        <v>709</v>
      </c>
      <c r="U40" s="130">
        <v>28.0</v>
      </c>
      <c r="V40" s="130">
        <v>15.0</v>
      </c>
      <c r="W40" s="130" t="s">
        <v>703</v>
      </c>
      <c r="X40" s="130">
        <v>-3.0</v>
      </c>
      <c r="Y40" s="130">
        <v>35.0</v>
      </c>
      <c r="Z40" s="130" t="s">
        <v>703</v>
      </c>
      <c r="AA40" s="130">
        <v>29.0</v>
      </c>
      <c r="AB40" s="130">
        <v>1.15</v>
      </c>
      <c r="AC40" s="131" t="s">
        <v>703</v>
      </c>
      <c r="AD40" s="119">
        <v>10.0</v>
      </c>
      <c r="AE40" s="120" t="s">
        <v>712</v>
      </c>
      <c r="AF40" s="119">
        <v>8.0</v>
      </c>
      <c r="AG40" s="120" t="s">
        <v>712</v>
      </c>
      <c r="AH40" s="134">
        <v>12.0</v>
      </c>
      <c r="AI40" s="135" t="s">
        <v>707</v>
      </c>
      <c r="AJ40" s="134">
        <v>16.0</v>
      </c>
      <c r="AK40" s="135" t="s">
        <v>711</v>
      </c>
    </row>
    <row r="41" ht="15.75" customHeight="1">
      <c r="A41" s="48" t="s">
        <v>262</v>
      </c>
      <c r="B41" s="54" t="s">
        <v>175</v>
      </c>
      <c r="C41" s="129">
        <v>60.0</v>
      </c>
      <c r="D41" s="130">
        <v>2.0</v>
      </c>
      <c r="E41" s="131" t="s">
        <v>706</v>
      </c>
      <c r="F41" s="130">
        <v>114.0</v>
      </c>
      <c r="G41" s="130">
        <v>10.0</v>
      </c>
      <c r="H41" s="131" t="s">
        <v>703</v>
      </c>
      <c r="I41" s="130">
        <v>5.0</v>
      </c>
      <c r="J41" s="130">
        <v>3.0</v>
      </c>
      <c r="K41" s="131" t="s">
        <v>706</v>
      </c>
      <c r="L41" s="130">
        <v>3.0</v>
      </c>
      <c r="M41" s="130">
        <v>3.0</v>
      </c>
      <c r="N41" s="130" t="s">
        <v>706</v>
      </c>
      <c r="O41" s="130">
        <v>75.0</v>
      </c>
      <c r="P41" s="130">
        <v>10.0</v>
      </c>
      <c r="Q41" s="130" t="s">
        <v>703</v>
      </c>
      <c r="R41" s="130">
        <v>50.0</v>
      </c>
      <c r="S41" s="130">
        <v>10.0</v>
      </c>
      <c r="T41" s="130" t="s">
        <v>703</v>
      </c>
      <c r="U41" s="130">
        <v>31.0</v>
      </c>
      <c r="V41" s="130">
        <v>20.0</v>
      </c>
      <c r="W41" s="130" t="s">
        <v>703</v>
      </c>
      <c r="X41" s="130">
        <v>1.0</v>
      </c>
      <c r="Y41" s="130">
        <v>60.0</v>
      </c>
      <c r="Z41" s="130" t="s">
        <v>703</v>
      </c>
      <c r="AA41" s="130">
        <v>16.0</v>
      </c>
      <c r="AB41" s="130">
        <v>-2.0</v>
      </c>
      <c r="AC41" s="131" t="s">
        <v>706</v>
      </c>
      <c r="AD41" s="130">
        <v>15.0</v>
      </c>
      <c r="AE41" s="131" t="s">
        <v>710</v>
      </c>
      <c r="AF41" s="130">
        <v>7.0</v>
      </c>
      <c r="AG41" s="131" t="s">
        <v>704</v>
      </c>
      <c r="AH41" s="134">
        <v>23.0</v>
      </c>
      <c r="AI41" s="135" t="s">
        <v>711</v>
      </c>
      <c r="AJ41" s="134">
        <v>20.0</v>
      </c>
      <c r="AK41" s="135" t="s">
        <v>711</v>
      </c>
    </row>
    <row r="42" ht="15.75" customHeight="1">
      <c r="A42" s="48" t="s">
        <v>265</v>
      </c>
      <c r="B42" s="54" t="s">
        <v>175</v>
      </c>
      <c r="C42" s="129">
        <v>59.0</v>
      </c>
      <c r="D42" s="130">
        <v>41.0</v>
      </c>
      <c r="E42" s="131" t="s">
        <v>703</v>
      </c>
      <c r="F42" s="130">
        <v>260.0</v>
      </c>
      <c r="G42" s="130">
        <v>6.0</v>
      </c>
      <c r="H42" s="131" t="s">
        <v>706</v>
      </c>
      <c r="I42" s="130">
        <v>4.0</v>
      </c>
      <c r="J42" s="130">
        <v>5.0</v>
      </c>
      <c r="K42" s="131" t="s">
        <v>706</v>
      </c>
      <c r="L42" s="130">
        <v>5.0</v>
      </c>
      <c r="M42" s="130">
        <v>2.0</v>
      </c>
      <c r="N42" s="130" t="s">
        <v>706</v>
      </c>
      <c r="O42" s="130">
        <v>75.0</v>
      </c>
      <c r="P42" s="130">
        <v>20.0</v>
      </c>
      <c r="Q42" s="130" t="s">
        <v>703</v>
      </c>
      <c r="R42" s="130">
        <v>49.0</v>
      </c>
      <c r="S42" s="130">
        <v>25.0</v>
      </c>
      <c r="T42" s="130" t="s">
        <v>703</v>
      </c>
      <c r="U42" s="130">
        <v>29.0</v>
      </c>
      <c r="V42" s="130">
        <v>40.0</v>
      </c>
      <c r="W42" s="130" t="s">
        <v>703</v>
      </c>
      <c r="X42" s="130">
        <v>0.0</v>
      </c>
      <c r="Y42" s="130">
        <v>70.0</v>
      </c>
      <c r="Z42" s="130" t="s">
        <v>703</v>
      </c>
      <c r="AA42" s="130">
        <v>18.0</v>
      </c>
      <c r="AB42" s="130">
        <v>-0.9</v>
      </c>
      <c r="AC42" s="131" t="s">
        <v>703</v>
      </c>
      <c r="AD42" s="119">
        <v>19.0</v>
      </c>
      <c r="AE42" s="120" t="s">
        <v>710</v>
      </c>
      <c r="AF42" s="119">
        <v>16.0</v>
      </c>
      <c r="AG42" s="136" t="s">
        <v>710</v>
      </c>
      <c r="AH42" s="132" t="s">
        <v>133</v>
      </c>
      <c r="AI42" s="133" t="s">
        <v>133</v>
      </c>
      <c r="AJ42" s="132" t="s">
        <v>133</v>
      </c>
      <c r="AK42" s="133" t="s">
        <v>133</v>
      </c>
    </row>
    <row r="43" ht="15.75" customHeight="1">
      <c r="A43" s="48" t="s">
        <v>268</v>
      </c>
      <c r="B43" s="54" t="s">
        <v>175</v>
      </c>
      <c r="C43" s="129">
        <v>40.0</v>
      </c>
      <c r="D43" s="130">
        <v>30.0</v>
      </c>
      <c r="E43" s="131" t="s">
        <v>703</v>
      </c>
      <c r="F43" s="130">
        <v>54.0</v>
      </c>
      <c r="G43" s="130">
        <v>95.0</v>
      </c>
      <c r="H43" s="131" t="s">
        <v>703</v>
      </c>
      <c r="I43" s="130">
        <v>6.0</v>
      </c>
      <c r="J43" s="130">
        <v>17.0</v>
      </c>
      <c r="K43" s="131" t="s">
        <v>703</v>
      </c>
      <c r="L43" s="130">
        <v>5.0</v>
      </c>
      <c r="M43" s="130">
        <v>29.0</v>
      </c>
      <c r="N43" s="130" t="s">
        <v>703</v>
      </c>
      <c r="O43" s="130">
        <v>95.0</v>
      </c>
      <c r="P43" s="130">
        <v>45.0</v>
      </c>
      <c r="Q43" s="130" t="s">
        <v>703</v>
      </c>
      <c r="R43" s="130">
        <v>73.0</v>
      </c>
      <c r="S43" s="130">
        <v>65.0</v>
      </c>
      <c r="T43" s="130" t="s">
        <v>703</v>
      </c>
      <c r="U43" s="130">
        <v>39.0</v>
      </c>
      <c r="V43" s="130">
        <v>50.0</v>
      </c>
      <c r="W43" s="130" t="s">
        <v>703</v>
      </c>
      <c r="X43" s="130">
        <v>-2.0</v>
      </c>
      <c r="Y43" s="130">
        <v>40.0</v>
      </c>
      <c r="Z43" s="130" t="s">
        <v>703</v>
      </c>
      <c r="AA43" s="130">
        <v>27.0</v>
      </c>
      <c r="AB43" s="130">
        <v>0.5</v>
      </c>
      <c r="AC43" s="131" t="s">
        <v>703</v>
      </c>
      <c r="AD43" s="119">
        <v>5.0</v>
      </c>
      <c r="AE43" s="120" t="s">
        <v>704</v>
      </c>
      <c r="AF43" s="119">
        <v>5.0</v>
      </c>
      <c r="AG43" s="120" t="s">
        <v>704</v>
      </c>
      <c r="AH43" s="132" t="s">
        <v>133</v>
      </c>
      <c r="AI43" s="133" t="s">
        <v>133</v>
      </c>
      <c r="AJ43" s="132" t="s">
        <v>133</v>
      </c>
      <c r="AK43" s="133" t="s">
        <v>133</v>
      </c>
    </row>
    <row r="44" ht="15.75" customHeight="1">
      <c r="A44" s="129" t="s">
        <v>271</v>
      </c>
      <c r="B44" s="54" t="s">
        <v>175</v>
      </c>
      <c r="C44" s="129">
        <v>25.0</v>
      </c>
      <c r="D44" s="130">
        <v>65.0</v>
      </c>
      <c r="E44" s="131" t="s">
        <v>703</v>
      </c>
      <c r="F44" s="130">
        <v>53.0</v>
      </c>
      <c r="G44" s="130">
        <v>65.0</v>
      </c>
      <c r="H44" s="131" t="s">
        <v>703</v>
      </c>
      <c r="I44" s="130">
        <v>6.0</v>
      </c>
      <c r="J44" s="130">
        <v>16.0</v>
      </c>
      <c r="K44" s="131" t="s">
        <v>703</v>
      </c>
      <c r="L44" s="130">
        <v>4.0</v>
      </c>
      <c r="M44" s="130">
        <v>9.0</v>
      </c>
      <c r="N44" s="130" t="s">
        <v>709</v>
      </c>
      <c r="O44" s="130">
        <v>125.0</v>
      </c>
      <c r="P44" s="130">
        <v>95.0</v>
      </c>
      <c r="Q44" s="130" t="s">
        <v>703</v>
      </c>
      <c r="R44" s="130">
        <v>89.0</v>
      </c>
      <c r="S44" s="130">
        <v>92.0</v>
      </c>
      <c r="T44" s="130" t="s">
        <v>703</v>
      </c>
      <c r="U44" s="130">
        <v>37.0</v>
      </c>
      <c r="V44" s="130">
        <v>30.0</v>
      </c>
      <c r="W44" s="130" t="s">
        <v>703</v>
      </c>
      <c r="X44" s="130">
        <v>-15.0</v>
      </c>
      <c r="Y44" s="130">
        <v>5.0</v>
      </c>
      <c r="Z44" s="130" t="s">
        <v>706</v>
      </c>
      <c r="AA44" s="130">
        <v>23.0</v>
      </c>
      <c r="AB44" s="130">
        <v>-0.71</v>
      </c>
      <c r="AC44" s="131" t="s">
        <v>703</v>
      </c>
      <c r="AD44" s="119">
        <v>0.0</v>
      </c>
      <c r="AE44" s="120" t="s">
        <v>704</v>
      </c>
      <c r="AF44" s="119">
        <v>6.0</v>
      </c>
      <c r="AG44" s="120" t="s">
        <v>704</v>
      </c>
      <c r="AH44" s="132" t="s">
        <v>133</v>
      </c>
      <c r="AI44" s="133" t="s">
        <v>133</v>
      </c>
      <c r="AJ44" s="132" t="s">
        <v>133</v>
      </c>
      <c r="AK44" s="133" t="s">
        <v>133</v>
      </c>
    </row>
    <row r="45" ht="15.75" customHeight="1">
      <c r="A45" s="129" t="s">
        <v>274</v>
      </c>
      <c r="B45" s="54" t="s">
        <v>175</v>
      </c>
      <c r="C45" s="129">
        <v>34.0</v>
      </c>
      <c r="D45" s="130">
        <v>50.0</v>
      </c>
      <c r="E45" s="131" t="s">
        <v>703</v>
      </c>
      <c r="F45" s="130">
        <v>60.0</v>
      </c>
      <c r="G45" s="130">
        <v>85.0</v>
      </c>
      <c r="H45" s="131" t="s">
        <v>703</v>
      </c>
      <c r="I45" s="130">
        <v>5.0</v>
      </c>
      <c r="J45" s="130">
        <v>4.0</v>
      </c>
      <c r="K45" s="131" t="s">
        <v>706</v>
      </c>
      <c r="L45" s="130">
        <v>4.0</v>
      </c>
      <c r="M45" s="130">
        <v>12.0</v>
      </c>
      <c r="N45" s="130" t="s">
        <v>703</v>
      </c>
      <c r="O45" s="130">
        <v>100.0</v>
      </c>
      <c r="P45" s="130">
        <v>60.0</v>
      </c>
      <c r="Q45" s="130" t="s">
        <v>703</v>
      </c>
      <c r="R45" s="130">
        <v>78.0</v>
      </c>
      <c r="S45" s="130">
        <v>75.0</v>
      </c>
      <c r="T45" s="130" t="s">
        <v>703</v>
      </c>
      <c r="U45" s="130">
        <v>40.0</v>
      </c>
      <c r="V45" s="130">
        <v>50.0</v>
      </c>
      <c r="W45" s="130" t="s">
        <v>703</v>
      </c>
      <c r="X45" s="130">
        <v>-3.0</v>
      </c>
      <c r="Y45" s="130">
        <v>30.0</v>
      </c>
      <c r="Z45" s="130" t="s">
        <v>703</v>
      </c>
      <c r="AA45" s="130">
        <v>24.0</v>
      </c>
      <c r="AB45" s="130">
        <v>-0.4</v>
      </c>
      <c r="AC45" s="131" t="s">
        <v>703</v>
      </c>
      <c r="AD45" s="130">
        <v>15.0</v>
      </c>
      <c r="AE45" s="131" t="s">
        <v>710</v>
      </c>
      <c r="AF45" s="130">
        <v>9.0</v>
      </c>
      <c r="AG45" s="131" t="s">
        <v>712</v>
      </c>
      <c r="AH45" s="132" t="s">
        <v>133</v>
      </c>
      <c r="AI45" s="133" t="s">
        <v>133</v>
      </c>
      <c r="AJ45" s="132" t="s">
        <v>133</v>
      </c>
      <c r="AK45" s="133" t="s">
        <v>133</v>
      </c>
    </row>
    <row r="46" ht="15.75" customHeight="1">
      <c r="A46" s="129" t="s">
        <v>277</v>
      </c>
      <c r="B46" s="54" t="s">
        <v>175</v>
      </c>
      <c r="C46" s="129">
        <v>50.0</v>
      </c>
      <c r="D46" s="130">
        <v>10.0</v>
      </c>
      <c r="E46" s="131" t="s">
        <v>703</v>
      </c>
      <c r="F46" s="130">
        <v>69.0</v>
      </c>
      <c r="G46" s="130">
        <v>30.0</v>
      </c>
      <c r="H46" s="131" t="s">
        <v>703</v>
      </c>
      <c r="I46" s="130">
        <v>7.0</v>
      </c>
      <c r="J46" s="130">
        <v>22.0</v>
      </c>
      <c r="K46" s="131" t="s">
        <v>703</v>
      </c>
      <c r="L46" s="130">
        <v>5.0</v>
      </c>
      <c r="M46" s="130">
        <v>27.0</v>
      </c>
      <c r="N46" s="130" t="s">
        <v>703</v>
      </c>
      <c r="O46" s="130">
        <v>100.0</v>
      </c>
      <c r="P46" s="130">
        <v>55.0</v>
      </c>
      <c r="Q46" s="130" t="s">
        <v>703</v>
      </c>
      <c r="R46" s="130">
        <v>70.0</v>
      </c>
      <c r="S46" s="130">
        <v>50.0</v>
      </c>
      <c r="T46" s="130" t="s">
        <v>703</v>
      </c>
      <c r="U46" s="130">
        <v>44.0</v>
      </c>
      <c r="V46" s="130">
        <v>60.0</v>
      </c>
      <c r="W46" s="130" t="s">
        <v>703</v>
      </c>
      <c r="X46" s="130">
        <v>3.0</v>
      </c>
      <c r="Y46" s="130">
        <v>60.0</v>
      </c>
      <c r="Z46" s="130" t="s">
        <v>703</v>
      </c>
      <c r="AA46" s="130">
        <v>25.0</v>
      </c>
      <c r="AB46" s="130">
        <v>-0.09</v>
      </c>
      <c r="AC46" s="131" t="s">
        <v>709</v>
      </c>
      <c r="AD46" s="132" t="s">
        <v>133</v>
      </c>
      <c r="AE46" s="133" t="s">
        <v>133</v>
      </c>
      <c r="AF46" s="132" t="s">
        <v>133</v>
      </c>
      <c r="AG46" s="133" t="s">
        <v>133</v>
      </c>
      <c r="AH46" s="134">
        <v>10.0</v>
      </c>
      <c r="AI46" s="135" t="s">
        <v>707</v>
      </c>
      <c r="AJ46" s="134">
        <v>10.0</v>
      </c>
      <c r="AK46" s="135" t="s">
        <v>707</v>
      </c>
    </row>
    <row r="47" ht="15.75" customHeight="1">
      <c r="A47" s="129" t="s">
        <v>281</v>
      </c>
      <c r="B47" s="54" t="s">
        <v>175</v>
      </c>
      <c r="C47" s="129">
        <v>24.0</v>
      </c>
      <c r="D47" s="130">
        <v>90.0</v>
      </c>
      <c r="E47" s="131" t="s">
        <v>703</v>
      </c>
      <c r="F47" s="130">
        <v>84.0</v>
      </c>
      <c r="G47" s="130">
        <v>45.0</v>
      </c>
      <c r="H47" s="131" t="s">
        <v>703</v>
      </c>
      <c r="I47" s="130">
        <v>8.0</v>
      </c>
      <c r="J47" s="130">
        <v>51.0</v>
      </c>
      <c r="K47" s="131" t="s">
        <v>703</v>
      </c>
      <c r="L47" s="130">
        <v>4.0</v>
      </c>
      <c r="M47" s="130">
        <v>16.0</v>
      </c>
      <c r="N47" s="130" t="s">
        <v>703</v>
      </c>
      <c r="O47" s="130">
        <v>91.0</v>
      </c>
      <c r="P47" s="130">
        <v>40.0</v>
      </c>
      <c r="Q47" s="130" t="s">
        <v>703</v>
      </c>
      <c r="R47" s="130">
        <v>66.0</v>
      </c>
      <c r="S47" s="130">
        <v>50.0</v>
      </c>
      <c r="T47" s="130" t="s">
        <v>703</v>
      </c>
      <c r="U47" s="130">
        <v>32.0</v>
      </c>
      <c r="V47" s="130">
        <v>25.0</v>
      </c>
      <c r="W47" s="130" t="s">
        <v>703</v>
      </c>
      <c r="X47" s="130">
        <v>6.0</v>
      </c>
      <c r="Y47" s="130">
        <v>80.0</v>
      </c>
      <c r="Z47" s="130" t="s">
        <v>703</v>
      </c>
      <c r="AA47" s="130">
        <v>26.0</v>
      </c>
      <c r="AB47" s="130">
        <v>0.2</v>
      </c>
      <c r="AC47" s="131" t="s">
        <v>703</v>
      </c>
      <c r="AD47" s="130">
        <v>12.0</v>
      </c>
      <c r="AE47" s="131" t="s">
        <v>710</v>
      </c>
      <c r="AF47" s="130">
        <v>9.0</v>
      </c>
      <c r="AG47" s="131" t="s">
        <v>712</v>
      </c>
      <c r="AH47" s="134">
        <v>11.0</v>
      </c>
      <c r="AI47" s="135" t="s">
        <v>707</v>
      </c>
      <c r="AJ47" s="134">
        <v>9.0</v>
      </c>
      <c r="AK47" s="135" t="s">
        <v>708</v>
      </c>
    </row>
    <row r="48" ht="15.75" customHeight="1">
      <c r="A48" s="129" t="s">
        <v>282</v>
      </c>
      <c r="B48" s="54" t="s">
        <v>175</v>
      </c>
      <c r="C48" s="129">
        <v>33.0</v>
      </c>
      <c r="D48" s="130">
        <v>35.0</v>
      </c>
      <c r="E48" s="131" t="s">
        <v>703</v>
      </c>
      <c r="F48" s="130">
        <v>83.0</v>
      </c>
      <c r="G48" s="130">
        <v>25.0</v>
      </c>
      <c r="H48" s="131" t="s">
        <v>703</v>
      </c>
      <c r="I48" s="130">
        <v>6.0</v>
      </c>
      <c r="J48" s="130">
        <v>18.0</v>
      </c>
      <c r="K48" s="131" t="s">
        <v>703</v>
      </c>
      <c r="L48" s="130">
        <v>7.0</v>
      </c>
      <c r="M48" s="130">
        <v>72.0</v>
      </c>
      <c r="N48" s="130" t="s">
        <v>703</v>
      </c>
      <c r="O48" s="130">
        <v>104.0</v>
      </c>
      <c r="P48" s="130">
        <v>75.0</v>
      </c>
      <c r="Q48" s="130" t="s">
        <v>703</v>
      </c>
      <c r="R48" s="130">
        <v>50.0</v>
      </c>
      <c r="S48" s="130">
        <v>10.0</v>
      </c>
      <c r="T48" s="130" t="s">
        <v>709</v>
      </c>
      <c r="U48" s="130">
        <v>38.0</v>
      </c>
      <c r="V48" s="130">
        <v>50.0</v>
      </c>
      <c r="W48" s="130" t="s">
        <v>703</v>
      </c>
      <c r="X48" s="130">
        <v>-5.0</v>
      </c>
      <c r="Y48" s="130">
        <v>25.0</v>
      </c>
      <c r="Z48" s="130" t="s">
        <v>703</v>
      </c>
      <c r="AA48" s="130">
        <v>27.0</v>
      </c>
      <c r="AB48" s="130">
        <v>0.5</v>
      </c>
      <c r="AC48" s="131" t="s">
        <v>703</v>
      </c>
      <c r="AD48" s="119">
        <v>14.0</v>
      </c>
      <c r="AE48" s="120" t="s">
        <v>710</v>
      </c>
      <c r="AF48" s="119">
        <v>11.0</v>
      </c>
      <c r="AG48" s="136" t="s">
        <v>710</v>
      </c>
      <c r="AH48" s="132" t="s">
        <v>133</v>
      </c>
      <c r="AI48" s="133" t="s">
        <v>133</v>
      </c>
      <c r="AJ48" s="132" t="s">
        <v>133</v>
      </c>
      <c r="AK48" s="133" t="s">
        <v>133</v>
      </c>
    </row>
    <row r="49" ht="15.75" customHeight="1">
      <c r="A49" s="48" t="s">
        <v>283</v>
      </c>
      <c r="B49" s="54" t="s">
        <v>175</v>
      </c>
      <c r="C49" s="129">
        <v>39.0</v>
      </c>
      <c r="D49" s="130">
        <v>35.0</v>
      </c>
      <c r="E49" s="131" t="s">
        <v>703</v>
      </c>
      <c r="F49" s="130">
        <v>97.0</v>
      </c>
      <c r="G49" s="130">
        <v>30.0</v>
      </c>
      <c r="H49" s="131" t="s">
        <v>703</v>
      </c>
      <c r="I49" s="130">
        <v>7.0</v>
      </c>
      <c r="J49" s="130">
        <v>28.0</v>
      </c>
      <c r="K49" s="131" t="s">
        <v>703</v>
      </c>
      <c r="L49" s="130">
        <v>6.0</v>
      </c>
      <c r="M49" s="130">
        <v>51.0</v>
      </c>
      <c r="N49" s="130" t="s">
        <v>703</v>
      </c>
      <c r="O49" s="130">
        <v>98.0</v>
      </c>
      <c r="P49" s="130">
        <v>50.0</v>
      </c>
      <c r="Q49" s="130" t="s">
        <v>703</v>
      </c>
      <c r="R49" s="130">
        <v>68.0</v>
      </c>
      <c r="S49" s="130">
        <v>45.0</v>
      </c>
      <c r="T49" s="130" t="s">
        <v>703</v>
      </c>
      <c r="U49" s="130">
        <v>36.0</v>
      </c>
      <c r="V49" s="130">
        <v>30.0</v>
      </c>
      <c r="W49" s="130" t="s">
        <v>703</v>
      </c>
      <c r="X49" s="130">
        <v>-4.0</v>
      </c>
      <c r="Y49" s="130">
        <v>25.0</v>
      </c>
      <c r="Z49" s="130" t="s">
        <v>703</v>
      </c>
      <c r="AA49" s="130">
        <v>27.0</v>
      </c>
      <c r="AB49" s="130">
        <v>0.5</v>
      </c>
      <c r="AC49" s="131" t="s">
        <v>703</v>
      </c>
      <c r="AD49" s="130">
        <v>6.0</v>
      </c>
      <c r="AE49" s="131" t="s">
        <v>704</v>
      </c>
      <c r="AF49" s="130">
        <v>6.0</v>
      </c>
      <c r="AG49" s="131" t="s">
        <v>704</v>
      </c>
      <c r="AH49" s="132" t="s">
        <v>133</v>
      </c>
      <c r="AI49" s="133" t="s">
        <v>133</v>
      </c>
      <c r="AJ49" s="132" t="s">
        <v>133</v>
      </c>
      <c r="AK49" s="133" t="s">
        <v>133</v>
      </c>
    </row>
    <row r="50" ht="15.75" customHeight="1">
      <c r="A50" s="129" t="s">
        <v>288</v>
      </c>
      <c r="B50" s="54" t="s">
        <v>175</v>
      </c>
      <c r="C50" s="129">
        <v>42.0</v>
      </c>
      <c r="D50" s="130">
        <v>20.0</v>
      </c>
      <c r="E50" s="131" t="s">
        <v>703</v>
      </c>
      <c r="F50" s="130">
        <v>60.0</v>
      </c>
      <c r="G50" s="130">
        <v>85.0</v>
      </c>
      <c r="H50" s="131" t="s">
        <v>703</v>
      </c>
      <c r="I50" s="130">
        <v>8.0</v>
      </c>
      <c r="J50" s="130">
        <v>51.0</v>
      </c>
      <c r="K50" s="131" t="s">
        <v>703</v>
      </c>
      <c r="L50" s="130">
        <v>6.0</v>
      </c>
      <c r="M50" s="130">
        <v>48.0</v>
      </c>
      <c r="N50" s="130" t="s">
        <v>703</v>
      </c>
      <c r="O50" s="130">
        <v>97.0</v>
      </c>
      <c r="P50" s="130">
        <v>70.0</v>
      </c>
      <c r="Q50" s="130" t="s">
        <v>703</v>
      </c>
      <c r="R50" s="130">
        <v>66.0</v>
      </c>
      <c r="S50" s="130">
        <v>70.0</v>
      </c>
      <c r="T50" s="130" t="s">
        <v>703</v>
      </c>
      <c r="U50" s="130">
        <v>43.0</v>
      </c>
      <c r="V50" s="130">
        <v>90.0</v>
      </c>
      <c r="W50" s="130" t="s">
        <v>703</v>
      </c>
      <c r="X50" s="130">
        <v>10.0</v>
      </c>
      <c r="Y50" s="130">
        <v>95.0</v>
      </c>
      <c r="Z50" s="130" t="s">
        <v>703</v>
      </c>
      <c r="AA50" s="130">
        <v>28.0</v>
      </c>
      <c r="AB50" s="130">
        <v>0.84</v>
      </c>
      <c r="AC50" s="131" t="s">
        <v>703</v>
      </c>
      <c r="AD50" s="130">
        <v>3.0</v>
      </c>
      <c r="AE50" s="131" t="s">
        <v>704</v>
      </c>
      <c r="AF50" s="130">
        <v>5.0</v>
      </c>
      <c r="AG50" s="131" t="s">
        <v>704</v>
      </c>
      <c r="AH50" s="134">
        <v>12.0</v>
      </c>
      <c r="AI50" s="135" t="s">
        <v>707</v>
      </c>
      <c r="AJ50" s="134">
        <v>2.0</v>
      </c>
      <c r="AK50" s="135" t="s">
        <v>704</v>
      </c>
    </row>
    <row r="51" ht="15.75" customHeight="1">
      <c r="A51" s="129" t="s">
        <v>291</v>
      </c>
      <c r="B51" s="54" t="s">
        <v>175</v>
      </c>
      <c r="C51" s="129">
        <v>35.0</v>
      </c>
      <c r="D51" s="130">
        <v>45.0</v>
      </c>
      <c r="E51" s="131" t="s">
        <v>703</v>
      </c>
      <c r="F51" s="130">
        <v>69.0</v>
      </c>
      <c r="G51" s="130">
        <v>70.0</v>
      </c>
      <c r="H51" s="131" t="s">
        <v>703</v>
      </c>
      <c r="I51" s="130">
        <v>10.0</v>
      </c>
      <c r="J51" s="130">
        <v>81.0</v>
      </c>
      <c r="K51" s="131" t="s">
        <v>703</v>
      </c>
      <c r="L51" s="130">
        <v>10.0</v>
      </c>
      <c r="M51" s="130">
        <v>95.0</v>
      </c>
      <c r="N51" s="130" t="s">
        <v>703</v>
      </c>
      <c r="O51" s="130">
        <v>115.0</v>
      </c>
      <c r="P51" s="130">
        <v>95.0</v>
      </c>
      <c r="Q51" s="130" t="s">
        <v>703</v>
      </c>
      <c r="R51" s="130">
        <v>82.0</v>
      </c>
      <c r="S51" s="130">
        <v>95.0</v>
      </c>
      <c r="T51" s="130" t="s">
        <v>703</v>
      </c>
      <c r="U51" s="130">
        <v>51.0</v>
      </c>
      <c r="V51" s="130">
        <v>95.0</v>
      </c>
      <c r="W51" s="130" t="s">
        <v>703</v>
      </c>
      <c r="X51" s="130">
        <v>4.0</v>
      </c>
      <c r="Y51" s="130">
        <v>80.0</v>
      </c>
      <c r="Z51" s="130" t="s">
        <v>703</v>
      </c>
      <c r="AA51" s="130">
        <v>28.0</v>
      </c>
      <c r="AB51" s="130">
        <v>0.84</v>
      </c>
      <c r="AC51" s="131" t="s">
        <v>703</v>
      </c>
      <c r="AD51" s="130">
        <v>7.0</v>
      </c>
      <c r="AE51" s="131" t="s">
        <v>704</v>
      </c>
      <c r="AF51" s="130">
        <v>4.0</v>
      </c>
      <c r="AG51" s="131" t="s">
        <v>704</v>
      </c>
      <c r="AH51" s="132" t="s">
        <v>133</v>
      </c>
      <c r="AI51" s="133" t="s">
        <v>133</v>
      </c>
      <c r="AJ51" s="132" t="s">
        <v>133</v>
      </c>
      <c r="AK51" s="133" t="s">
        <v>133</v>
      </c>
    </row>
    <row r="52" ht="15.75" customHeight="1">
      <c r="A52" s="129" t="s">
        <v>294</v>
      </c>
      <c r="B52" s="54" t="s">
        <v>175</v>
      </c>
      <c r="C52" s="129">
        <v>40.0</v>
      </c>
      <c r="D52" s="130">
        <v>20.0</v>
      </c>
      <c r="E52" s="131" t="s">
        <v>703</v>
      </c>
      <c r="F52" s="130">
        <v>74.0</v>
      </c>
      <c r="G52" s="130">
        <v>30.0</v>
      </c>
      <c r="H52" s="131" t="s">
        <v>703</v>
      </c>
      <c r="I52" s="130">
        <v>8.0</v>
      </c>
      <c r="J52" s="130">
        <v>50.0</v>
      </c>
      <c r="K52" s="131" t="s">
        <v>703</v>
      </c>
      <c r="L52" s="130">
        <v>7.0</v>
      </c>
      <c r="M52" s="130">
        <v>70.0</v>
      </c>
      <c r="N52" s="130" t="s">
        <v>703</v>
      </c>
      <c r="O52" s="130">
        <v>82.0</v>
      </c>
      <c r="P52" s="130">
        <v>10.0</v>
      </c>
      <c r="Q52" s="130" t="s">
        <v>703</v>
      </c>
      <c r="R52" s="130">
        <v>63.0</v>
      </c>
      <c r="S52" s="130">
        <v>25.0</v>
      </c>
      <c r="T52" s="130" t="s">
        <v>703</v>
      </c>
      <c r="U52" s="130">
        <v>36.0</v>
      </c>
      <c r="V52" s="130">
        <v>20.0</v>
      </c>
      <c r="W52" s="130" t="s">
        <v>703</v>
      </c>
      <c r="X52" s="130">
        <v>1.0</v>
      </c>
      <c r="Y52" s="130">
        <v>45.0</v>
      </c>
      <c r="Z52" s="130" t="s">
        <v>703</v>
      </c>
      <c r="AA52" s="130">
        <v>29.0</v>
      </c>
      <c r="AB52" s="130">
        <v>1.15</v>
      </c>
      <c r="AC52" s="131" t="s">
        <v>703</v>
      </c>
      <c r="AD52" s="119">
        <v>7.0</v>
      </c>
      <c r="AE52" s="120" t="s">
        <v>704</v>
      </c>
      <c r="AF52" s="119">
        <v>8.0</v>
      </c>
      <c r="AG52" s="120" t="s">
        <v>712</v>
      </c>
      <c r="AH52" s="132">
        <v>2.0</v>
      </c>
      <c r="AI52" s="135" t="s">
        <v>704</v>
      </c>
      <c r="AJ52" s="132">
        <v>3.0</v>
      </c>
      <c r="AK52" s="135" t="s">
        <v>704</v>
      </c>
    </row>
    <row r="53" ht="15.75" customHeight="1">
      <c r="A53" s="129" t="s">
        <v>298</v>
      </c>
      <c r="B53" s="54" t="s">
        <v>175</v>
      </c>
      <c r="C53" s="129">
        <v>31.0</v>
      </c>
      <c r="D53" s="130">
        <v>70.0</v>
      </c>
      <c r="E53" s="131" t="s">
        <v>703</v>
      </c>
      <c r="F53" s="130">
        <v>85.0</v>
      </c>
      <c r="G53" s="130">
        <v>45.0</v>
      </c>
      <c r="H53" s="131" t="s">
        <v>703</v>
      </c>
      <c r="I53" s="130">
        <v>6.0</v>
      </c>
      <c r="J53" s="130">
        <v>17.0</v>
      </c>
      <c r="K53" s="131" t="s">
        <v>703</v>
      </c>
      <c r="L53" s="130">
        <v>5.0</v>
      </c>
      <c r="M53" s="130">
        <v>29.0</v>
      </c>
      <c r="N53" s="130" t="s">
        <v>703</v>
      </c>
      <c r="O53" s="130">
        <v>100.0</v>
      </c>
      <c r="P53" s="130">
        <v>60.0</v>
      </c>
      <c r="Q53" s="130" t="s">
        <v>703</v>
      </c>
      <c r="R53" s="130">
        <v>63.0</v>
      </c>
      <c r="S53" s="130">
        <v>30.0</v>
      </c>
      <c r="T53" s="130" t="s">
        <v>703</v>
      </c>
      <c r="U53" s="130">
        <v>45.0</v>
      </c>
      <c r="V53" s="130">
        <v>70.0</v>
      </c>
      <c r="W53" s="130" t="s">
        <v>703</v>
      </c>
      <c r="X53" s="130">
        <v>7.0</v>
      </c>
      <c r="Y53" s="130">
        <v>80.0</v>
      </c>
      <c r="Z53" s="130" t="s">
        <v>703</v>
      </c>
      <c r="AA53" s="130">
        <v>26.0</v>
      </c>
      <c r="AB53" s="130">
        <v>0.21</v>
      </c>
      <c r="AC53" s="131" t="s">
        <v>703</v>
      </c>
      <c r="AD53" s="119">
        <v>14.0</v>
      </c>
      <c r="AE53" s="120" t="s">
        <v>710</v>
      </c>
      <c r="AF53" s="119">
        <v>8.0</v>
      </c>
      <c r="AG53" s="136" t="s">
        <v>712</v>
      </c>
      <c r="AH53" s="134">
        <v>11.0</v>
      </c>
      <c r="AI53" s="135" t="s">
        <v>707</v>
      </c>
      <c r="AJ53" s="134">
        <v>10.0</v>
      </c>
      <c r="AK53" s="135" t="s">
        <v>707</v>
      </c>
    </row>
    <row r="54" ht="15.75" customHeight="1">
      <c r="A54" s="129" t="s">
        <v>300</v>
      </c>
      <c r="B54" s="54" t="s">
        <v>175</v>
      </c>
      <c r="C54" s="129">
        <v>51.0</v>
      </c>
      <c r="D54" s="130">
        <v>50.0</v>
      </c>
      <c r="E54" s="131" t="s">
        <v>703</v>
      </c>
      <c r="F54" s="130">
        <v>96.0</v>
      </c>
      <c r="G54" s="130">
        <v>70.0</v>
      </c>
      <c r="H54" s="131" t="s">
        <v>703</v>
      </c>
      <c r="I54" s="130">
        <v>8.0</v>
      </c>
      <c r="J54" s="130">
        <v>72.0</v>
      </c>
      <c r="K54" s="131" t="s">
        <v>703</v>
      </c>
      <c r="L54" s="130">
        <v>5.0</v>
      </c>
      <c r="M54" s="130">
        <v>30.0</v>
      </c>
      <c r="N54" s="130" t="s">
        <v>703</v>
      </c>
      <c r="O54" s="130">
        <v>84.0</v>
      </c>
      <c r="P54" s="130">
        <v>25.0</v>
      </c>
      <c r="Q54" s="130" t="s">
        <v>703</v>
      </c>
      <c r="R54" s="130">
        <v>54.0</v>
      </c>
      <c r="S54" s="130">
        <v>20.0</v>
      </c>
      <c r="T54" s="130" t="s">
        <v>703</v>
      </c>
      <c r="U54" s="130">
        <v>26.0</v>
      </c>
      <c r="V54" s="130">
        <v>10.0</v>
      </c>
      <c r="W54" s="130" t="s">
        <v>709</v>
      </c>
      <c r="X54" s="130">
        <v>-6.0</v>
      </c>
      <c r="Y54" s="130">
        <v>25.0</v>
      </c>
      <c r="Z54" s="130" t="s">
        <v>703</v>
      </c>
      <c r="AA54" s="130">
        <v>24.0</v>
      </c>
      <c r="AB54" s="130">
        <v>-0.17</v>
      </c>
      <c r="AC54" s="131" t="s">
        <v>703</v>
      </c>
      <c r="AD54" s="119">
        <v>13.0</v>
      </c>
      <c r="AE54" s="120" t="s">
        <v>710</v>
      </c>
      <c r="AF54" s="119">
        <v>5.0</v>
      </c>
      <c r="AG54" s="120" t="s">
        <v>704</v>
      </c>
      <c r="AH54" s="132">
        <v>9.0</v>
      </c>
      <c r="AI54" s="135" t="s">
        <v>707</v>
      </c>
      <c r="AJ54" s="132">
        <v>13.0</v>
      </c>
      <c r="AK54" s="135" t="s">
        <v>707</v>
      </c>
    </row>
    <row r="55" ht="15.75" customHeight="1">
      <c r="A55" s="129" t="s">
        <v>301</v>
      </c>
      <c r="B55" s="54" t="s">
        <v>175</v>
      </c>
      <c r="C55" s="129">
        <v>62.0</v>
      </c>
      <c r="D55" s="130">
        <v>6.0</v>
      </c>
      <c r="E55" s="131" t="s">
        <v>706</v>
      </c>
      <c r="F55" s="130">
        <v>143.0</v>
      </c>
      <c r="G55" s="130">
        <v>10.0</v>
      </c>
      <c r="H55" s="131" t="s">
        <v>709</v>
      </c>
      <c r="I55" s="130">
        <v>4.0</v>
      </c>
      <c r="J55" s="130">
        <v>5.0</v>
      </c>
      <c r="K55" s="131" t="s">
        <v>706</v>
      </c>
      <c r="L55" s="130">
        <v>3.0</v>
      </c>
      <c r="M55" s="130">
        <v>7.0</v>
      </c>
      <c r="N55" s="130" t="s">
        <v>709</v>
      </c>
      <c r="O55" s="130">
        <v>71.0</v>
      </c>
      <c r="P55" s="130">
        <v>5.0</v>
      </c>
      <c r="Q55" s="130" t="s">
        <v>706</v>
      </c>
      <c r="R55" s="130">
        <v>44.0</v>
      </c>
      <c r="S55" s="130">
        <v>5.0</v>
      </c>
      <c r="T55" s="130" t="s">
        <v>706</v>
      </c>
      <c r="U55" s="130">
        <v>15.0</v>
      </c>
      <c r="V55" s="130">
        <v>5.0</v>
      </c>
      <c r="W55" s="130" t="s">
        <v>706</v>
      </c>
      <c r="X55" s="130">
        <v>-12.0</v>
      </c>
      <c r="Y55" s="130">
        <v>5.0</v>
      </c>
      <c r="Z55" s="130" t="s">
        <v>706</v>
      </c>
      <c r="AA55" s="130">
        <v>21.0</v>
      </c>
      <c r="AB55" s="130">
        <v>-1.2</v>
      </c>
      <c r="AC55" s="131" t="s">
        <v>703</v>
      </c>
      <c r="AD55" s="132" t="s">
        <v>133</v>
      </c>
      <c r="AE55" s="133" t="s">
        <v>133</v>
      </c>
      <c r="AF55" s="132" t="s">
        <v>133</v>
      </c>
      <c r="AG55" s="133" t="s">
        <v>133</v>
      </c>
      <c r="AH55" s="132" t="s">
        <v>133</v>
      </c>
      <c r="AI55" s="133" t="s">
        <v>133</v>
      </c>
      <c r="AJ55" s="132" t="s">
        <v>133</v>
      </c>
      <c r="AK55" s="133" t="s">
        <v>133</v>
      </c>
    </row>
    <row r="56" ht="15.75" customHeight="1">
      <c r="A56" s="129" t="s">
        <v>302</v>
      </c>
      <c r="B56" s="54" t="s">
        <v>175</v>
      </c>
      <c r="C56" s="129">
        <v>60.0</v>
      </c>
      <c r="D56" s="130">
        <v>20.0</v>
      </c>
      <c r="E56" s="131" t="s">
        <v>703</v>
      </c>
      <c r="F56" s="130">
        <v>180.0</v>
      </c>
      <c r="G56" s="130">
        <v>10.0</v>
      </c>
      <c r="H56" s="131" t="s">
        <v>703</v>
      </c>
      <c r="I56" s="130">
        <v>2.0</v>
      </c>
      <c r="J56" s="130">
        <v>3.0</v>
      </c>
      <c r="K56" s="131" t="s">
        <v>706</v>
      </c>
      <c r="L56" s="130">
        <v>3.0</v>
      </c>
      <c r="M56" s="130">
        <v>3.0</v>
      </c>
      <c r="N56" s="130" t="s">
        <v>706</v>
      </c>
      <c r="O56" s="130">
        <v>50.0</v>
      </c>
      <c r="P56" s="130">
        <v>5.0</v>
      </c>
      <c r="Q56" s="130" t="s">
        <v>706</v>
      </c>
      <c r="R56" s="130">
        <v>40.0</v>
      </c>
      <c r="S56" s="130">
        <v>5.0</v>
      </c>
      <c r="T56" s="130" t="s">
        <v>706</v>
      </c>
      <c r="U56" s="130">
        <v>12.0</v>
      </c>
      <c r="V56" s="130">
        <v>5.0</v>
      </c>
      <c r="W56" s="130" t="s">
        <v>706</v>
      </c>
      <c r="X56" s="130">
        <v>-10.0</v>
      </c>
      <c r="Y56" s="130">
        <v>10.0</v>
      </c>
      <c r="Z56" s="130" t="s">
        <v>703</v>
      </c>
      <c r="AA56" s="130">
        <v>17.0</v>
      </c>
      <c r="AB56" s="130">
        <v>-2.0</v>
      </c>
      <c r="AC56" s="131" t="s">
        <v>706</v>
      </c>
      <c r="AD56" s="119">
        <v>15.0</v>
      </c>
      <c r="AE56" s="120" t="s">
        <v>710</v>
      </c>
      <c r="AF56" s="119">
        <v>7.0</v>
      </c>
      <c r="AG56" s="120" t="s">
        <v>704</v>
      </c>
      <c r="AH56" s="132" t="s">
        <v>133</v>
      </c>
      <c r="AI56" s="133" t="s">
        <v>133</v>
      </c>
      <c r="AJ56" s="132" t="s">
        <v>133</v>
      </c>
      <c r="AK56" s="133" t="s">
        <v>133</v>
      </c>
    </row>
    <row r="57" ht="15.75" customHeight="1">
      <c r="A57" s="129" t="s">
        <v>305</v>
      </c>
      <c r="B57" s="54" t="s">
        <v>175</v>
      </c>
      <c r="C57" s="129">
        <v>36.0</v>
      </c>
      <c r="D57" s="130">
        <v>45.0</v>
      </c>
      <c r="E57" s="131" t="s">
        <v>703</v>
      </c>
      <c r="F57" s="130">
        <v>126.0</v>
      </c>
      <c r="G57" s="130">
        <v>10.0</v>
      </c>
      <c r="H57" s="131" t="s">
        <v>703</v>
      </c>
      <c r="I57" s="130">
        <v>6.0</v>
      </c>
      <c r="J57" s="130">
        <v>17.0</v>
      </c>
      <c r="K57" s="131" t="s">
        <v>703</v>
      </c>
      <c r="L57" s="130">
        <v>5.0</v>
      </c>
      <c r="M57" s="130">
        <v>29.0</v>
      </c>
      <c r="N57" s="130" t="s">
        <v>703</v>
      </c>
      <c r="O57" s="130">
        <v>126.0</v>
      </c>
      <c r="P57" s="130">
        <v>95.0</v>
      </c>
      <c r="Q57" s="130" t="s">
        <v>703</v>
      </c>
      <c r="R57" s="130">
        <v>69.0</v>
      </c>
      <c r="S57" s="130">
        <v>75.0</v>
      </c>
      <c r="T57" s="130" t="s">
        <v>703</v>
      </c>
      <c r="U57" s="130">
        <v>40.0</v>
      </c>
      <c r="V57" s="130">
        <v>75.0</v>
      </c>
      <c r="W57" s="130" t="s">
        <v>703</v>
      </c>
      <c r="X57" s="130">
        <v>-4.0</v>
      </c>
      <c r="Y57" s="130">
        <v>40.0</v>
      </c>
      <c r="Z57" s="130" t="s">
        <v>703</v>
      </c>
      <c r="AA57" s="130">
        <v>27.0</v>
      </c>
      <c r="AB57" s="130">
        <v>0.86</v>
      </c>
      <c r="AC57" s="131" t="s">
        <v>703</v>
      </c>
      <c r="AD57" s="119">
        <v>16.0</v>
      </c>
      <c r="AE57" s="120" t="s">
        <v>710</v>
      </c>
      <c r="AF57" s="119">
        <v>11.0</v>
      </c>
      <c r="AG57" s="120" t="s">
        <v>710</v>
      </c>
      <c r="AH57" s="132" t="s">
        <v>133</v>
      </c>
      <c r="AI57" s="133" t="s">
        <v>133</v>
      </c>
      <c r="AJ57" s="132" t="s">
        <v>133</v>
      </c>
      <c r="AK57" s="133" t="s">
        <v>133</v>
      </c>
    </row>
    <row r="58" ht="15.75" customHeight="1">
      <c r="A58" s="129" t="s">
        <v>309</v>
      </c>
      <c r="B58" s="54" t="s">
        <v>175</v>
      </c>
      <c r="C58" s="129">
        <v>51.0</v>
      </c>
      <c r="D58" s="130">
        <v>10.0</v>
      </c>
      <c r="E58" s="131" t="s">
        <v>703</v>
      </c>
      <c r="F58" s="130">
        <v>87.0</v>
      </c>
      <c r="G58" s="130">
        <v>40.0</v>
      </c>
      <c r="H58" s="131" t="s">
        <v>703</v>
      </c>
      <c r="I58" s="130">
        <v>6.0</v>
      </c>
      <c r="J58" s="130">
        <v>17.0</v>
      </c>
      <c r="K58" s="131" t="s">
        <v>703</v>
      </c>
      <c r="L58" s="130">
        <v>7.0</v>
      </c>
      <c r="M58" s="130">
        <v>61.0</v>
      </c>
      <c r="N58" s="130" t="s">
        <v>703</v>
      </c>
      <c r="O58" s="130">
        <v>78.0</v>
      </c>
      <c r="P58" s="130">
        <v>10.0</v>
      </c>
      <c r="Q58" s="130" t="s">
        <v>703</v>
      </c>
      <c r="R58" s="130">
        <v>63.0</v>
      </c>
      <c r="S58" s="130">
        <v>55.0</v>
      </c>
      <c r="T58" s="130" t="s">
        <v>703</v>
      </c>
      <c r="U58" s="130">
        <v>40.0</v>
      </c>
      <c r="V58" s="130">
        <v>50.0</v>
      </c>
      <c r="W58" s="130" t="s">
        <v>703</v>
      </c>
      <c r="X58" s="130">
        <v>6.0</v>
      </c>
      <c r="Y58" s="130">
        <v>75.0</v>
      </c>
      <c r="Z58" s="130" t="s">
        <v>703</v>
      </c>
      <c r="AA58" s="130">
        <v>27.0</v>
      </c>
      <c r="AB58" s="130">
        <v>0.53</v>
      </c>
      <c r="AC58" s="131" t="s">
        <v>703</v>
      </c>
      <c r="AD58" s="130">
        <v>3.0</v>
      </c>
      <c r="AE58" s="131" t="s">
        <v>704</v>
      </c>
      <c r="AF58" s="130">
        <v>5.0</v>
      </c>
      <c r="AG58" s="131" t="s">
        <v>704</v>
      </c>
      <c r="AH58" s="134">
        <v>7.0</v>
      </c>
      <c r="AI58" s="135" t="s">
        <v>708</v>
      </c>
      <c r="AJ58" s="134">
        <v>3.0</v>
      </c>
      <c r="AK58" s="135" t="s">
        <v>704</v>
      </c>
    </row>
    <row r="59" ht="15.75" customHeight="1">
      <c r="A59" s="129" t="s">
        <v>311</v>
      </c>
      <c r="B59" s="54" t="s">
        <v>175</v>
      </c>
      <c r="C59" s="129">
        <v>38.0</v>
      </c>
      <c r="D59" s="130">
        <v>25.0</v>
      </c>
      <c r="E59" s="131" t="s">
        <v>703</v>
      </c>
      <c r="F59" s="130">
        <v>66.0</v>
      </c>
      <c r="G59" s="130">
        <v>35.0</v>
      </c>
      <c r="H59" s="131" t="s">
        <v>703</v>
      </c>
      <c r="I59" s="130">
        <v>9.0</v>
      </c>
      <c r="J59" s="130">
        <v>64.0</v>
      </c>
      <c r="K59" s="131" t="s">
        <v>703</v>
      </c>
      <c r="L59" s="130">
        <v>6.0</v>
      </c>
      <c r="M59" s="130">
        <v>53.0</v>
      </c>
      <c r="N59" s="130" t="s">
        <v>703</v>
      </c>
      <c r="O59" s="130">
        <v>114.0</v>
      </c>
      <c r="P59" s="130">
        <v>85.0</v>
      </c>
      <c r="Q59" s="130" t="s">
        <v>703</v>
      </c>
      <c r="R59" s="130">
        <v>81.0</v>
      </c>
      <c r="S59" s="130">
        <v>75.0</v>
      </c>
      <c r="T59" s="130" t="s">
        <v>703</v>
      </c>
      <c r="U59" s="130">
        <v>59.0</v>
      </c>
      <c r="V59" s="130">
        <v>95.0</v>
      </c>
      <c r="W59" s="130" t="s">
        <v>703</v>
      </c>
      <c r="X59" s="130">
        <v>12.0</v>
      </c>
      <c r="Y59" s="130">
        <v>92.0</v>
      </c>
      <c r="Z59" s="130" t="s">
        <v>703</v>
      </c>
      <c r="AA59" s="130">
        <v>26.0</v>
      </c>
      <c r="AB59" s="130">
        <v>0.21</v>
      </c>
      <c r="AC59" s="131" t="s">
        <v>703</v>
      </c>
      <c r="AD59" s="119">
        <v>11.0</v>
      </c>
      <c r="AE59" s="120" t="s">
        <v>710</v>
      </c>
      <c r="AF59" s="119">
        <v>10.0</v>
      </c>
      <c r="AG59" s="120" t="s">
        <v>712</v>
      </c>
      <c r="AH59" s="132" t="s">
        <v>133</v>
      </c>
      <c r="AI59" s="133" t="s">
        <v>133</v>
      </c>
      <c r="AJ59" s="132" t="s">
        <v>133</v>
      </c>
      <c r="AK59" s="133" t="s">
        <v>133</v>
      </c>
    </row>
    <row r="60" ht="15.75" customHeight="1">
      <c r="A60" s="129" t="s">
        <v>313</v>
      </c>
      <c r="B60" s="54" t="s">
        <v>175</v>
      </c>
      <c r="C60" s="129">
        <v>29.0</v>
      </c>
      <c r="D60" s="130">
        <v>50.0</v>
      </c>
      <c r="E60" s="131" t="s">
        <v>703</v>
      </c>
      <c r="F60" s="130">
        <v>68.0</v>
      </c>
      <c r="G60" s="130">
        <v>30.0</v>
      </c>
      <c r="H60" s="131" t="s">
        <v>703</v>
      </c>
      <c r="I60" s="130">
        <v>7.0</v>
      </c>
      <c r="J60" s="130">
        <v>22.0</v>
      </c>
      <c r="K60" s="131" t="s">
        <v>703</v>
      </c>
      <c r="L60" s="130">
        <v>4.0</v>
      </c>
      <c r="M60" s="130">
        <v>9.0</v>
      </c>
      <c r="N60" s="130" t="s">
        <v>703</v>
      </c>
      <c r="O60" s="130">
        <v>101.0</v>
      </c>
      <c r="P60" s="130">
        <v>70.0</v>
      </c>
      <c r="Q60" s="130" t="s">
        <v>703</v>
      </c>
      <c r="R60" s="130">
        <v>65.0</v>
      </c>
      <c r="S60" s="130">
        <v>50.0</v>
      </c>
      <c r="T60" s="130" t="s">
        <v>703</v>
      </c>
      <c r="U60" s="130">
        <v>34.0</v>
      </c>
      <c r="V60" s="130">
        <v>30.0</v>
      </c>
      <c r="W60" s="130" t="s">
        <v>703</v>
      </c>
      <c r="X60" s="130">
        <v>-5.0</v>
      </c>
      <c r="Y60" s="130">
        <v>12.0</v>
      </c>
      <c r="Z60" s="130" t="s">
        <v>703</v>
      </c>
      <c r="AA60" s="130">
        <v>25.0</v>
      </c>
      <c r="AB60" s="130">
        <v>-0.09</v>
      </c>
      <c r="AC60" s="131" t="s">
        <v>706</v>
      </c>
      <c r="AD60" s="119">
        <v>12.0</v>
      </c>
      <c r="AE60" s="120" t="s">
        <v>710</v>
      </c>
      <c r="AF60" s="119">
        <v>7.0</v>
      </c>
      <c r="AG60" s="120" t="s">
        <v>704</v>
      </c>
      <c r="AH60" s="132" t="s">
        <v>133</v>
      </c>
      <c r="AI60" s="133" t="s">
        <v>133</v>
      </c>
      <c r="AJ60" s="132" t="s">
        <v>133</v>
      </c>
      <c r="AK60" s="133" t="s">
        <v>133</v>
      </c>
    </row>
    <row r="61" ht="15.75" customHeight="1">
      <c r="A61" s="129" t="s">
        <v>315</v>
      </c>
      <c r="B61" s="54" t="s">
        <v>175</v>
      </c>
      <c r="C61" s="129">
        <v>30.0</v>
      </c>
      <c r="D61" s="130">
        <v>40.0</v>
      </c>
      <c r="E61" s="131" t="s">
        <v>703</v>
      </c>
      <c r="F61" s="130">
        <v>65.0</v>
      </c>
      <c r="G61" s="130">
        <v>35.0</v>
      </c>
      <c r="H61" s="131" t="s">
        <v>703</v>
      </c>
      <c r="I61" s="130">
        <v>7.0</v>
      </c>
      <c r="J61" s="130">
        <v>28.0</v>
      </c>
      <c r="K61" s="131" t="s">
        <v>703</v>
      </c>
      <c r="L61" s="130">
        <v>6.0</v>
      </c>
      <c r="M61" s="130">
        <v>51.0</v>
      </c>
      <c r="N61" s="130" t="s">
        <v>703</v>
      </c>
      <c r="O61" s="130">
        <v>107.0</v>
      </c>
      <c r="P61" s="130">
        <v>85.0</v>
      </c>
      <c r="Q61" s="130" t="s">
        <v>703</v>
      </c>
      <c r="R61" s="130">
        <v>83.0</v>
      </c>
      <c r="S61" s="130">
        <v>95.0</v>
      </c>
      <c r="T61" s="130" t="s">
        <v>703</v>
      </c>
      <c r="U61" s="130">
        <v>53.0</v>
      </c>
      <c r="V61" s="130">
        <v>97.0</v>
      </c>
      <c r="W61" s="130" t="s">
        <v>703</v>
      </c>
      <c r="X61" s="130">
        <v>7.0</v>
      </c>
      <c r="Y61" s="130">
        <v>90.0</v>
      </c>
      <c r="Z61" s="130" t="s">
        <v>703</v>
      </c>
      <c r="AA61" s="130">
        <v>28.0</v>
      </c>
      <c r="AB61" s="130">
        <v>0.84</v>
      </c>
      <c r="AC61" s="131" t="s">
        <v>703</v>
      </c>
      <c r="AD61" s="130">
        <v>4.0</v>
      </c>
      <c r="AE61" s="131" t="s">
        <v>704</v>
      </c>
      <c r="AF61" s="130">
        <v>2.0</v>
      </c>
      <c r="AG61" s="131" t="s">
        <v>704</v>
      </c>
      <c r="AH61" s="134">
        <v>10.0</v>
      </c>
      <c r="AI61" s="135" t="s">
        <v>707</v>
      </c>
      <c r="AJ61" s="134">
        <v>12.0</v>
      </c>
      <c r="AK61" s="135" t="s">
        <v>707</v>
      </c>
    </row>
    <row r="62" ht="15.75" customHeight="1">
      <c r="A62" s="129" t="s">
        <v>317</v>
      </c>
      <c r="B62" s="54" t="s">
        <v>175</v>
      </c>
      <c r="C62" s="129">
        <v>21.0</v>
      </c>
      <c r="D62" s="130">
        <v>80.0</v>
      </c>
      <c r="E62" s="131" t="s">
        <v>703</v>
      </c>
      <c r="F62" s="130">
        <v>40.0</v>
      </c>
      <c r="G62" s="130">
        <v>95.0</v>
      </c>
      <c r="H62" s="131" t="s">
        <v>703</v>
      </c>
      <c r="I62" s="130">
        <v>8.0</v>
      </c>
      <c r="J62" s="130">
        <v>50.0</v>
      </c>
      <c r="K62" s="131" t="s">
        <v>703</v>
      </c>
      <c r="L62" s="130">
        <v>7.0</v>
      </c>
      <c r="M62" s="130">
        <v>70.0</v>
      </c>
      <c r="N62" s="130" t="s">
        <v>703</v>
      </c>
      <c r="O62" s="130">
        <v>109.0</v>
      </c>
      <c r="P62" s="130">
        <v>75.0</v>
      </c>
      <c r="Q62" s="130" t="s">
        <v>703</v>
      </c>
      <c r="R62" s="130">
        <v>83.0</v>
      </c>
      <c r="S62" s="130">
        <v>80.0</v>
      </c>
      <c r="T62" s="130" t="s">
        <v>703</v>
      </c>
      <c r="U62" s="130">
        <v>47.0</v>
      </c>
      <c r="V62" s="130">
        <v>65.0</v>
      </c>
      <c r="W62" s="130" t="s">
        <v>703</v>
      </c>
      <c r="X62" s="130">
        <v>0.0</v>
      </c>
      <c r="Y62" s="130">
        <v>40.0</v>
      </c>
      <c r="Z62" s="130" t="s">
        <v>703</v>
      </c>
      <c r="AA62" s="130">
        <v>27.0</v>
      </c>
      <c r="AB62" s="132">
        <v>0.5</v>
      </c>
      <c r="AC62" s="131" t="s">
        <v>703</v>
      </c>
      <c r="AD62" s="132" t="s">
        <v>133</v>
      </c>
      <c r="AE62" s="133" t="s">
        <v>133</v>
      </c>
      <c r="AF62" s="132" t="s">
        <v>133</v>
      </c>
      <c r="AG62" s="133" t="s">
        <v>133</v>
      </c>
      <c r="AH62" s="132" t="s">
        <v>133</v>
      </c>
      <c r="AI62" s="133" t="s">
        <v>133</v>
      </c>
      <c r="AJ62" s="132" t="s">
        <v>133</v>
      </c>
      <c r="AK62" s="133" t="s">
        <v>133</v>
      </c>
    </row>
    <row r="63" ht="15.75" customHeight="1">
      <c r="A63" s="129" t="s">
        <v>319</v>
      </c>
      <c r="B63" s="54" t="s">
        <v>175</v>
      </c>
      <c r="C63" s="129">
        <v>75.0</v>
      </c>
      <c r="D63" s="130">
        <v>1.0</v>
      </c>
      <c r="E63" s="131" t="s">
        <v>706</v>
      </c>
      <c r="F63" s="130">
        <v>222.0</v>
      </c>
      <c r="G63" s="130">
        <v>6.0</v>
      </c>
      <c r="H63" s="131" t="s">
        <v>703</v>
      </c>
      <c r="I63" s="130">
        <v>8.0</v>
      </c>
      <c r="J63" s="130">
        <v>51.0</v>
      </c>
      <c r="K63" s="131" t="s">
        <v>703</v>
      </c>
      <c r="L63" s="130">
        <v>6.0</v>
      </c>
      <c r="M63" s="130">
        <v>51.0</v>
      </c>
      <c r="N63" s="130" t="s">
        <v>703</v>
      </c>
      <c r="O63" s="130">
        <v>49.0</v>
      </c>
      <c r="P63" s="130">
        <v>5.0</v>
      </c>
      <c r="Q63" s="130" t="s">
        <v>706</v>
      </c>
      <c r="R63" s="130">
        <v>53.0</v>
      </c>
      <c r="S63" s="130">
        <v>25.0</v>
      </c>
      <c r="T63" s="130" t="s">
        <v>703</v>
      </c>
      <c r="U63" s="130">
        <v>20.0</v>
      </c>
      <c r="V63" s="130">
        <v>5.0</v>
      </c>
      <c r="W63" s="130" t="s">
        <v>706</v>
      </c>
      <c r="X63" s="130">
        <v>-5.0</v>
      </c>
      <c r="Y63" s="130">
        <v>30.0</v>
      </c>
      <c r="Z63" s="130" t="s">
        <v>703</v>
      </c>
      <c r="AA63" s="130">
        <v>17.0</v>
      </c>
      <c r="AB63" s="130">
        <v>-2.0</v>
      </c>
      <c r="AC63" s="131" t="s">
        <v>706</v>
      </c>
      <c r="AD63" s="130">
        <v>5.0</v>
      </c>
      <c r="AE63" s="131" t="s">
        <v>704</v>
      </c>
      <c r="AF63" s="130">
        <v>16.0</v>
      </c>
      <c r="AG63" s="131" t="s">
        <v>710</v>
      </c>
      <c r="AH63" s="132" t="s">
        <v>133</v>
      </c>
      <c r="AI63" s="133" t="s">
        <v>133</v>
      </c>
      <c r="AJ63" s="132" t="s">
        <v>133</v>
      </c>
      <c r="AK63" s="133" t="s">
        <v>133</v>
      </c>
    </row>
    <row r="64" ht="15.75" customHeight="1">
      <c r="A64" s="129" t="s">
        <v>324</v>
      </c>
      <c r="B64" s="54" t="s">
        <v>175</v>
      </c>
      <c r="C64" s="129">
        <v>152.0</v>
      </c>
      <c r="D64" s="130">
        <v>1.0</v>
      </c>
      <c r="E64" s="131" t="s">
        <v>706</v>
      </c>
      <c r="F64" s="130">
        <v>443.0</v>
      </c>
      <c r="G64" s="130">
        <v>1.0</v>
      </c>
      <c r="H64" s="131" t="s">
        <v>706</v>
      </c>
      <c r="I64" s="130">
        <v>2.0</v>
      </c>
      <c r="J64" s="130">
        <v>5.0</v>
      </c>
      <c r="K64" s="131" t="s">
        <v>706</v>
      </c>
      <c r="L64" s="130">
        <v>2.0</v>
      </c>
      <c r="M64" s="130">
        <v>1.0</v>
      </c>
      <c r="N64" s="130" t="s">
        <v>706</v>
      </c>
      <c r="O64" s="130">
        <v>45.0</v>
      </c>
      <c r="P64" s="130">
        <v>5.0</v>
      </c>
      <c r="Q64" s="130" t="s">
        <v>706</v>
      </c>
      <c r="R64" s="130">
        <v>40.0</v>
      </c>
      <c r="S64" s="130">
        <v>5.0</v>
      </c>
      <c r="T64" s="130" t="s">
        <v>706</v>
      </c>
      <c r="U64" s="130">
        <v>15.0</v>
      </c>
      <c r="V64" s="130">
        <v>5.0</v>
      </c>
      <c r="W64" s="130" t="s">
        <v>706</v>
      </c>
      <c r="X64" s="130">
        <v>-6.0</v>
      </c>
      <c r="Y64" s="130">
        <v>25.0</v>
      </c>
      <c r="Z64" s="130" t="s">
        <v>703</v>
      </c>
      <c r="AA64" s="130">
        <v>15.0</v>
      </c>
      <c r="AB64" s="130">
        <v>-3.27</v>
      </c>
      <c r="AC64" s="131" t="s">
        <v>706</v>
      </c>
      <c r="AD64" s="132" t="s">
        <v>133</v>
      </c>
      <c r="AE64" s="133" t="s">
        <v>133</v>
      </c>
      <c r="AF64" s="132" t="s">
        <v>133</v>
      </c>
      <c r="AG64" s="133" t="s">
        <v>133</v>
      </c>
      <c r="AH64" s="134">
        <v>11.0</v>
      </c>
      <c r="AI64" s="135" t="s">
        <v>707</v>
      </c>
      <c r="AJ64" s="134">
        <v>15.0</v>
      </c>
      <c r="AK64" s="135" t="s">
        <v>711</v>
      </c>
    </row>
    <row r="65" ht="15.75" customHeight="1">
      <c r="A65" s="129" t="s">
        <v>327</v>
      </c>
      <c r="B65" s="54" t="s">
        <v>175</v>
      </c>
      <c r="C65" s="129">
        <v>45.0</v>
      </c>
      <c r="D65" s="130">
        <v>10.0</v>
      </c>
      <c r="E65" s="131" t="s">
        <v>703</v>
      </c>
      <c r="F65" s="130">
        <v>109.0</v>
      </c>
      <c r="G65" s="130">
        <v>10.0</v>
      </c>
      <c r="H65" s="131" t="s">
        <v>703</v>
      </c>
      <c r="I65" s="130">
        <v>4.0</v>
      </c>
      <c r="J65" s="130">
        <v>3.0</v>
      </c>
      <c r="K65" s="131" t="s">
        <v>706</v>
      </c>
      <c r="L65" s="130">
        <v>4.0</v>
      </c>
      <c r="M65" s="130">
        <v>9.0</v>
      </c>
      <c r="N65" s="130" t="s">
        <v>709</v>
      </c>
      <c r="O65" s="130">
        <v>85.0</v>
      </c>
      <c r="P65" s="130">
        <v>15.0</v>
      </c>
      <c r="Q65" s="130" t="s">
        <v>703</v>
      </c>
      <c r="R65" s="130">
        <v>50.0</v>
      </c>
      <c r="S65" s="130">
        <v>5.0</v>
      </c>
      <c r="T65" s="130" t="s">
        <v>706</v>
      </c>
      <c r="U65" s="130">
        <v>39.0</v>
      </c>
      <c r="V65" s="130">
        <v>35.0</v>
      </c>
      <c r="W65" s="130" t="s">
        <v>703</v>
      </c>
      <c r="X65" s="130">
        <v>8.0</v>
      </c>
      <c r="Y65" s="130">
        <v>80.0</v>
      </c>
      <c r="Z65" s="130" t="s">
        <v>703</v>
      </c>
      <c r="AA65" s="130">
        <v>25.0</v>
      </c>
      <c r="AB65" s="130">
        <v>0.1</v>
      </c>
      <c r="AC65" s="131" t="s">
        <v>703</v>
      </c>
      <c r="AD65" s="132" t="s">
        <v>133</v>
      </c>
      <c r="AE65" s="133" t="s">
        <v>133</v>
      </c>
      <c r="AF65" s="132" t="s">
        <v>133</v>
      </c>
      <c r="AG65" s="133" t="s">
        <v>133</v>
      </c>
      <c r="AH65" s="132" t="s">
        <v>133</v>
      </c>
      <c r="AI65" s="133" t="s">
        <v>133</v>
      </c>
      <c r="AJ65" s="132" t="s">
        <v>133</v>
      </c>
      <c r="AK65" s="133" t="s">
        <v>133</v>
      </c>
    </row>
    <row r="66" ht="15.75" customHeight="1">
      <c r="A66" s="129" t="s">
        <v>329</v>
      </c>
      <c r="B66" s="54" t="s">
        <v>175</v>
      </c>
      <c r="C66" s="129">
        <v>65.0</v>
      </c>
      <c r="D66" s="130">
        <v>15.0</v>
      </c>
      <c r="E66" s="131" t="s">
        <v>703</v>
      </c>
      <c r="F66" s="130">
        <v>191.0</v>
      </c>
      <c r="G66" s="130">
        <v>6.0</v>
      </c>
      <c r="H66" s="131" t="s">
        <v>703</v>
      </c>
      <c r="I66" s="130">
        <v>5.0</v>
      </c>
      <c r="J66" s="130">
        <v>3.0</v>
      </c>
      <c r="K66" s="131" t="s">
        <v>706</v>
      </c>
      <c r="L66" s="130">
        <v>4.0</v>
      </c>
      <c r="M66" s="130">
        <v>9.0</v>
      </c>
      <c r="N66" s="130" t="s">
        <v>703</v>
      </c>
      <c r="O66" s="130">
        <v>80.0</v>
      </c>
      <c r="P66" s="130">
        <v>15.0</v>
      </c>
      <c r="Q66" s="130" t="s">
        <v>703</v>
      </c>
      <c r="R66" s="130">
        <v>72.0</v>
      </c>
      <c r="S66" s="130">
        <v>65.0</v>
      </c>
      <c r="T66" s="130" t="s">
        <v>703</v>
      </c>
      <c r="U66" s="130">
        <v>57.0</v>
      </c>
      <c r="V66" s="130" t="s">
        <v>713</v>
      </c>
      <c r="W66" s="130" t="s">
        <v>703</v>
      </c>
      <c r="X66" s="130">
        <v>20.0</v>
      </c>
      <c r="Y66" s="130" t="s">
        <v>713</v>
      </c>
      <c r="Z66" s="130" t="s">
        <v>703</v>
      </c>
      <c r="AA66" s="130">
        <v>23.0</v>
      </c>
      <c r="AB66" s="130">
        <v>0.51</v>
      </c>
      <c r="AC66" s="131" t="s">
        <v>703</v>
      </c>
      <c r="AD66" s="132" t="s">
        <v>133</v>
      </c>
      <c r="AE66" s="133" t="s">
        <v>133</v>
      </c>
      <c r="AF66" s="132" t="s">
        <v>133</v>
      </c>
      <c r="AG66" s="133" t="s">
        <v>133</v>
      </c>
      <c r="AH66" s="132" t="s">
        <v>133</v>
      </c>
      <c r="AI66" s="133" t="s">
        <v>133</v>
      </c>
      <c r="AJ66" s="132" t="s">
        <v>133</v>
      </c>
      <c r="AK66" s="133" t="s">
        <v>133</v>
      </c>
    </row>
    <row r="67" ht="15.75" customHeight="1">
      <c r="A67" s="130" t="s">
        <v>336</v>
      </c>
      <c r="B67" s="54" t="s">
        <v>175</v>
      </c>
      <c r="C67" s="129">
        <v>41.0</v>
      </c>
      <c r="D67" s="130">
        <v>15.0</v>
      </c>
      <c r="E67" s="131" t="s">
        <v>703</v>
      </c>
      <c r="F67" s="130">
        <v>85.0</v>
      </c>
      <c r="G67" s="130">
        <v>25.0</v>
      </c>
      <c r="H67" s="131" t="s">
        <v>703</v>
      </c>
      <c r="I67" s="130">
        <v>9.0</v>
      </c>
      <c r="J67" s="130">
        <v>67.0</v>
      </c>
      <c r="K67" s="131" t="s">
        <v>703</v>
      </c>
      <c r="L67" s="130">
        <v>8.0</v>
      </c>
      <c r="M67" s="130">
        <v>81.0</v>
      </c>
      <c r="N67" s="130" t="s">
        <v>703</v>
      </c>
      <c r="O67" s="130">
        <v>63.0</v>
      </c>
      <c r="P67" s="130">
        <v>5.0</v>
      </c>
      <c r="Q67" s="130" t="s">
        <v>706</v>
      </c>
      <c r="R67" s="130">
        <v>59.0</v>
      </c>
      <c r="S67" s="130">
        <v>20.0</v>
      </c>
      <c r="T67" s="130" t="s">
        <v>703</v>
      </c>
      <c r="U67" s="130">
        <v>35.0</v>
      </c>
      <c r="V67" s="130">
        <v>25.0</v>
      </c>
      <c r="W67" s="130" t="s">
        <v>703</v>
      </c>
      <c r="X67" s="130">
        <v>5.0</v>
      </c>
      <c r="Y67" s="130">
        <v>75.0</v>
      </c>
      <c r="Z67" s="130" t="s">
        <v>703</v>
      </c>
      <c r="AA67" s="130">
        <v>27.0</v>
      </c>
      <c r="AB67" s="130">
        <v>0.53</v>
      </c>
      <c r="AC67" s="130" t="s">
        <v>703</v>
      </c>
      <c r="AD67" s="132" t="s">
        <v>133</v>
      </c>
      <c r="AE67" s="133" t="s">
        <v>133</v>
      </c>
      <c r="AF67" s="132" t="s">
        <v>133</v>
      </c>
      <c r="AG67" s="133" t="s">
        <v>133</v>
      </c>
      <c r="AH67" s="132" t="s">
        <v>133</v>
      </c>
      <c r="AI67" s="133" t="s">
        <v>133</v>
      </c>
      <c r="AJ67" s="132" t="s">
        <v>133</v>
      </c>
      <c r="AK67" s="133" t="s">
        <v>133</v>
      </c>
    </row>
    <row r="68" ht="15.75" customHeight="1">
      <c r="A68" s="130" t="s">
        <v>338</v>
      </c>
      <c r="B68" s="54" t="s">
        <v>175</v>
      </c>
      <c r="C68" s="129">
        <v>55.0</v>
      </c>
      <c r="D68" s="130">
        <v>10.0</v>
      </c>
      <c r="E68" s="131" t="s">
        <v>703</v>
      </c>
      <c r="F68" s="130">
        <v>121.0</v>
      </c>
      <c r="G68" s="130">
        <v>10.0</v>
      </c>
      <c r="H68" s="131" t="s">
        <v>703</v>
      </c>
      <c r="I68" s="130">
        <v>6.0</v>
      </c>
      <c r="J68" s="130">
        <v>17.0</v>
      </c>
      <c r="K68" s="131" t="s">
        <v>703</v>
      </c>
      <c r="L68" s="130">
        <v>5.0</v>
      </c>
      <c r="M68" s="130">
        <v>29.0</v>
      </c>
      <c r="N68" s="130" t="s">
        <v>703</v>
      </c>
      <c r="O68" s="130">
        <v>80.0</v>
      </c>
      <c r="P68" s="130">
        <v>15.0</v>
      </c>
      <c r="Q68" s="130" t="s">
        <v>703</v>
      </c>
      <c r="R68" s="130">
        <v>45.0</v>
      </c>
      <c r="S68" s="130" t="s">
        <v>705</v>
      </c>
      <c r="T68" s="130" t="s">
        <v>706</v>
      </c>
      <c r="U68" s="130">
        <v>30.0</v>
      </c>
      <c r="V68" s="130">
        <v>15.0</v>
      </c>
      <c r="W68" s="130" t="s">
        <v>703</v>
      </c>
      <c r="X68" s="130">
        <v>2.0</v>
      </c>
      <c r="Y68" s="130">
        <v>60.0</v>
      </c>
      <c r="Z68" s="130" t="s">
        <v>703</v>
      </c>
      <c r="AA68" s="130">
        <v>21.0</v>
      </c>
      <c r="AB68" s="130">
        <v>-1.34</v>
      </c>
      <c r="AC68" s="130" t="s">
        <v>709</v>
      </c>
      <c r="AD68" s="132" t="s">
        <v>133</v>
      </c>
      <c r="AE68" s="133" t="s">
        <v>133</v>
      </c>
      <c r="AF68" s="132" t="s">
        <v>133</v>
      </c>
      <c r="AG68" s="133" t="s">
        <v>133</v>
      </c>
      <c r="AH68" s="132" t="s">
        <v>133</v>
      </c>
      <c r="AI68" s="133" t="s">
        <v>133</v>
      </c>
      <c r="AJ68" s="132" t="s">
        <v>133</v>
      </c>
      <c r="AK68" s="133" t="s">
        <v>133</v>
      </c>
    </row>
    <row r="69" ht="15.75" customHeight="1">
      <c r="A69" s="130" t="s">
        <v>342</v>
      </c>
      <c r="B69" s="54" t="s">
        <v>129</v>
      </c>
      <c r="C69" s="129">
        <v>47.0</v>
      </c>
      <c r="D69" s="130">
        <v>10.0</v>
      </c>
      <c r="E69" s="131" t="s">
        <v>703</v>
      </c>
      <c r="F69" s="130">
        <v>111.0</v>
      </c>
      <c r="G69" s="130">
        <v>10.0</v>
      </c>
      <c r="H69" s="131" t="s">
        <v>703</v>
      </c>
      <c r="I69" s="130">
        <v>7.0</v>
      </c>
      <c r="J69" s="130">
        <v>22.0</v>
      </c>
      <c r="K69" s="131" t="s">
        <v>703</v>
      </c>
      <c r="L69" s="130">
        <v>6.0</v>
      </c>
      <c r="M69" s="130">
        <v>53.0</v>
      </c>
      <c r="N69" s="130" t="s">
        <v>703</v>
      </c>
      <c r="O69" s="130">
        <v>100.0</v>
      </c>
      <c r="P69" s="130">
        <v>65.0</v>
      </c>
      <c r="Q69" s="130" t="s">
        <v>703</v>
      </c>
      <c r="R69" s="130">
        <v>66.0</v>
      </c>
      <c r="S69" s="130">
        <v>50.0</v>
      </c>
      <c r="T69" s="130" t="s">
        <v>703</v>
      </c>
      <c r="U69" s="130">
        <v>41.0</v>
      </c>
      <c r="V69" s="130">
        <v>65.0</v>
      </c>
      <c r="W69" s="130" t="s">
        <v>703</v>
      </c>
      <c r="X69" s="130">
        <v>1.0</v>
      </c>
      <c r="Y69" s="130">
        <v>55.0</v>
      </c>
      <c r="Z69" s="130" t="s">
        <v>703</v>
      </c>
      <c r="AA69" s="130">
        <v>26.0</v>
      </c>
      <c r="AB69" s="130">
        <v>0.21</v>
      </c>
      <c r="AC69" s="130" t="s">
        <v>703</v>
      </c>
      <c r="AD69" s="132" t="s">
        <v>133</v>
      </c>
      <c r="AE69" s="133" t="s">
        <v>133</v>
      </c>
      <c r="AF69" s="132" t="s">
        <v>133</v>
      </c>
      <c r="AG69" s="133" t="s">
        <v>133</v>
      </c>
      <c r="AH69" s="132" t="s">
        <v>133</v>
      </c>
      <c r="AI69" s="133" t="s">
        <v>133</v>
      </c>
      <c r="AJ69" s="132" t="s">
        <v>133</v>
      </c>
      <c r="AK69" s="133" t="s">
        <v>133</v>
      </c>
    </row>
    <row r="70" ht="15.75" customHeight="1">
      <c r="A70" s="130" t="s">
        <v>346</v>
      </c>
      <c r="B70" s="54" t="s">
        <v>129</v>
      </c>
      <c r="C70" s="129">
        <v>39.0</v>
      </c>
      <c r="D70" s="130">
        <v>25.0</v>
      </c>
      <c r="E70" s="131" t="s">
        <v>703</v>
      </c>
      <c r="F70" s="130">
        <v>65.0</v>
      </c>
      <c r="G70" s="130">
        <v>35.0</v>
      </c>
      <c r="H70" s="131" t="s">
        <v>703</v>
      </c>
      <c r="I70" s="130">
        <v>5.0</v>
      </c>
      <c r="J70" s="130">
        <v>3.0</v>
      </c>
      <c r="K70" s="131" t="s">
        <v>706</v>
      </c>
      <c r="L70" s="130">
        <v>4.0</v>
      </c>
      <c r="M70" s="130">
        <v>9.0</v>
      </c>
      <c r="N70" s="130" t="s">
        <v>709</v>
      </c>
      <c r="O70" s="130">
        <v>80.0</v>
      </c>
      <c r="P70" s="130">
        <v>10.0</v>
      </c>
      <c r="Q70" s="130" t="s">
        <v>703</v>
      </c>
      <c r="R70" s="130">
        <v>63.0</v>
      </c>
      <c r="S70" s="130">
        <v>25.0</v>
      </c>
      <c r="T70" s="130" t="s">
        <v>703</v>
      </c>
      <c r="U70" s="130">
        <v>41.0</v>
      </c>
      <c r="V70" s="130">
        <v>45.0</v>
      </c>
      <c r="W70" s="130" t="s">
        <v>703</v>
      </c>
      <c r="X70" s="130">
        <v>6.0</v>
      </c>
      <c r="Y70" s="130">
        <v>75.0</v>
      </c>
      <c r="Z70" s="130" t="s">
        <v>703</v>
      </c>
      <c r="AA70" s="130">
        <v>28.0</v>
      </c>
      <c r="AB70" s="130">
        <v>0.8</v>
      </c>
      <c r="AC70" s="130" t="s">
        <v>703</v>
      </c>
      <c r="AD70" s="130">
        <v>7.0</v>
      </c>
      <c r="AE70" s="131" t="s">
        <v>704</v>
      </c>
      <c r="AF70" s="130">
        <v>2.0</v>
      </c>
      <c r="AG70" s="131" t="s">
        <v>704</v>
      </c>
      <c r="AH70" s="134">
        <v>7.0</v>
      </c>
      <c r="AI70" s="135" t="s">
        <v>708</v>
      </c>
      <c r="AJ70" s="134">
        <v>9.0</v>
      </c>
      <c r="AK70" s="135" t="s">
        <v>708</v>
      </c>
    </row>
    <row r="71" ht="15.75" customHeight="1">
      <c r="A71" s="130" t="s">
        <v>347</v>
      </c>
      <c r="B71" s="54" t="s">
        <v>129</v>
      </c>
      <c r="C71" s="129">
        <v>42.0</v>
      </c>
      <c r="D71" s="130">
        <v>15.0</v>
      </c>
      <c r="E71" s="131" t="s">
        <v>703</v>
      </c>
      <c r="F71" s="130">
        <v>85.0</v>
      </c>
      <c r="G71" s="130">
        <v>25.0</v>
      </c>
      <c r="H71" s="131" t="s">
        <v>703</v>
      </c>
      <c r="I71" s="130">
        <v>4.0</v>
      </c>
      <c r="J71" s="137" t="s">
        <v>714</v>
      </c>
      <c r="K71" s="131" t="s">
        <v>706</v>
      </c>
      <c r="L71" s="130">
        <v>6.0</v>
      </c>
      <c r="M71" s="130">
        <v>47.0</v>
      </c>
      <c r="N71" s="130" t="s">
        <v>703</v>
      </c>
      <c r="O71" s="130">
        <v>86.0</v>
      </c>
      <c r="P71" s="130">
        <v>25.0</v>
      </c>
      <c r="Q71" s="130" t="s">
        <v>703</v>
      </c>
      <c r="R71" s="130">
        <v>63.0</v>
      </c>
      <c r="S71" s="130">
        <v>40.0</v>
      </c>
      <c r="T71" s="130" t="s">
        <v>703</v>
      </c>
      <c r="U71" s="130">
        <v>33.0</v>
      </c>
      <c r="V71" s="130">
        <v>30.0</v>
      </c>
      <c r="W71" s="130" t="s">
        <v>703</v>
      </c>
      <c r="X71" s="130">
        <v>-3.0</v>
      </c>
      <c r="Y71" s="130">
        <v>35.0</v>
      </c>
      <c r="Z71" s="130" t="s">
        <v>703</v>
      </c>
      <c r="AA71" s="130">
        <v>26.0</v>
      </c>
      <c r="AB71" s="130">
        <v>0.21</v>
      </c>
      <c r="AC71" s="130" t="s">
        <v>703</v>
      </c>
      <c r="AD71" s="132" t="s">
        <v>133</v>
      </c>
      <c r="AE71" s="133" t="s">
        <v>133</v>
      </c>
      <c r="AF71" s="132" t="s">
        <v>133</v>
      </c>
      <c r="AG71" s="133" t="s">
        <v>133</v>
      </c>
      <c r="AH71" s="132" t="s">
        <v>133</v>
      </c>
      <c r="AI71" s="133" t="s">
        <v>133</v>
      </c>
      <c r="AJ71" s="132" t="s">
        <v>133</v>
      </c>
      <c r="AK71" s="133" t="s">
        <v>133</v>
      </c>
    </row>
    <row r="72" ht="15.75" customHeight="1">
      <c r="A72" s="130" t="s">
        <v>350</v>
      </c>
      <c r="B72" s="54" t="s">
        <v>129</v>
      </c>
      <c r="C72" s="129">
        <v>36.0</v>
      </c>
      <c r="D72" s="130">
        <v>25.0</v>
      </c>
      <c r="E72" s="131" t="s">
        <v>703</v>
      </c>
      <c r="F72" s="130">
        <v>85.0</v>
      </c>
      <c r="G72" s="130">
        <v>25.0</v>
      </c>
      <c r="H72" s="131" t="s">
        <v>703</v>
      </c>
      <c r="I72" s="130">
        <v>5.0</v>
      </c>
      <c r="J72" s="130">
        <v>3.0</v>
      </c>
      <c r="K72" s="131" t="s">
        <v>706</v>
      </c>
      <c r="L72" s="130">
        <v>6.0</v>
      </c>
      <c r="M72" s="130">
        <v>53.0</v>
      </c>
      <c r="N72" s="130" t="s">
        <v>703</v>
      </c>
      <c r="O72" s="130">
        <v>105.0</v>
      </c>
      <c r="P72" s="130">
        <v>75.0</v>
      </c>
      <c r="Q72" s="130" t="s">
        <v>703</v>
      </c>
      <c r="R72" s="130">
        <v>68.0</v>
      </c>
      <c r="S72" s="130">
        <v>60.0</v>
      </c>
      <c r="T72" s="130" t="s">
        <v>703</v>
      </c>
      <c r="U72" s="130">
        <v>44.0</v>
      </c>
      <c r="V72" s="130">
        <v>75.0</v>
      </c>
      <c r="W72" s="130" t="s">
        <v>703</v>
      </c>
      <c r="X72" s="130">
        <v>3.0</v>
      </c>
      <c r="Y72" s="130">
        <v>70.0</v>
      </c>
      <c r="Z72" s="130" t="s">
        <v>703</v>
      </c>
      <c r="AA72" s="130">
        <v>28.0</v>
      </c>
      <c r="AB72" s="130">
        <v>1.2</v>
      </c>
      <c r="AC72" s="130" t="s">
        <v>703</v>
      </c>
      <c r="AD72" s="119">
        <v>7.0</v>
      </c>
      <c r="AE72" s="120" t="s">
        <v>704</v>
      </c>
      <c r="AF72" s="119">
        <v>2.0</v>
      </c>
      <c r="AG72" s="120" t="s">
        <v>704</v>
      </c>
      <c r="AH72" s="134">
        <v>2.0</v>
      </c>
      <c r="AI72" s="135" t="s">
        <v>704</v>
      </c>
      <c r="AJ72" s="134">
        <v>3.0</v>
      </c>
      <c r="AK72" s="135" t="s">
        <v>704</v>
      </c>
    </row>
    <row r="73" ht="15.75" customHeight="1">
      <c r="A73" s="130" t="s">
        <v>351</v>
      </c>
      <c r="B73" s="54" t="s">
        <v>129</v>
      </c>
      <c r="C73" s="129">
        <v>20.0</v>
      </c>
      <c r="D73" s="130">
        <v>90.0</v>
      </c>
      <c r="E73" s="131" t="s">
        <v>703</v>
      </c>
      <c r="F73" s="130">
        <v>41.0</v>
      </c>
      <c r="G73" s="130">
        <v>90.0</v>
      </c>
      <c r="H73" s="131" t="s">
        <v>703</v>
      </c>
      <c r="I73" s="130">
        <v>6.0</v>
      </c>
      <c r="J73" s="130">
        <v>16.0</v>
      </c>
      <c r="K73" s="131" t="s">
        <v>703</v>
      </c>
      <c r="L73" s="130">
        <v>9.0</v>
      </c>
      <c r="M73" s="130">
        <v>83.0</v>
      </c>
      <c r="N73" s="130" t="s">
        <v>703</v>
      </c>
      <c r="O73" s="130">
        <v>89.0</v>
      </c>
      <c r="P73" s="130">
        <v>20.0</v>
      </c>
      <c r="Q73" s="130" t="s">
        <v>703</v>
      </c>
      <c r="R73" s="130">
        <v>71.0</v>
      </c>
      <c r="S73" s="130">
        <v>45.0</v>
      </c>
      <c r="T73" s="130" t="s">
        <v>703</v>
      </c>
      <c r="U73" s="130">
        <v>46.0</v>
      </c>
      <c r="V73" s="130">
        <v>55.0</v>
      </c>
      <c r="W73" s="130" t="s">
        <v>703</v>
      </c>
      <c r="X73" s="130">
        <v>7.0</v>
      </c>
      <c r="Y73" s="130">
        <v>75.0</v>
      </c>
      <c r="Z73" s="130" t="s">
        <v>703</v>
      </c>
      <c r="AA73" s="130">
        <v>30.0</v>
      </c>
      <c r="AB73" s="130">
        <v>1.4</v>
      </c>
      <c r="AC73" s="130" t="s">
        <v>703</v>
      </c>
      <c r="AD73" s="130">
        <v>14.0</v>
      </c>
      <c r="AE73" s="131" t="s">
        <v>710</v>
      </c>
      <c r="AF73" s="130">
        <v>8.0</v>
      </c>
      <c r="AG73" s="131" t="s">
        <v>712</v>
      </c>
      <c r="AH73" s="132" t="s">
        <v>133</v>
      </c>
      <c r="AI73" s="133" t="s">
        <v>133</v>
      </c>
      <c r="AJ73" s="132" t="s">
        <v>133</v>
      </c>
      <c r="AK73" s="133" t="s">
        <v>133</v>
      </c>
    </row>
    <row r="74" ht="15.75" customHeight="1">
      <c r="A74" s="130" t="s">
        <v>355</v>
      </c>
      <c r="B74" s="54" t="s">
        <v>129</v>
      </c>
      <c r="C74" s="129">
        <v>32.0</v>
      </c>
      <c r="D74" s="130">
        <v>70.0</v>
      </c>
      <c r="E74" s="131" t="s">
        <v>703</v>
      </c>
      <c r="F74" s="130">
        <v>103.0</v>
      </c>
      <c r="G74" s="130">
        <v>40.0</v>
      </c>
      <c r="H74" s="131" t="s">
        <v>703</v>
      </c>
      <c r="I74" s="130">
        <v>3.0</v>
      </c>
      <c r="J74" s="137" t="s">
        <v>715</v>
      </c>
      <c r="K74" s="131" t="s">
        <v>706</v>
      </c>
      <c r="L74" s="130">
        <v>4.0</v>
      </c>
      <c r="M74" s="130">
        <v>9.0</v>
      </c>
      <c r="N74" s="130" t="s">
        <v>709</v>
      </c>
      <c r="O74" s="130">
        <v>73.0</v>
      </c>
      <c r="P74" s="130">
        <v>7.0</v>
      </c>
      <c r="Q74" s="130" t="s">
        <v>706</v>
      </c>
      <c r="R74" s="130">
        <v>50.0</v>
      </c>
      <c r="S74" s="130">
        <v>10.0</v>
      </c>
      <c r="T74" s="130" t="s">
        <v>709</v>
      </c>
      <c r="U74" s="130">
        <v>31.0</v>
      </c>
      <c r="V74" s="130">
        <v>20.0</v>
      </c>
      <c r="W74" s="130" t="s">
        <v>703</v>
      </c>
      <c r="X74" s="130">
        <v>2.0</v>
      </c>
      <c r="Y74" s="130">
        <v>65.0</v>
      </c>
      <c r="Z74" s="130" t="s">
        <v>703</v>
      </c>
      <c r="AA74" s="130">
        <v>23.0</v>
      </c>
      <c r="AB74" s="130">
        <v>0.5</v>
      </c>
      <c r="AC74" s="130" t="s">
        <v>703</v>
      </c>
      <c r="AD74" s="119">
        <v>10.0</v>
      </c>
      <c r="AE74" s="120" t="s">
        <v>712</v>
      </c>
      <c r="AF74" s="119">
        <v>9.0</v>
      </c>
      <c r="AG74" s="120" t="s">
        <v>712</v>
      </c>
      <c r="AH74" s="134">
        <v>17.0</v>
      </c>
      <c r="AI74" s="135" t="s">
        <v>711</v>
      </c>
      <c r="AJ74" s="134">
        <v>11.0</v>
      </c>
      <c r="AK74" s="135" t="s">
        <v>707</v>
      </c>
    </row>
    <row r="75" ht="15.75" customHeight="1">
      <c r="A75" s="130" t="s">
        <v>356</v>
      </c>
      <c r="B75" s="54" t="s">
        <v>129</v>
      </c>
      <c r="C75" s="129">
        <v>39.0</v>
      </c>
      <c r="D75" s="130">
        <v>35.0</v>
      </c>
      <c r="E75" s="131" t="s">
        <v>703</v>
      </c>
      <c r="F75" s="130">
        <v>94.0</v>
      </c>
      <c r="G75" s="130">
        <v>35.0</v>
      </c>
      <c r="H75" s="131" t="s">
        <v>703</v>
      </c>
      <c r="I75" s="130">
        <v>5.0</v>
      </c>
      <c r="J75" s="130">
        <v>4.0</v>
      </c>
      <c r="K75" s="131" t="s">
        <v>706</v>
      </c>
      <c r="L75" s="130">
        <v>5.0</v>
      </c>
      <c r="M75" s="130">
        <v>29.0</v>
      </c>
      <c r="N75" s="130" t="s">
        <v>703</v>
      </c>
      <c r="O75" s="132" t="s">
        <v>133</v>
      </c>
      <c r="P75" s="132" t="s">
        <v>133</v>
      </c>
      <c r="Q75" s="132" t="s">
        <v>133</v>
      </c>
      <c r="R75" s="132" t="s">
        <v>133</v>
      </c>
      <c r="S75" s="132" t="s">
        <v>133</v>
      </c>
      <c r="T75" s="132" t="s">
        <v>133</v>
      </c>
      <c r="U75" s="132" t="s">
        <v>133</v>
      </c>
      <c r="V75" s="132" t="s">
        <v>133</v>
      </c>
      <c r="W75" s="132" t="s">
        <v>133</v>
      </c>
      <c r="X75" s="132" t="s">
        <v>133</v>
      </c>
      <c r="Y75" s="132" t="s">
        <v>133</v>
      </c>
      <c r="Z75" s="132" t="s">
        <v>133</v>
      </c>
      <c r="AA75" s="130">
        <v>22.0</v>
      </c>
      <c r="AB75" s="130">
        <v>-0.8</v>
      </c>
      <c r="AC75" s="130" t="s">
        <v>703</v>
      </c>
      <c r="AD75" s="130">
        <v>2.0</v>
      </c>
      <c r="AE75" s="131" t="s">
        <v>704</v>
      </c>
      <c r="AF75" s="130">
        <v>7.0</v>
      </c>
      <c r="AG75" s="131" t="s">
        <v>704</v>
      </c>
      <c r="AH75" s="134">
        <v>1.0</v>
      </c>
      <c r="AI75" s="133" t="s">
        <v>704</v>
      </c>
      <c r="AJ75" s="134">
        <v>2.0</v>
      </c>
      <c r="AK75" s="133" t="s">
        <v>704</v>
      </c>
    </row>
    <row r="76" ht="15.75" customHeight="1">
      <c r="A76" s="130" t="s">
        <v>357</v>
      </c>
      <c r="B76" s="54" t="s">
        <v>129</v>
      </c>
      <c r="C76" s="129">
        <v>40.0</v>
      </c>
      <c r="D76" s="130">
        <v>20.0</v>
      </c>
      <c r="E76" s="131" t="s">
        <v>703</v>
      </c>
      <c r="F76" s="130">
        <v>72.0</v>
      </c>
      <c r="G76" s="130">
        <v>30.0</v>
      </c>
      <c r="H76" s="131" t="s">
        <v>703</v>
      </c>
      <c r="I76" s="130">
        <v>7.0</v>
      </c>
      <c r="J76" s="130">
        <v>22.0</v>
      </c>
      <c r="K76" s="131" t="s">
        <v>703</v>
      </c>
      <c r="L76" s="130">
        <v>6.0</v>
      </c>
      <c r="M76" s="130">
        <v>53.0</v>
      </c>
      <c r="N76" s="130" t="s">
        <v>703</v>
      </c>
      <c r="O76" s="130">
        <v>82.0</v>
      </c>
      <c r="P76" s="130">
        <v>10.0</v>
      </c>
      <c r="Q76" s="130" t="s">
        <v>703</v>
      </c>
      <c r="R76" s="130">
        <v>66.0</v>
      </c>
      <c r="S76" s="130">
        <v>30.0</v>
      </c>
      <c r="T76" s="130" t="s">
        <v>703</v>
      </c>
      <c r="U76" s="130">
        <v>45.0</v>
      </c>
      <c r="V76" s="130">
        <v>5.0</v>
      </c>
      <c r="W76" s="130" t="s">
        <v>703</v>
      </c>
      <c r="X76" s="130">
        <v>9.0</v>
      </c>
      <c r="Y76" s="130">
        <v>80.0</v>
      </c>
      <c r="Z76" s="130" t="s">
        <v>703</v>
      </c>
      <c r="AA76" s="130">
        <v>25.0</v>
      </c>
      <c r="AB76" s="130">
        <v>-0.09</v>
      </c>
      <c r="AC76" s="130" t="s">
        <v>709</v>
      </c>
      <c r="AD76" s="130">
        <v>4.0</v>
      </c>
      <c r="AE76" s="131" t="s">
        <v>704</v>
      </c>
      <c r="AF76" s="130">
        <v>3.0</v>
      </c>
      <c r="AG76" s="131" t="s">
        <v>704</v>
      </c>
      <c r="AH76" s="132" t="s">
        <v>133</v>
      </c>
      <c r="AI76" s="133" t="s">
        <v>133</v>
      </c>
      <c r="AJ76" s="132" t="s">
        <v>133</v>
      </c>
      <c r="AK76" s="133" t="s">
        <v>133</v>
      </c>
    </row>
    <row r="77" ht="15.75" customHeight="1">
      <c r="A77" s="130" t="s">
        <v>358</v>
      </c>
      <c r="B77" s="54" t="s">
        <v>129</v>
      </c>
      <c r="C77" s="138">
        <v>31.0</v>
      </c>
      <c r="D77" s="130">
        <v>35.0</v>
      </c>
      <c r="E77" s="131" t="s">
        <v>703</v>
      </c>
      <c r="F77" s="132">
        <v>62.0</v>
      </c>
      <c r="G77" s="132">
        <v>40.0</v>
      </c>
      <c r="H77" s="131" t="s">
        <v>703</v>
      </c>
      <c r="I77" s="132">
        <v>10.0</v>
      </c>
      <c r="J77" s="132">
        <v>81.0</v>
      </c>
      <c r="K77" s="131" t="s">
        <v>703</v>
      </c>
      <c r="L77" s="132">
        <v>9.0</v>
      </c>
      <c r="M77" s="132">
        <v>83.0</v>
      </c>
      <c r="N77" s="130" t="s">
        <v>703</v>
      </c>
      <c r="O77" s="132">
        <v>140.0</v>
      </c>
      <c r="P77" s="132">
        <v>95.0</v>
      </c>
      <c r="Q77" s="130" t="s">
        <v>703</v>
      </c>
      <c r="R77" s="132">
        <v>96.0</v>
      </c>
      <c r="S77" s="132">
        <v>95.0</v>
      </c>
      <c r="T77" s="130" t="s">
        <v>703</v>
      </c>
      <c r="U77" s="132">
        <v>50.0</v>
      </c>
      <c r="V77" s="132">
        <v>70.0</v>
      </c>
      <c r="W77" s="130" t="s">
        <v>703</v>
      </c>
      <c r="X77" s="132">
        <v>-6.0</v>
      </c>
      <c r="Y77" s="132">
        <v>12.0</v>
      </c>
      <c r="Z77" s="130" t="s">
        <v>703</v>
      </c>
      <c r="AA77" s="132">
        <v>28.0</v>
      </c>
      <c r="AB77" s="132">
        <v>0.84</v>
      </c>
      <c r="AC77" s="132" t="s">
        <v>703</v>
      </c>
      <c r="AD77" s="119">
        <v>6.0</v>
      </c>
      <c r="AE77" s="120" t="s">
        <v>704</v>
      </c>
      <c r="AF77" s="119">
        <v>3.0</v>
      </c>
      <c r="AG77" s="120" t="s">
        <v>704</v>
      </c>
      <c r="AH77" s="132" t="s">
        <v>133</v>
      </c>
      <c r="AI77" s="133" t="s">
        <v>133</v>
      </c>
      <c r="AJ77" s="132" t="s">
        <v>133</v>
      </c>
      <c r="AK77" s="133" t="s">
        <v>133</v>
      </c>
    </row>
    <row r="78" ht="15.75" customHeight="1">
      <c r="A78" s="130" t="s">
        <v>359</v>
      </c>
      <c r="B78" s="54" t="s">
        <v>175</v>
      </c>
      <c r="C78" s="129">
        <v>73.0</v>
      </c>
      <c r="D78" s="130">
        <v>1.0</v>
      </c>
      <c r="E78" s="131" t="s">
        <v>706</v>
      </c>
      <c r="F78" s="130">
        <v>145.0</v>
      </c>
      <c r="G78" s="130">
        <v>6.0</v>
      </c>
      <c r="H78" s="131" t="s">
        <v>703</v>
      </c>
      <c r="I78" s="130">
        <v>5.0</v>
      </c>
      <c r="J78" s="130">
        <v>4.0</v>
      </c>
      <c r="K78" s="131" t="s">
        <v>706</v>
      </c>
      <c r="L78" s="130">
        <v>5.0</v>
      </c>
      <c r="M78" s="130">
        <v>29.0</v>
      </c>
      <c r="N78" s="130" t="s">
        <v>703</v>
      </c>
      <c r="O78" s="130">
        <v>61.0</v>
      </c>
      <c r="P78" s="130" t="s">
        <v>705</v>
      </c>
      <c r="Q78" s="130" t="s">
        <v>706</v>
      </c>
      <c r="R78" s="130">
        <v>56.0</v>
      </c>
      <c r="S78" s="130">
        <v>15.0</v>
      </c>
      <c r="T78" s="130" t="s">
        <v>703</v>
      </c>
      <c r="U78" s="130">
        <v>36.0</v>
      </c>
      <c r="V78" s="130">
        <v>30.0</v>
      </c>
      <c r="W78" s="130" t="s">
        <v>703</v>
      </c>
      <c r="X78" s="130">
        <v>7.0</v>
      </c>
      <c r="Y78" s="130">
        <v>80.0</v>
      </c>
      <c r="Z78" s="130" t="s">
        <v>703</v>
      </c>
      <c r="AA78" s="130">
        <v>26.0</v>
      </c>
      <c r="AB78" s="130">
        <v>0.21</v>
      </c>
      <c r="AC78" s="130" t="s">
        <v>703</v>
      </c>
      <c r="AD78" s="132" t="s">
        <v>133</v>
      </c>
      <c r="AE78" s="133" t="s">
        <v>133</v>
      </c>
      <c r="AF78" s="132" t="s">
        <v>133</v>
      </c>
      <c r="AG78" s="133" t="s">
        <v>133</v>
      </c>
      <c r="AH78" s="132" t="s">
        <v>133</v>
      </c>
      <c r="AI78" s="133" t="s">
        <v>133</v>
      </c>
      <c r="AJ78" s="132" t="s">
        <v>133</v>
      </c>
      <c r="AK78" s="133" t="s">
        <v>133</v>
      </c>
    </row>
    <row r="79" ht="15.75" customHeight="1">
      <c r="A79" s="130" t="s">
        <v>361</v>
      </c>
      <c r="B79" s="54" t="s">
        <v>129</v>
      </c>
      <c r="C79" s="129">
        <v>43.0</v>
      </c>
      <c r="D79" s="130">
        <v>20.0</v>
      </c>
      <c r="E79" s="131" t="s">
        <v>703</v>
      </c>
      <c r="F79" s="130">
        <v>95.0</v>
      </c>
      <c r="G79" s="130">
        <v>15.0</v>
      </c>
      <c r="H79" s="131" t="s">
        <v>703</v>
      </c>
      <c r="I79" s="130">
        <v>8.0</v>
      </c>
      <c r="J79" s="130">
        <v>43.0</v>
      </c>
      <c r="K79" s="131" t="s">
        <v>703</v>
      </c>
      <c r="L79" s="130">
        <v>6.0</v>
      </c>
      <c r="M79" s="130">
        <v>47.0</v>
      </c>
      <c r="N79" s="130" t="s">
        <v>703</v>
      </c>
      <c r="O79" s="130">
        <v>112.0</v>
      </c>
      <c r="P79" s="130">
        <v>75.0</v>
      </c>
      <c r="Q79" s="130" t="s">
        <v>703</v>
      </c>
      <c r="R79" s="130">
        <v>75.0</v>
      </c>
      <c r="S79" s="130">
        <v>55.0</v>
      </c>
      <c r="T79" s="130" t="s">
        <v>703</v>
      </c>
      <c r="U79" s="130">
        <v>46.0</v>
      </c>
      <c r="V79" s="130">
        <v>55.0</v>
      </c>
      <c r="W79" s="130" t="s">
        <v>703</v>
      </c>
      <c r="X79" s="130">
        <v>2.0</v>
      </c>
      <c r="Y79" s="130">
        <v>45.0</v>
      </c>
      <c r="Z79" s="130" t="s">
        <v>703</v>
      </c>
      <c r="AA79" s="130">
        <v>29.0</v>
      </c>
      <c r="AB79" s="130">
        <v>1.15</v>
      </c>
      <c r="AC79" s="130" t="s">
        <v>703</v>
      </c>
      <c r="AD79" s="119">
        <v>10.0</v>
      </c>
      <c r="AE79" s="120" t="s">
        <v>712</v>
      </c>
      <c r="AF79" s="119">
        <v>6.0</v>
      </c>
      <c r="AG79" s="120" t="s">
        <v>704</v>
      </c>
      <c r="AH79" s="132" t="s">
        <v>133</v>
      </c>
      <c r="AI79" s="133" t="s">
        <v>133</v>
      </c>
      <c r="AJ79" s="132" t="s">
        <v>133</v>
      </c>
      <c r="AK79" s="133" t="s">
        <v>133</v>
      </c>
    </row>
    <row r="80" ht="15.75" customHeight="1">
      <c r="A80" s="130" t="s">
        <v>363</v>
      </c>
      <c r="B80" s="54" t="s">
        <v>175</v>
      </c>
      <c r="C80" s="129">
        <v>33.0</v>
      </c>
      <c r="D80" s="130">
        <v>35.0</v>
      </c>
      <c r="E80" s="131" t="s">
        <v>703</v>
      </c>
      <c r="F80" s="130">
        <v>47.0</v>
      </c>
      <c r="G80" s="130">
        <v>75.0</v>
      </c>
      <c r="H80" s="131" t="s">
        <v>703</v>
      </c>
      <c r="I80" s="130">
        <v>7.0</v>
      </c>
      <c r="J80" s="130">
        <v>22.0</v>
      </c>
      <c r="K80" s="131" t="s">
        <v>703</v>
      </c>
      <c r="L80" s="130">
        <v>5.0</v>
      </c>
      <c r="M80" s="130">
        <v>27.0</v>
      </c>
      <c r="N80" s="130" t="s">
        <v>703</v>
      </c>
      <c r="O80" s="130">
        <v>110.0</v>
      </c>
      <c r="P80" s="130">
        <v>75.0</v>
      </c>
      <c r="Q80" s="130" t="s">
        <v>703</v>
      </c>
      <c r="R80" s="130">
        <v>60.0</v>
      </c>
      <c r="S80" s="130">
        <v>17.0</v>
      </c>
      <c r="T80" s="130" t="s">
        <v>703</v>
      </c>
      <c r="U80" s="130">
        <v>41.0</v>
      </c>
      <c r="V80" s="130">
        <v>40.0</v>
      </c>
      <c r="W80" s="130" t="s">
        <v>703</v>
      </c>
      <c r="X80" s="130">
        <v>3.0</v>
      </c>
      <c r="Y80" s="130">
        <v>60.0</v>
      </c>
      <c r="Z80" s="130" t="s">
        <v>703</v>
      </c>
      <c r="AA80" s="130">
        <v>28.0</v>
      </c>
      <c r="AB80" s="130">
        <v>0.84</v>
      </c>
      <c r="AC80" s="130" t="s">
        <v>703</v>
      </c>
      <c r="AD80" s="130">
        <v>14.0</v>
      </c>
      <c r="AE80" s="131" t="s">
        <v>710</v>
      </c>
      <c r="AF80" s="130">
        <v>8.0</v>
      </c>
      <c r="AG80" s="131" t="s">
        <v>712</v>
      </c>
      <c r="AH80" s="132">
        <v>8.0</v>
      </c>
      <c r="AI80" s="133" t="s">
        <v>708</v>
      </c>
      <c r="AJ80" s="132">
        <v>8.0</v>
      </c>
      <c r="AK80" s="133" t="s">
        <v>708</v>
      </c>
    </row>
    <row r="81" ht="15.75" customHeight="1">
      <c r="A81" s="130" t="s">
        <v>364</v>
      </c>
      <c r="B81" s="54" t="s">
        <v>129</v>
      </c>
      <c r="C81" s="138">
        <v>34.0</v>
      </c>
      <c r="D81" s="132">
        <v>30.0</v>
      </c>
      <c r="E81" s="131" t="s">
        <v>703</v>
      </c>
      <c r="F81" s="132">
        <v>79.0</v>
      </c>
      <c r="G81" s="132">
        <v>25.0</v>
      </c>
      <c r="H81" s="131" t="s">
        <v>703</v>
      </c>
      <c r="I81" s="132">
        <v>6.0</v>
      </c>
      <c r="J81" s="132">
        <v>17.0</v>
      </c>
      <c r="K81" s="131" t="s">
        <v>703</v>
      </c>
      <c r="L81" s="130">
        <v>5.0</v>
      </c>
      <c r="M81" s="132">
        <v>29.0</v>
      </c>
      <c r="N81" s="130" t="s">
        <v>703</v>
      </c>
      <c r="O81" s="132">
        <v>107.0</v>
      </c>
      <c r="P81" s="130">
        <v>75.0</v>
      </c>
      <c r="Q81" s="130" t="s">
        <v>703</v>
      </c>
      <c r="R81" s="132">
        <v>70.0</v>
      </c>
      <c r="S81" s="132">
        <v>45.0</v>
      </c>
      <c r="T81" s="130" t="s">
        <v>703</v>
      </c>
      <c r="U81" s="132">
        <v>36.0</v>
      </c>
      <c r="V81" s="132">
        <v>25.0</v>
      </c>
      <c r="W81" s="130" t="s">
        <v>703</v>
      </c>
      <c r="X81" s="132">
        <v>-6.0</v>
      </c>
      <c r="Y81" s="132">
        <v>15.0</v>
      </c>
      <c r="Z81" s="130" t="s">
        <v>703</v>
      </c>
      <c r="AA81" s="132">
        <v>29.0</v>
      </c>
      <c r="AB81" s="132">
        <v>1.15</v>
      </c>
      <c r="AC81" s="130" t="s">
        <v>703</v>
      </c>
      <c r="AD81" s="119">
        <v>4.0</v>
      </c>
      <c r="AE81" s="120" t="s">
        <v>704</v>
      </c>
      <c r="AF81" s="119">
        <v>4.0</v>
      </c>
      <c r="AG81" s="120" t="s">
        <v>704</v>
      </c>
      <c r="AH81" s="134">
        <v>3.0</v>
      </c>
      <c r="AI81" s="135" t="s">
        <v>704</v>
      </c>
      <c r="AJ81" s="134">
        <v>4.0</v>
      </c>
      <c r="AK81" s="135" t="s">
        <v>704</v>
      </c>
    </row>
    <row r="82" ht="15.75" customHeight="1">
      <c r="A82" s="130" t="s">
        <v>365</v>
      </c>
      <c r="B82" s="54" t="s">
        <v>175</v>
      </c>
      <c r="C82" s="129">
        <v>43.0</v>
      </c>
      <c r="D82" s="130">
        <v>20.0</v>
      </c>
      <c r="E82" s="131" t="s">
        <v>703</v>
      </c>
      <c r="F82" s="130">
        <v>87.0</v>
      </c>
      <c r="G82" s="130">
        <v>60.0</v>
      </c>
      <c r="H82" s="131" t="s">
        <v>703</v>
      </c>
      <c r="I82" s="130">
        <v>7.0</v>
      </c>
      <c r="J82" s="130">
        <v>28.0</v>
      </c>
      <c r="K82" s="131" t="s">
        <v>703</v>
      </c>
      <c r="L82" s="130">
        <v>4.0</v>
      </c>
      <c r="M82" s="130">
        <v>12.0</v>
      </c>
      <c r="N82" s="130" t="s">
        <v>703</v>
      </c>
      <c r="O82" s="130">
        <v>100.0</v>
      </c>
      <c r="P82" s="130">
        <v>55.0</v>
      </c>
      <c r="Q82" s="130" t="s">
        <v>703</v>
      </c>
      <c r="R82" s="130">
        <v>61.0</v>
      </c>
      <c r="S82" s="130">
        <v>25.0</v>
      </c>
      <c r="T82" s="130" t="s">
        <v>703</v>
      </c>
      <c r="U82" s="130">
        <v>32.0</v>
      </c>
      <c r="V82" s="130">
        <v>15.0</v>
      </c>
      <c r="W82" s="130" t="s">
        <v>703</v>
      </c>
      <c r="X82" s="130">
        <v>-5.0</v>
      </c>
      <c r="Y82" s="130">
        <v>20.0</v>
      </c>
      <c r="Z82" s="130" t="s">
        <v>703</v>
      </c>
      <c r="AA82" s="130">
        <v>27.0</v>
      </c>
      <c r="AB82" s="130">
        <v>0.53</v>
      </c>
      <c r="AC82" s="130" t="s">
        <v>703</v>
      </c>
      <c r="AD82" s="130">
        <v>17.0</v>
      </c>
      <c r="AE82" s="131" t="s">
        <v>710</v>
      </c>
      <c r="AF82" s="130">
        <v>8.0</v>
      </c>
      <c r="AG82" s="131" t="s">
        <v>712</v>
      </c>
      <c r="AH82" s="132">
        <v>11.0</v>
      </c>
      <c r="AI82" s="135" t="s">
        <v>707</v>
      </c>
      <c r="AJ82" s="132">
        <v>8.0</v>
      </c>
      <c r="AK82" s="139" t="s">
        <v>708</v>
      </c>
    </row>
    <row r="83" ht="15.75" customHeight="1">
      <c r="A83" s="130" t="s">
        <v>368</v>
      </c>
      <c r="B83" s="54" t="s">
        <v>175</v>
      </c>
      <c r="C83" s="129">
        <v>34.0</v>
      </c>
      <c r="D83" s="130">
        <v>50.0</v>
      </c>
      <c r="E83" s="131" t="s">
        <v>703</v>
      </c>
      <c r="F83" s="130">
        <v>70.0</v>
      </c>
      <c r="G83" s="130">
        <v>70.0</v>
      </c>
      <c r="H83" s="131" t="s">
        <v>703</v>
      </c>
      <c r="I83" s="130">
        <v>6.0</v>
      </c>
      <c r="J83" s="130">
        <v>17.0</v>
      </c>
      <c r="K83" s="131" t="s">
        <v>703</v>
      </c>
      <c r="L83" s="130">
        <v>6.0</v>
      </c>
      <c r="M83" s="130">
        <v>51.0</v>
      </c>
      <c r="N83" s="130" t="s">
        <v>703</v>
      </c>
      <c r="O83" s="130">
        <v>72.0</v>
      </c>
      <c r="P83" s="130" t="s">
        <v>705</v>
      </c>
      <c r="Q83" s="130" t="s">
        <v>706</v>
      </c>
      <c r="R83" s="130">
        <v>49.0</v>
      </c>
      <c r="S83" s="130">
        <v>5.0</v>
      </c>
      <c r="T83" s="130" t="s">
        <v>706</v>
      </c>
      <c r="U83" s="130">
        <v>46.0</v>
      </c>
      <c r="V83" s="130">
        <v>60.0</v>
      </c>
      <c r="W83" s="130" t="s">
        <v>703</v>
      </c>
      <c r="X83" s="130">
        <v>17.0</v>
      </c>
      <c r="Y83" s="130" t="s">
        <v>713</v>
      </c>
      <c r="Z83" s="130" t="s">
        <v>703</v>
      </c>
      <c r="AA83" s="130">
        <v>26.0</v>
      </c>
      <c r="AB83" s="130">
        <v>0.21</v>
      </c>
      <c r="AC83" s="130" t="s">
        <v>703</v>
      </c>
      <c r="AD83" s="119">
        <v>9.0</v>
      </c>
      <c r="AE83" s="120" t="s">
        <v>712</v>
      </c>
      <c r="AF83" s="119">
        <v>3.0</v>
      </c>
      <c r="AG83" s="120" t="s">
        <v>704</v>
      </c>
      <c r="AH83" s="134">
        <v>9.0</v>
      </c>
      <c r="AI83" s="135" t="s">
        <v>707</v>
      </c>
      <c r="AJ83" s="134">
        <v>4.0</v>
      </c>
      <c r="AK83" s="135" t="s">
        <v>704</v>
      </c>
    </row>
    <row r="84" ht="15.75" customHeight="1">
      <c r="A84" s="130" t="s">
        <v>370</v>
      </c>
      <c r="B84" s="54" t="s">
        <v>129</v>
      </c>
      <c r="C84" s="129">
        <v>31.0</v>
      </c>
      <c r="D84" s="130">
        <v>75.0</v>
      </c>
      <c r="E84" s="131" t="s">
        <v>703</v>
      </c>
      <c r="F84" s="130">
        <v>121.0</v>
      </c>
      <c r="G84" s="130">
        <v>25.0</v>
      </c>
      <c r="H84" s="131" t="s">
        <v>703</v>
      </c>
      <c r="I84" s="130">
        <v>6.0</v>
      </c>
      <c r="J84" s="130">
        <v>16.0</v>
      </c>
      <c r="K84" s="131" t="s">
        <v>703</v>
      </c>
      <c r="L84" s="130">
        <v>6.0</v>
      </c>
      <c r="M84" s="130">
        <v>53.0</v>
      </c>
      <c r="N84" s="130" t="s">
        <v>703</v>
      </c>
      <c r="O84" s="130">
        <v>100.0</v>
      </c>
      <c r="P84" s="130">
        <v>65.0</v>
      </c>
      <c r="Q84" s="130" t="s">
        <v>703</v>
      </c>
      <c r="R84" s="130">
        <v>80.0</v>
      </c>
      <c r="S84" s="130">
        <v>85.0</v>
      </c>
      <c r="T84" s="130" t="s">
        <v>703</v>
      </c>
      <c r="U84" s="130">
        <v>45.0</v>
      </c>
      <c r="V84" s="130">
        <v>75.0</v>
      </c>
      <c r="W84" s="130" t="s">
        <v>703</v>
      </c>
      <c r="X84" s="130">
        <v>1.0</v>
      </c>
      <c r="Y84" s="130">
        <v>60.0</v>
      </c>
      <c r="Z84" s="130" t="s">
        <v>703</v>
      </c>
      <c r="AA84" s="130">
        <v>27.0</v>
      </c>
      <c r="AB84" s="130">
        <v>1.65</v>
      </c>
      <c r="AC84" s="130" t="s">
        <v>703</v>
      </c>
      <c r="AD84" s="130">
        <v>7.0</v>
      </c>
      <c r="AE84" s="131" t="s">
        <v>704</v>
      </c>
      <c r="AF84" s="130">
        <v>0.0</v>
      </c>
      <c r="AG84" s="131" t="s">
        <v>704</v>
      </c>
      <c r="AH84" s="132" t="s">
        <v>133</v>
      </c>
      <c r="AI84" s="133" t="s">
        <v>133</v>
      </c>
      <c r="AJ84" s="132" t="s">
        <v>133</v>
      </c>
      <c r="AK84" s="133" t="s">
        <v>133</v>
      </c>
    </row>
    <row r="85" ht="15.75" customHeight="1">
      <c r="A85" s="130" t="s">
        <v>371</v>
      </c>
      <c r="B85" s="54" t="s">
        <v>129</v>
      </c>
      <c r="C85" s="129">
        <v>35.0</v>
      </c>
      <c r="D85" s="130">
        <v>45.0</v>
      </c>
      <c r="E85" s="131" t="s">
        <v>703</v>
      </c>
      <c r="F85" s="130">
        <v>57.0</v>
      </c>
      <c r="G85" s="130">
        <v>95.0</v>
      </c>
      <c r="H85" s="131" t="s">
        <v>703</v>
      </c>
      <c r="I85" s="130">
        <v>9.0</v>
      </c>
      <c r="J85" s="130">
        <v>70.0</v>
      </c>
      <c r="K85" s="131" t="s">
        <v>703</v>
      </c>
      <c r="L85" s="130">
        <v>7.0</v>
      </c>
      <c r="M85" s="130">
        <v>72.0</v>
      </c>
      <c r="N85" s="130" t="s">
        <v>703</v>
      </c>
      <c r="O85" s="130">
        <v>98.0</v>
      </c>
      <c r="P85" s="130">
        <v>55.0</v>
      </c>
      <c r="Q85" s="130" t="s">
        <v>703</v>
      </c>
      <c r="R85" s="130">
        <v>66.0</v>
      </c>
      <c r="S85" s="130">
        <v>45.0</v>
      </c>
      <c r="T85" s="130" t="s">
        <v>703</v>
      </c>
      <c r="U85" s="130">
        <v>46.0</v>
      </c>
      <c r="V85" s="130">
        <v>75.0</v>
      </c>
      <c r="W85" s="130" t="s">
        <v>703</v>
      </c>
      <c r="X85" s="130">
        <v>7.0</v>
      </c>
      <c r="Y85" s="130">
        <v>85.0</v>
      </c>
      <c r="Z85" s="130" t="s">
        <v>703</v>
      </c>
      <c r="AA85" s="130">
        <v>30.0</v>
      </c>
      <c r="AB85" s="130">
        <v>1.46</v>
      </c>
      <c r="AC85" s="130" t="s">
        <v>703</v>
      </c>
      <c r="AD85" s="130">
        <v>4.0</v>
      </c>
      <c r="AE85" s="131" t="s">
        <v>704</v>
      </c>
      <c r="AF85" s="130">
        <v>2.0</v>
      </c>
      <c r="AG85" s="131" t="s">
        <v>704</v>
      </c>
      <c r="AH85" s="132" t="s">
        <v>133</v>
      </c>
      <c r="AI85" s="133" t="s">
        <v>133</v>
      </c>
      <c r="AJ85" s="132" t="s">
        <v>133</v>
      </c>
      <c r="AK85" s="133" t="s">
        <v>133</v>
      </c>
    </row>
    <row r="86" ht="15.75" customHeight="1">
      <c r="A86" s="130" t="s">
        <v>372</v>
      </c>
      <c r="B86" s="54" t="s">
        <v>129</v>
      </c>
      <c r="C86" s="129">
        <v>38.0</v>
      </c>
      <c r="D86" s="130">
        <v>35.0</v>
      </c>
      <c r="E86" s="131" t="s">
        <v>703</v>
      </c>
      <c r="F86" s="130">
        <v>111.0</v>
      </c>
      <c r="G86" s="130">
        <v>1.5</v>
      </c>
      <c r="H86" s="131" t="s">
        <v>703</v>
      </c>
      <c r="I86" s="130">
        <v>6.0</v>
      </c>
      <c r="J86" s="130">
        <v>18.0</v>
      </c>
      <c r="K86" s="131" t="s">
        <v>703</v>
      </c>
      <c r="L86" s="130">
        <v>4.0</v>
      </c>
      <c r="M86" s="130">
        <v>16.0</v>
      </c>
      <c r="N86" s="130" t="s">
        <v>703</v>
      </c>
      <c r="O86" s="130">
        <v>98.0</v>
      </c>
      <c r="P86" s="130">
        <v>60.0</v>
      </c>
      <c r="Q86" s="130" t="s">
        <v>703</v>
      </c>
      <c r="R86" s="130">
        <v>65.0</v>
      </c>
      <c r="S86" s="130">
        <v>45.0</v>
      </c>
      <c r="T86" s="130" t="s">
        <v>703</v>
      </c>
      <c r="U86" s="130">
        <v>30.0</v>
      </c>
      <c r="V86" s="130">
        <v>20.0</v>
      </c>
      <c r="W86" s="130" t="s">
        <v>703</v>
      </c>
      <c r="X86" s="130">
        <v>-9.0</v>
      </c>
      <c r="Y86" s="130">
        <v>10.0</v>
      </c>
      <c r="Z86" s="130" t="s">
        <v>703</v>
      </c>
      <c r="AA86" s="130">
        <v>24.0</v>
      </c>
      <c r="AB86" s="130">
        <v>-0.4</v>
      </c>
      <c r="AC86" s="130" t="s">
        <v>703</v>
      </c>
      <c r="AD86" s="130">
        <v>3.0</v>
      </c>
      <c r="AE86" s="131" t="s">
        <v>704</v>
      </c>
      <c r="AF86" s="130">
        <v>5.0</v>
      </c>
      <c r="AG86" s="131" t="s">
        <v>704</v>
      </c>
      <c r="AH86" s="132" t="s">
        <v>133</v>
      </c>
      <c r="AI86" s="133" t="s">
        <v>133</v>
      </c>
      <c r="AJ86" s="132" t="s">
        <v>133</v>
      </c>
      <c r="AK86" s="133" t="s">
        <v>133</v>
      </c>
    </row>
    <row r="87" ht="15.75" customHeight="1">
      <c r="A87" s="130" t="s">
        <v>374</v>
      </c>
      <c r="B87" s="54" t="s">
        <v>129</v>
      </c>
      <c r="C87" s="129">
        <v>51.0</v>
      </c>
      <c r="D87" s="130">
        <v>10.0</v>
      </c>
      <c r="E87" s="131" t="s">
        <v>703</v>
      </c>
      <c r="F87" s="130">
        <v>149.0</v>
      </c>
      <c r="G87" s="130">
        <v>10.0</v>
      </c>
      <c r="H87" s="131" t="s">
        <v>703</v>
      </c>
      <c r="I87" s="130">
        <v>6.0</v>
      </c>
      <c r="J87" s="130">
        <v>18.0</v>
      </c>
      <c r="K87" s="131" t="s">
        <v>703</v>
      </c>
      <c r="L87" s="130">
        <v>5.0</v>
      </c>
      <c r="M87" s="130">
        <v>31.0</v>
      </c>
      <c r="N87" s="130" t="s">
        <v>703</v>
      </c>
      <c r="O87" s="130">
        <v>103.0</v>
      </c>
      <c r="P87" s="130">
        <v>70.0</v>
      </c>
      <c r="Q87" s="130" t="s">
        <v>703</v>
      </c>
      <c r="R87" s="130">
        <v>65.0</v>
      </c>
      <c r="S87" s="130">
        <v>40.0</v>
      </c>
      <c r="T87" s="130" t="s">
        <v>703</v>
      </c>
      <c r="U87" s="130">
        <v>39.0</v>
      </c>
      <c r="V87" s="130">
        <v>50.0</v>
      </c>
      <c r="W87" s="130" t="s">
        <v>703</v>
      </c>
      <c r="X87" s="130">
        <v>-1.0</v>
      </c>
      <c r="Y87" s="130">
        <v>40.0</v>
      </c>
      <c r="Z87" s="130" t="s">
        <v>703</v>
      </c>
      <c r="AA87" s="130">
        <v>23.0</v>
      </c>
      <c r="AB87" s="130">
        <v>-0.7</v>
      </c>
      <c r="AC87" s="130" t="s">
        <v>703</v>
      </c>
      <c r="AD87" s="130">
        <v>6.0</v>
      </c>
      <c r="AE87" s="131" t="s">
        <v>704</v>
      </c>
      <c r="AF87" s="130">
        <v>9.0</v>
      </c>
      <c r="AG87" s="131" t="s">
        <v>712</v>
      </c>
      <c r="AH87" s="132" t="s">
        <v>133</v>
      </c>
      <c r="AI87" s="133" t="s">
        <v>133</v>
      </c>
      <c r="AJ87" s="132" t="s">
        <v>133</v>
      </c>
      <c r="AK87" s="133" t="s">
        <v>133</v>
      </c>
    </row>
    <row r="88" ht="15.75" customHeight="1">
      <c r="A88" s="130" t="s">
        <v>375</v>
      </c>
      <c r="B88" s="54" t="s">
        <v>175</v>
      </c>
      <c r="C88" s="129">
        <v>42.0</v>
      </c>
      <c r="D88" s="130">
        <v>55.0</v>
      </c>
      <c r="E88" s="131" t="s">
        <v>703</v>
      </c>
      <c r="F88" s="130">
        <v>135.0</v>
      </c>
      <c r="G88" s="130">
        <v>30.0</v>
      </c>
      <c r="H88" s="131" t="s">
        <v>703</v>
      </c>
      <c r="I88" s="130">
        <v>6.0</v>
      </c>
      <c r="J88" s="130">
        <v>17.0</v>
      </c>
      <c r="K88" s="131" t="s">
        <v>703</v>
      </c>
      <c r="L88" s="130">
        <v>2.0</v>
      </c>
      <c r="M88" s="130" t="s">
        <v>705</v>
      </c>
      <c r="N88" s="130" t="s">
        <v>706</v>
      </c>
      <c r="O88" s="130">
        <v>88.0</v>
      </c>
      <c r="P88" s="130">
        <v>40.0</v>
      </c>
      <c r="Q88" s="130" t="s">
        <v>703</v>
      </c>
      <c r="R88" s="130">
        <v>80.0</v>
      </c>
      <c r="S88" s="130">
        <v>90.0</v>
      </c>
      <c r="T88" s="130" t="s">
        <v>703</v>
      </c>
      <c r="U88" s="130">
        <v>38.0</v>
      </c>
      <c r="V88" s="130">
        <v>65.0</v>
      </c>
      <c r="W88" s="130" t="s">
        <v>703</v>
      </c>
      <c r="X88" s="130">
        <v>-3.0</v>
      </c>
      <c r="Y88" s="130">
        <v>35.0</v>
      </c>
      <c r="Z88" s="130" t="s">
        <v>703</v>
      </c>
      <c r="AA88" s="130">
        <v>23.0</v>
      </c>
      <c r="AB88" s="130">
        <v>-0.71</v>
      </c>
      <c r="AC88" s="130" t="s">
        <v>703</v>
      </c>
      <c r="AD88" s="130">
        <v>4.0</v>
      </c>
      <c r="AE88" s="131" t="s">
        <v>704</v>
      </c>
      <c r="AF88" s="130">
        <v>11.0</v>
      </c>
      <c r="AG88" s="131" t="s">
        <v>712</v>
      </c>
      <c r="AH88" s="132" t="s">
        <v>133</v>
      </c>
      <c r="AI88" s="133" t="s">
        <v>133</v>
      </c>
      <c r="AJ88" s="132" t="s">
        <v>133</v>
      </c>
      <c r="AK88" s="133" t="s">
        <v>133</v>
      </c>
    </row>
    <row r="89" ht="15.75" customHeight="1">
      <c r="A89" s="130" t="s">
        <v>379</v>
      </c>
      <c r="B89" s="54" t="s">
        <v>129</v>
      </c>
      <c r="C89" s="129">
        <v>28.0</v>
      </c>
      <c r="D89" s="130">
        <v>55.0</v>
      </c>
      <c r="E89" s="131" t="s">
        <v>703</v>
      </c>
      <c r="F89" s="130">
        <v>58.0</v>
      </c>
      <c r="G89" s="130">
        <v>50.0</v>
      </c>
      <c r="H89" s="131" t="s">
        <v>703</v>
      </c>
      <c r="I89" s="130">
        <v>7.0</v>
      </c>
      <c r="J89" s="130">
        <v>28.0</v>
      </c>
      <c r="K89" s="131" t="s">
        <v>703</v>
      </c>
      <c r="L89" s="130">
        <v>3.0</v>
      </c>
      <c r="M89" s="130">
        <v>5.0</v>
      </c>
      <c r="N89" s="130" t="s">
        <v>706</v>
      </c>
      <c r="O89" s="130">
        <v>128.0</v>
      </c>
      <c r="P89" s="130">
        <v>95.0</v>
      </c>
      <c r="Q89" s="130" t="s">
        <v>703</v>
      </c>
      <c r="R89" s="130">
        <v>77.0</v>
      </c>
      <c r="S89" s="130">
        <v>70.0</v>
      </c>
      <c r="T89" s="130" t="s">
        <v>703</v>
      </c>
      <c r="U89" s="130">
        <v>47.0</v>
      </c>
      <c r="V89" s="130">
        <v>70.0</v>
      </c>
      <c r="W89" s="130" t="s">
        <v>703</v>
      </c>
      <c r="X89" s="130">
        <v>-1.0</v>
      </c>
      <c r="Y89" s="130">
        <v>40.0</v>
      </c>
      <c r="Z89" s="130" t="s">
        <v>703</v>
      </c>
      <c r="AA89" s="130">
        <v>25.0</v>
      </c>
      <c r="AB89" s="130">
        <v>-0.9</v>
      </c>
      <c r="AC89" s="130" t="s">
        <v>706</v>
      </c>
      <c r="AD89" s="130">
        <v>4.0</v>
      </c>
      <c r="AE89" s="131" t="s">
        <v>704</v>
      </c>
      <c r="AF89" s="130">
        <v>2.0</v>
      </c>
      <c r="AG89" s="131" t="s">
        <v>704</v>
      </c>
      <c r="AH89" s="128">
        <v>7.0</v>
      </c>
      <c r="AI89" s="139" t="s">
        <v>708</v>
      </c>
      <c r="AJ89" s="128">
        <v>5.0</v>
      </c>
      <c r="AK89" s="139" t="s">
        <v>708</v>
      </c>
    </row>
    <row r="90" ht="15.75" customHeight="1">
      <c r="A90" s="130" t="s">
        <v>381</v>
      </c>
      <c r="B90" s="54" t="s">
        <v>175</v>
      </c>
      <c r="C90" s="129">
        <v>68.0</v>
      </c>
      <c r="D90" s="130">
        <v>15.0</v>
      </c>
      <c r="E90" s="131" t="s">
        <v>703</v>
      </c>
      <c r="F90" s="130">
        <v>122.0</v>
      </c>
      <c r="G90" s="130">
        <v>45.0</v>
      </c>
      <c r="H90" s="131" t="s">
        <v>703</v>
      </c>
      <c r="I90" s="130">
        <v>6.0</v>
      </c>
      <c r="J90" s="130">
        <v>18.0</v>
      </c>
      <c r="K90" s="131" t="s">
        <v>703</v>
      </c>
      <c r="L90" s="130">
        <v>7.0</v>
      </c>
      <c r="M90" s="130">
        <v>72.0</v>
      </c>
      <c r="N90" s="130" t="s">
        <v>703</v>
      </c>
      <c r="O90" s="130">
        <v>90.0</v>
      </c>
      <c r="P90" s="130">
        <v>50.0</v>
      </c>
      <c r="Q90" s="130" t="s">
        <v>703</v>
      </c>
      <c r="R90" s="130">
        <v>60.0</v>
      </c>
      <c r="S90" s="130">
        <v>45.0</v>
      </c>
      <c r="T90" s="130" t="s">
        <v>703</v>
      </c>
      <c r="U90" s="130">
        <v>40.0</v>
      </c>
      <c r="V90" s="130">
        <v>75.0</v>
      </c>
      <c r="W90" s="130" t="s">
        <v>703</v>
      </c>
      <c r="X90" s="130">
        <v>4.0</v>
      </c>
      <c r="Y90" s="130">
        <v>85.0</v>
      </c>
      <c r="Z90" s="130" t="s">
        <v>703</v>
      </c>
      <c r="AA90" s="130">
        <v>27.0</v>
      </c>
      <c r="AB90" s="130">
        <v>0.86</v>
      </c>
      <c r="AC90" s="130" t="s">
        <v>703</v>
      </c>
      <c r="AD90" s="130">
        <v>6.0</v>
      </c>
      <c r="AE90" s="131" t="s">
        <v>704</v>
      </c>
      <c r="AF90" s="130">
        <v>4.0</v>
      </c>
      <c r="AG90" s="131" t="s">
        <v>704</v>
      </c>
      <c r="AH90" s="132" t="s">
        <v>133</v>
      </c>
      <c r="AI90" s="133" t="s">
        <v>133</v>
      </c>
      <c r="AJ90" s="132" t="s">
        <v>133</v>
      </c>
      <c r="AK90" s="133" t="s">
        <v>133</v>
      </c>
    </row>
    <row r="91" ht="15.75" customHeight="1">
      <c r="A91" s="130" t="s">
        <v>383</v>
      </c>
      <c r="B91" s="54" t="s">
        <v>175</v>
      </c>
      <c r="C91" s="129">
        <v>40.0</v>
      </c>
      <c r="D91" s="130">
        <v>20.0</v>
      </c>
      <c r="E91" s="131" t="s">
        <v>703</v>
      </c>
      <c r="F91" s="130">
        <v>104.0</v>
      </c>
      <c r="G91" s="130">
        <v>15.0</v>
      </c>
      <c r="H91" s="131" t="s">
        <v>703</v>
      </c>
      <c r="I91" s="130">
        <v>7.0</v>
      </c>
      <c r="J91" s="130">
        <v>22.0</v>
      </c>
      <c r="K91" s="131" t="s">
        <v>703</v>
      </c>
      <c r="L91" s="130">
        <v>5.0</v>
      </c>
      <c r="M91" s="130">
        <v>27.0</v>
      </c>
      <c r="N91" s="130" t="s">
        <v>703</v>
      </c>
      <c r="O91" s="130">
        <v>89.0</v>
      </c>
      <c r="P91" s="130">
        <v>25.0</v>
      </c>
      <c r="Q91" s="130" t="s">
        <v>703</v>
      </c>
      <c r="R91" s="130">
        <v>52.0</v>
      </c>
      <c r="S91" s="130">
        <v>10.0</v>
      </c>
      <c r="T91" s="130" t="s">
        <v>703</v>
      </c>
      <c r="U91" s="130">
        <v>33.0</v>
      </c>
      <c r="V91" s="130">
        <v>15.0</v>
      </c>
      <c r="W91" s="130" t="s">
        <v>703</v>
      </c>
      <c r="X91" s="130">
        <v>0.0</v>
      </c>
      <c r="Y91" s="130">
        <v>40.0</v>
      </c>
      <c r="Z91" s="130" t="s">
        <v>703</v>
      </c>
      <c r="AA91" s="130">
        <v>26.0</v>
      </c>
      <c r="AB91" s="130">
        <v>0.2</v>
      </c>
      <c r="AC91" s="130" t="s">
        <v>703</v>
      </c>
      <c r="AD91" s="130">
        <v>13.0</v>
      </c>
      <c r="AE91" s="131" t="s">
        <v>710</v>
      </c>
      <c r="AF91" s="130">
        <v>12.0</v>
      </c>
      <c r="AG91" s="131" t="s">
        <v>710</v>
      </c>
      <c r="AH91" s="134">
        <v>12.0</v>
      </c>
      <c r="AI91" s="135" t="s">
        <v>707</v>
      </c>
      <c r="AJ91" s="134">
        <v>9.0</v>
      </c>
      <c r="AK91" s="135" t="s">
        <v>707</v>
      </c>
    </row>
    <row r="92" ht="15.75" customHeight="1">
      <c r="A92" s="130" t="s">
        <v>386</v>
      </c>
      <c r="B92" s="54" t="s">
        <v>175</v>
      </c>
      <c r="C92" s="129">
        <v>50.0</v>
      </c>
      <c r="D92" s="130">
        <v>40.0</v>
      </c>
      <c r="E92" s="131" t="s">
        <v>703</v>
      </c>
      <c r="F92" s="130">
        <v>85.0</v>
      </c>
      <c r="G92" s="130">
        <v>95.0</v>
      </c>
      <c r="H92" s="131" t="s">
        <v>703</v>
      </c>
      <c r="I92" s="130">
        <v>6.0</v>
      </c>
      <c r="J92" s="130">
        <v>18.0</v>
      </c>
      <c r="K92" s="131" t="s">
        <v>703</v>
      </c>
      <c r="L92" s="130">
        <v>11.0</v>
      </c>
      <c r="M92" s="130">
        <v>99.0</v>
      </c>
      <c r="N92" s="130" t="s">
        <v>703</v>
      </c>
      <c r="O92" s="130">
        <v>70.0</v>
      </c>
      <c r="P92" s="130">
        <v>10.0</v>
      </c>
      <c r="Q92" s="130" t="s">
        <v>709</v>
      </c>
      <c r="R92" s="130">
        <v>58.0</v>
      </c>
      <c r="S92" s="130">
        <v>45.0</v>
      </c>
      <c r="T92" s="130" t="s">
        <v>703</v>
      </c>
      <c r="U92" s="130">
        <v>25.0</v>
      </c>
      <c r="V92" s="130">
        <v>20.0</v>
      </c>
      <c r="W92" s="130" t="s">
        <v>703</v>
      </c>
      <c r="X92" s="130">
        <v>-6.0</v>
      </c>
      <c r="Y92" s="130">
        <v>35.0</v>
      </c>
      <c r="Z92" s="130" t="s">
        <v>703</v>
      </c>
      <c r="AA92" s="130">
        <v>25.0</v>
      </c>
      <c r="AB92" s="130">
        <v>1.08</v>
      </c>
      <c r="AC92" s="130" t="s">
        <v>703</v>
      </c>
      <c r="AD92" s="130">
        <v>14.0</v>
      </c>
      <c r="AE92" s="131" t="s">
        <v>710</v>
      </c>
      <c r="AF92" s="130">
        <v>7.0</v>
      </c>
      <c r="AG92" s="131" t="s">
        <v>704</v>
      </c>
      <c r="AH92" s="132" t="s">
        <v>133</v>
      </c>
      <c r="AI92" s="133" t="s">
        <v>133</v>
      </c>
      <c r="AJ92" s="132" t="s">
        <v>133</v>
      </c>
      <c r="AK92" s="133" t="s">
        <v>133</v>
      </c>
    </row>
    <row r="93" ht="15.75" customHeight="1">
      <c r="A93" s="130" t="s">
        <v>387</v>
      </c>
      <c r="B93" s="54" t="s">
        <v>175</v>
      </c>
      <c r="C93" s="129">
        <v>38.0</v>
      </c>
      <c r="D93" s="130">
        <v>25.0</v>
      </c>
      <c r="E93" s="131" t="s">
        <v>703</v>
      </c>
      <c r="F93" s="130">
        <v>162.0</v>
      </c>
      <c r="G93" s="130">
        <v>6.0</v>
      </c>
      <c r="H93" s="131" t="s">
        <v>703</v>
      </c>
      <c r="I93" s="130">
        <v>8.0</v>
      </c>
      <c r="J93" s="130">
        <v>51.0</v>
      </c>
      <c r="K93" s="131" t="s">
        <v>703</v>
      </c>
      <c r="L93" s="130">
        <v>5.0</v>
      </c>
      <c r="M93" s="130">
        <v>29.0</v>
      </c>
      <c r="N93" s="130" t="s">
        <v>703</v>
      </c>
      <c r="O93" s="130">
        <v>79.0</v>
      </c>
      <c r="P93" s="130">
        <v>10.0</v>
      </c>
      <c r="Q93" s="130" t="s">
        <v>703</v>
      </c>
      <c r="R93" s="130">
        <v>61.0</v>
      </c>
      <c r="S93" s="130">
        <v>25.0</v>
      </c>
      <c r="T93" s="130" t="s">
        <v>703</v>
      </c>
      <c r="U93" s="130">
        <v>45.0</v>
      </c>
      <c r="V93" s="130">
        <v>65.0</v>
      </c>
      <c r="W93" s="130" t="s">
        <v>703</v>
      </c>
      <c r="X93" s="130">
        <v>11.0</v>
      </c>
      <c r="Y93" s="130">
        <v>90.0</v>
      </c>
      <c r="Z93" s="130" t="s">
        <v>703</v>
      </c>
      <c r="AA93" s="130">
        <v>24.0</v>
      </c>
      <c r="AB93" s="130">
        <v>-0.4</v>
      </c>
      <c r="AC93" s="130" t="s">
        <v>706</v>
      </c>
      <c r="AD93" s="130">
        <v>13.0</v>
      </c>
      <c r="AE93" s="131" t="s">
        <v>710</v>
      </c>
      <c r="AF93" s="130">
        <v>8.0</v>
      </c>
      <c r="AG93" s="131" t="s">
        <v>712</v>
      </c>
      <c r="AH93" s="132" t="s">
        <v>133</v>
      </c>
      <c r="AI93" s="133" t="s">
        <v>133</v>
      </c>
      <c r="AJ93" s="132" t="s">
        <v>133</v>
      </c>
      <c r="AK93" s="133" t="s">
        <v>133</v>
      </c>
    </row>
    <row r="94" ht="15.75" customHeight="1">
      <c r="A94" s="130" t="s">
        <v>389</v>
      </c>
      <c r="B94" s="54" t="s">
        <v>175</v>
      </c>
      <c r="C94" s="129">
        <v>44.0</v>
      </c>
      <c r="D94" s="130">
        <v>15.0</v>
      </c>
      <c r="E94" s="131" t="s">
        <v>703</v>
      </c>
      <c r="F94" s="130">
        <v>96.0</v>
      </c>
      <c r="G94" s="130">
        <v>30.0</v>
      </c>
      <c r="H94" s="131" t="s">
        <v>703</v>
      </c>
      <c r="I94" s="130">
        <v>8.0</v>
      </c>
      <c r="J94" s="130">
        <v>51.0</v>
      </c>
      <c r="K94" s="131" t="s">
        <v>703</v>
      </c>
      <c r="L94" s="130">
        <v>6.0</v>
      </c>
      <c r="M94" s="130">
        <v>48.0</v>
      </c>
      <c r="N94" s="130" t="s">
        <v>703</v>
      </c>
      <c r="O94" s="130">
        <v>107.0</v>
      </c>
      <c r="P94" s="130">
        <v>75.0</v>
      </c>
      <c r="Q94" s="130" t="s">
        <v>703</v>
      </c>
      <c r="R94" s="130">
        <v>68.0</v>
      </c>
      <c r="S94" s="130">
        <v>60.0</v>
      </c>
      <c r="T94" s="130" t="s">
        <v>703</v>
      </c>
      <c r="U94" s="130">
        <v>40.0</v>
      </c>
      <c r="V94" s="130">
        <v>55.0</v>
      </c>
      <c r="W94" s="130" t="s">
        <v>703</v>
      </c>
      <c r="X94" s="130">
        <v>-1.0</v>
      </c>
      <c r="Y94" s="130">
        <v>50.0</v>
      </c>
      <c r="Z94" s="130" t="s">
        <v>703</v>
      </c>
      <c r="AA94" s="130">
        <v>26.0</v>
      </c>
      <c r="AB94" s="130">
        <v>0.2</v>
      </c>
      <c r="AC94" s="130" t="s">
        <v>703</v>
      </c>
      <c r="AD94" s="130">
        <v>12.0</v>
      </c>
      <c r="AE94" s="131" t="s">
        <v>710</v>
      </c>
      <c r="AF94" s="130">
        <v>3.0</v>
      </c>
      <c r="AG94" s="131" t="s">
        <v>704</v>
      </c>
      <c r="AH94" s="132" t="s">
        <v>133</v>
      </c>
      <c r="AI94" s="133" t="s">
        <v>133</v>
      </c>
      <c r="AJ94" s="132" t="s">
        <v>133</v>
      </c>
      <c r="AK94" s="133" t="s">
        <v>133</v>
      </c>
    </row>
    <row r="95" ht="15.75" customHeight="1">
      <c r="A95" s="130" t="s">
        <v>390</v>
      </c>
      <c r="B95" s="54" t="s">
        <v>175</v>
      </c>
      <c r="C95" s="138">
        <v>23.0</v>
      </c>
      <c r="D95" s="132">
        <v>60.0</v>
      </c>
      <c r="E95" s="131" t="s">
        <v>703</v>
      </c>
      <c r="F95" s="132">
        <v>78.0</v>
      </c>
      <c r="G95" s="132">
        <v>25.0</v>
      </c>
      <c r="H95" s="131" t="s">
        <v>703</v>
      </c>
      <c r="I95" s="132">
        <v>8.0</v>
      </c>
      <c r="J95" s="132">
        <v>50.0</v>
      </c>
      <c r="K95" s="131" t="s">
        <v>703</v>
      </c>
      <c r="L95" s="132">
        <v>5.0</v>
      </c>
      <c r="M95" s="132">
        <v>27.0</v>
      </c>
      <c r="N95" s="130" t="s">
        <v>703</v>
      </c>
      <c r="O95" s="132">
        <v>89.0</v>
      </c>
      <c r="P95" s="132">
        <v>25.0</v>
      </c>
      <c r="Q95" s="130" t="s">
        <v>703</v>
      </c>
      <c r="R95" s="132">
        <v>62.0</v>
      </c>
      <c r="S95" s="132">
        <v>25.0</v>
      </c>
      <c r="T95" s="130" t="s">
        <v>703</v>
      </c>
      <c r="U95" s="132">
        <v>46.0</v>
      </c>
      <c r="V95" s="132">
        <v>60.0</v>
      </c>
      <c r="W95" s="130" t="s">
        <v>703</v>
      </c>
      <c r="X95" s="132">
        <v>10.0</v>
      </c>
      <c r="Y95" s="132">
        <v>85.0</v>
      </c>
      <c r="Z95" s="130" t="s">
        <v>703</v>
      </c>
      <c r="AA95" s="130">
        <v>25.0</v>
      </c>
      <c r="AB95" s="132">
        <v>-0.093</v>
      </c>
      <c r="AC95" s="130" t="s">
        <v>706</v>
      </c>
      <c r="AD95" s="132">
        <v>8.0</v>
      </c>
      <c r="AE95" s="133" t="s">
        <v>712</v>
      </c>
      <c r="AF95" s="132">
        <v>3.0</v>
      </c>
      <c r="AG95" s="133" t="s">
        <v>704</v>
      </c>
      <c r="AH95" s="132" t="s">
        <v>133</v>
      </c>
      <c r="AI95" s="133" t="s">
        <v>133</v>
      </c>
      <c r="AJ95" s="132" t="s">
        <v>133</v>
      </c>
      <c r="AK95" s="133" t="s">
        <v>133</v>
      </c>
    </row>
    <row r="96" ht="15.75" customHeight="1">
      <c r="A96" s="130" t="s">
        <v>395</v>
      </c>
      <c r="B96" s="54" t="s">
        <v>175</v>
      </c>
      <c r="C96" s="129">
        <v>47.0</v>
      </c>
      <c r="D96" s="130">
        <v>10.0</v>
      </c>
      <c r="E96" s="131" t="s">
        <v>703</v>
      </c>
      <c r="F96" s="130">
        <v>59.0</v>
      </c>
      <c r="G96" s="130">
        <v>45.0</v>
      </c>
      <c r="H96" s="131" t="s">
        <v>703</v>
      </c>
      <c r="I96" s="130">
        <v>5.0</v>
      </c>
      <c r="J96" s="130">
        <v>4.0</v>
      </c>
      <c r="K96" s="131" t="s">
        <v>706</v>
      </c>
      <c r="L96" s="130">
        <v>3.0</v>
      </c>
      <c r="M96" s="130">
        <v>5.0</v>
      </c>
      <c r="N96" s="130" t="s">
        <v>706</v>
      </c>
      <c r="O96" s="130">
        <v>115.0</v>
      </c>
      <c r="P96" s="130">
        <v>85.0</v>
      </c>
      <c r="Q96" s="130" t="s">
        <v>703</v>
      </c>
      <c r="R96" s="130">
        <v>81.0</v>
      </c>
      <c r="S96" s="130">
        <v>80.0</v>
      </c>
      <c r="T96" s="130" t="s">
        <v>703</v>
      </c>
      <c r="U96" s="130">
        <v>48.0</v>
      </c>
      <c r="V96" s="130">
        <v>75.0</v>
      </c>
      <c r="W96" s="130" t="s">
        <v>703</v>
      </c>
      <c r="X96" s="130">
        <v>1.0</v>
      </c>
      <c r="Y96" s="130">
        <v>50.0</v>
      </c>
      <c r="Z96" s="130" t="s">
        <v>703</v>
      </c>
      <c r="AA96" s="130">
        <v>24.0</v>
      </c>
      <c r="AB96" s="130">
        <v>-0.4</v>
      </c>
      <c r="AC96" s="130" t="s">
        <v>703</v>
      </c>
      <c r="AD96" s="130">
        <v>9.0</v>
      </c>
      <c r="AE96" s="131" t="s">
        <v>712</v>
      </c>
      <c r="AF96" s="130">
        <v>3.0</v>
      </c>
      <c r="AG96" s="131" t="s">
        <v>704</v>
      </c>
      <c r="AH96" s="132" t="s">
        <v>133</v>
      </c>
      <c r="AI96" s="133" t="s">
        <v>133</v>
      </c>
      <c r="AJ96" s="132" t="s">
        <v>133</v>
      </c>
      <c r="AK96" s="133" t="s">
        <v>133</v>
      </c>
    </row>
    <row r="97" ht="15.75" customHeight="1">
      <c r="A97" s="130" t="s">
        <v>399</v>
      </c>
      <c r="B97" s="54" t="s">
        <v>175</v>
      </c>
      <c r="C97" s="129">
        <v>32.0</v>
      </c>
      <c r="D97" s="130">
        <v>35.0</v>
      </c>
      <c r="E97" s="131" t="s">
        <v>703</v>
      </c>
      <c r="F97" s="130">
        <v>71.0</v>
      </c>
      <c r="G97" s="130">
        <v>30.0</v>
      </c>
      <c r="H97" s="131" t="s">
        <v>703</v>
      </c>
      <c r="I97" s="130">
        <v>5.0</v>
      </c>
      <c r="J97" s="130">
        <v>4.0</v>
      </c>
      <c r="K97" s="131" t="s">
        <v>706</v>
      </c>
      <c r="L97" s="130">
        <v>6.0</v>
      </c>
      <c r="M97" s="130">
        <v>51.0</v>
      </c>
      <c r="N97" s="130" t="s">
        <v>703</v>
      </c>
      <c r="O97" s="130">
        <v>87.0</v>
      </c>
      <c r="P97" s="130">
        <v>35.0</v>
      </c>
      <c r="Q97" s="130" t="s">
        <v>703</v>
      </c>
      <c r="R97" s="130">
        <v>62.0</v>
      </c>
      <c r="S97" s="130">
        <v>45.0</v>
      </c>
      <c r="T97" s="130" t="s">
        <v>703</v>
      </c>
      <c r="U97" s="130">
        <v>42.0</v>
      </c>
      <c r="V97" s="130">
        <v>75.0</v>
      </c>
      <c r="W97" s="130" t="s">
        <v>703</v>
      </c>
      <c r="X97" s="130">
        <v>6.0</v>
      </c>
      <c r="Y97" s="130">
        <v>85.0</v>
      </c>
      <c r="Z97" s="130" t="s">
        <v>703</v>
      </c>
      <c r="AA97" s="130">
        <v>27.0</v>
      </c>
      <c r="AB97" s="130">
        <v>0.86</v>
      </c>
      <c r="AC97" s="130" t="s">
        <v>703</v>
      </c>
      <c r="AD97" s="130">
        <v>6.0</v>
      </c>
      <c r="AE97" s="131" t="s">
        <v>704</v>
      </c>
      <c r="AF97" s="130">
        <v>2.0</v>
      </c>
      <c r="AG97" s="131" t="s">
        <v>704</v>
      </c>
      <c r="AH97" s="132" t="s">
        <v>133</v>
      </c>
      <c r="AI97" s="133" t="s">
        <v>133</v>
      </c>
      <c r="AJ97" s="132" t="s">
        <v>133</v>
      </c>
      <c r="AK97" s="133" t="s">
        <v>133</v>
      </c>
    </row>
    <row r="98" ht="15.75" customHeight="1">
      <c r="A98" s="132" t="s">
        <v>403</v>
      </c>
      <c r="B98" s="122" t="s">
        <v>175</v>
      </c>
      <c r="C98" s="138">
        <v>30.0</v>
      </c>
      <c r="D98" s="132">
        <v>80.0</v>
      </c>
      <c r="E98" s="133" t="s">
        <v>703</v>
      </c>
      <c r="F98" s="132">
        <v>72.0</v>
      </c>
      <c r="G98" s="132">
        <v>70.0</v>
      </c>
      <c r="H98" s="133" t="s">
        <v>703</v>
      </c>
      <c r="I98" s="132">
        <v>9.0</v>
      </c>
      <c r="J98" s="132">
        <v>64.0</v>
      </c>
      <c r="K98" s="133" t="s">
        <v>703</v>
      </c>
      <c r="L98" s="132">
        <v>6.0</v>
      </c>
      <c r="M98" s="132">
        <v>53.0</v>
      </c>
      <c r="N98" s="132" t="s">
        <v>703</v>
      </c>
      <c r="O98" s="132">
        <v>109.0</v>
      </c>
      <c r="P98" s="132">
        <v>85.0</v>
      </c>
      <c r="Q98" s="132" t="s">
        <v>703</v>
      </c>
      <c r="R98" s="132">
        <v>77.0</v>
      </c>
      <c r="S98" s="132">
        <v>85.0</v>
      </c>
      <c r="T98" s="132" t="s">
        <v>703</v>
      </c>
      <c r="U98" s="132">
        <v>39.0</v>
      </c>
      <c r="V98" s="132">
        <v>60.0</v>
      </c>
      <c r="W98" s="132" t="s">
        <v>703</v>
      </c>
      <c r="X98" s="132">
        <v>-6.0</v>
      </c>
      <c r="Y98" s="132">
        <v>30.0</v>
      </c>
      <c r="Z98" s="132" t="s">
        <v>703</v>
      </c>
      <c r="AA98" s="132">
        <v>27.0</v>
      </c>
      <c r="AB98" s="132">
        <v>1.6</v>
      </c>
      <c r="AC98" s="132" t="s">
        <v>703</v>
      </c>
      <c r="AD98" s="132" t="s">
        <v>133</v>
      </c>
      <c r="AE98" s="133" t="s">
        <v>133</v>
      </c>
      <c r="AF98" s="132" t="s">
        <v>133</v>
      </c>
      <c r="AG98" s="133" t="s">
        <v>133</v>
      </c>
      <c r="AH98" s="134">
        <v>14.0</v>
      </c>
      <c r="AI98" s="135" t="s">
        <v>707</v>
      </c>
      <c r="AJ98" s="134">
        <v>13.0</v>
      </c>
      <c r="AK98" s="135" t="s">
        <v>707</v>
      </c>
    </row>
    <row r="99" ht="15.75" customHeight="1">
      <c r="A99" s="130" t="s">
        <v>406</v>
      </c>
      <c r="B99" s="54" t="s">
        <v>175</v>
      </c>
      <c r="C99" s="129">
        <v>45.0</v>
      </c>
      <c r="D99" s="130">
        <v>10.0</v>
      </c>
      <c r="E99" s="131" t="s">
        <v>703</v>
      </c>
      <c r="F99" s="130">
        <v>215.0</v>
      </c>
      <c r="G99" s="130">
        <v>6.0</v>
      </c>
      <c r="H99" s="131" t="s">
        <v>703</v>
      </c>
      <c r="I99" s="130">
        <v>6.0</v>
      </c>
      <c r="J99" s="130">
        <v>17.0</v>
      </c>
      <c r="K99" s="131" t="s">
        <v>703</v>
      </c>
      <c r="L99" s="130">
        <v>4.0</v>
      </c>
      <c r="M99" s="130">
        <v>12.0</v>
      </c>
      <c r="N99" s="130" t="s">
        <v>703</v>
      </c>
      <c r="O99" s="130">
        <v>97.0</v>
      </c>
      <c r="P99" s="130">
        <v>45.0</v>
      </c>
      <c r="Q99" s="130" t="s">
        <v>703</v>
      </c>
      <c r="R99" s="130">
        <v>60.0</v>
      </c>
      <c r="S99" s="130">
        <v>20.0</v>
      </c>
      <c r="T99" s="130" t="s">
        <v>703</v>
      </c>
      <c r="U99" s="130">
        <v>35.0</v>
      </c>
      <c r="V99" s="130">
        <v>25.0</v>
      </c>
      <c r="W99" s="130" t="s">
        <v>703</v>
      </c>
      <c r="X99" s="130">
        <v>-2.0</v>
      </c>
      <c r="Y99" s="130">
        <v>25.0</v>
      </c>
      <c r="Z99" s="130" t="s">
        <v>703</v>
      </c>
      <c r="AA99" s="130">
        <v>26.0</v>
      </c>
      <c r="AB99" s="130">
        <v>0.51</v>
      </c>
      <c r="AC99" s="130" t="s">
        <v>703</v>
      </c>
      <c r="AD99" s="130">
        <v>17.0</v>
      </c>
      <c r="AE99" s="131" t="s">
        <v>710</v>
      </c>
      <c r="AF99" s="130">
        <v>13.0</v>
      </c>
      <c r="AG99" s="131" t="s">
        <v>710</v>
      </c>
      <c r="AH99" s="132" t="s">
        <v>133</v>
      </c>
      <c r="AI99" s="133" t="s">
        <v>133</v>
      </c>
      <c r="AJ99" s="132" t="s">
        <v>133</v>
      </c>
      <c r="AK99" s="133" t="s">
        <v>133</v>
      </c>
    </row>
    <row r="100" ht="15.75" customHeight="1">
      <c r="A100" s="130" t="s">
        <v>411</v>
      </c>
      <c r="B100" s="54" t="s">
        <v>175</v>
      </c>
      <c r="C100" s="129">
        <v>26.0</v>
      </c>
      <c r="D100" s="130">
        <v>60.0</v>
      </c>
      <c r="E100" s="131" t="s">
        <v>703</v>
      </c>
      <c r="F100" s="130">
        <v>61.0</v>
      </c>
      <c r="G100" s="130">
        <v>45.0</v>
      </c>
      <c r="H100" s="131" t="s">
        <v>703</v>
      </c>
      <c r="I100" s="130">
        <v>7.0</v>
      </c>
      <c r="J100" s="130">
        <v>22.0</v>
      </c>
      <c r="K100" s="131" t="s">
        <v>703</v>
      </c>
      <c r="L100" s="130">
        <v>7.0</v>
      </c>
      <c r="M100" s="130">
        <v>70.0</v>
      </c>
      <c r="N100" s="130" t="s">
        <v>703</v>
      </c>
      <c r="O100" s="130">
        <v>108.0</v>
      </c>
      <c r="P100" s="130">
        <v>75.0</v>
      </c>
      <c r="Q100" s="130" t="s">
        <v>703</v>
      </c>
      <c r="R100" s="130">
        <v>66.0</v>
      </c>
      <c r="S100" s="130">
        <v>35.0</v>
      </c>
      <c r="T100" s="130" t="s">
        <v>703</v>
      </c>
      <c r="U100" s="130">
        <v>41.0</v>
      </c>
      <c r="V100" s="130">
        <v>40.0</v>
      </c>
      <c r="W100" s="130" t="s">
        <v>703</v>
      </c>
      <c r="X100" s="130">
        <v>1.0</v>
      </c>
      <c r="Y100" s="130">
        <v>45.0</v>
      </c>
      <c r="Z100" s="130" t="s">
        <v>703</v>
      </c>
      <c r="AA100" s="130">
        <v>26.0</v>
      </c>
      <c r="AB100" s="130">
        <v>0.21</v>
      </c>
      <c r="AC100" s="130" t="s">
        <v>703</v>
      </c>
      <c r="AD100" s="130">
        <v>15.0</v>
      </c>
      <c r="AE100" s="131" t="s">
        <v>710</v>
      </c>
      <c r="AF100" s="130">
        <v>12.0</v>
      </c>
      <c r="AG100" s="131" t="s">
        <v>710</v>
      </c>
      <c r="AH100" s="132" t="s">
        <v>133</v>
      </c>
      <c r="AI100" s="133" t="s">
        <v>133</v>
      </c>
      <c r="AJ100" s="132" t="s">
        <v>133</v>
      </c>
      <c r="AK100" s="133" t="s">
        <v>133</v>
      </c>
    </row>
    <row r="101" ht="15.75" customHeight="1">
      <c r="A101" s="130" t="s">
        <v>412</v>
      </c>
      <c r="B101" s="54" t="s">
        <v>175</v>
      </c>
      <c r="C101" s="129">
        <v>45.0</v>
      </c>
      <c r="D101" s="130">
        <v>15.0</v>
      </c>
      <c r="E101" s="131" t="s">
        <v>703</v>
      </c>
      <c r="F101" s="130">
        <v>100.0</v>
      </c>
      <c r="G101" s="130">
        <v>25.0</v>
      </c>
      <c r="H101" s="131" t="s">
        <v>703</v>
      </c>
      <c r="I101" s="130">
        <v>6.0</v>
      </c>
      <c r="J101" s="130">
        <v>18.0</v>
      </c>
      <c r="K101" s="131" t="s">
        <v>703</v>
      </c>
      <c r="L101" s="130">
        <v>6.0</v>
      </c>
      <c r="M101" s="130">
        <v>48.0</v>
      </c>
      <c r="N101" s="130" t="s">
        <v>703</v>
      </c>
      <c r="O101" s="130">
        <v>98.0</v>
      </c>
      <c r="P101" s="130">
        <v>70.0</v>
      </c>
      <c r="Q101" s="130" t="s">
        <v>703</v>
      </c>
      <c r="R101" s="130">
        <v>70.0</v>
      </c>
      <c r="S101" s="130">
        <v>75.0</v>
      </c>
      <c r="T101" s="130" t="s">
        <v>703</v>
      </c>
      <c r="U101" s="130">
        <v>35.0</v>
      </c>
      <c r="V101" s="130">
        <v>60.0</v>
      </c>
      <c r="W101" s="130" t="s">
        <v>703</v>
      </c>
      <c r="X101" s="130">
        <v>-5.0</v>
      </c>
      <c r="Y101" s="130">
        <v>35.0</v>
      </c>
      <c r="Z101" s="130" t="s">
        <v>703</v>
      </c>
      <c r="AA101" s="130">
        <v>21.0</v>
      </c>
      <c r="AB101" s="130">
        <v>-1.2</v>
      </c>
      <c r="AC101" s="130" t="s">
        <v>706</v>
      </c>
      <c r="AD101" s="130">
        <v>12.0</v>
      </c>
      <c r="AE101" s="131" t="s">
        <v>710</v>
      </c>
      <c r="AF101" s="130">
        <v>4.0</v>
      </c>
      <c r="AG101" s="131" t="s">
        <v>704</v>
      </c>
      <c r="AH101" s="132" t="s">
        <v>133</v>
      </c>
      <c r="AI101" s="133" t="s">
        <v>133</v>
      </c>
      <c r="AJ101" s="132" t="s">
        <v>133</v>
      </c>
      <c r="AK101" s="133" t="s">
        <v>133</v>
      </c>
    </row>
    <row r="102" ht="15.75" customHeight="1">
      <c r="A102" s="130" t="s">
        <v>414</v>
      </c>
      <c r="B102" s="54" t="s">
        <v>175</v>
      </c>
      <c r="C102" s="129">
        <v>50.0</v>
      </c>
      <c r="D102" s="130">
        <v>10.0</v>
      </c>
      <c r="E102" s="131" t="s">
        <v>703</v>
      </c>
      <c r="F102" s="130">
        <v>63.0</v>
      </c>
      <c r="G102" s="130">
        <v>80.0</v>
      </c>
      <c r="H102" s="131" t="s">
        <v>703</v>
      </c>
      <c r="I102" s="130">
        <v>10.0</v>
      </c>
      <c r="J102" s="130">
        <v>81.0</v>
      </c>
      <c r="K102" s="131" t="s">
        <v>703</v>
      </c>
      <c r="L102" s="130">
        <v>7.0</v>
      </c>
      <c r="M102" s="130">
        <v>71.0</v>
      </c>
      <c r="N102" s="130" t="s">
        <v>703</v>
      </c>
      <c r="O102" s="130">
        <v>121.0</v>
      </c>
      <c r="P102" s="130">
        <v>100.0</v>
      </c>
      <c r="Q102" s="130" t="s">
        <v>703</v>
      </c>
      <c r="R102" s="130">
        <v>66.0</v>
      </c>
      <c r="S102" s="130">
        <v>45.0</v>
      </c>
      <c r="T102" s="130" t="s">
        <v>703</v>
      </c>
      <c r="U102" s="130">
        <v>46.0</v>
      </c>
      <c r="V102" s="130">
        <v>75.0</v>
      </c>
      <c r="W102" s="130" t="s">
        <v>703</v>
      </c>
      <c r="X102" s="130">
        <v>4.0</v>
      </c>
      <c r="Y102" s="130">
        <v>75.0</v>
      </c>
      <c r="Z102" s="130" t="s">
        <v>703</v>
      </c>
      <c r="AA102" s="130">
        <v>26.0</v>
      </c>
      <c r="AB102" s="130">
        <v>0.21</v>
      </c>
      <c r="AC102" s="130" t="s">
        <v>703</v>
      </c>
      <c r="AD102" s="130">
        <v>8.0</v>
      </c>
      <c r="AE102" s="131" t="s">
        <v>712</v>
      </c>
      <c r="AF102" s="130">
        <v>4.0</v>
      </c>
      <c r="AG102" s="131" t="s">
        <v>704</v>
      </c>
      <c r="AH102" s="132" t="s">
        <v>133</v>
      </c>
      <c r="AI102" s="133" t="s">
        <v>133</v>
      </c>
      <c r="AJ102" s="132" t="s">
        <v>133</v>
      </c>
      <c r="AK102" s="133" t="s">
        <v>133</v>
      </c>
    </row>
    <row r="103" ht="15.75" customHeight="1">
      <c r="A103" s="140" t="s">
        <v>417</v>
      </c>
      <c r="B103" s="54" t="s">
        <v>175</v>
      </c>
      <c r="C103" s="129">
        <v>30.0</v>
      </c>
      <c r="D103" s="130">
        <v>80.0</v>
      </c>
      <c r="E103" s="131" t="s">
        <v>703</v>
      </c>
      <c r="F103" s="130">
        <v>47.0</v>
      </c>
      <c r="G103" s="130">
        <v>95.0</v>
      </c>
      <c r="H103" s="131" t="s">
        <v>703</v>
      </c>
      <c r="I103" s="130">
        <v>8.0</v>
      </c>
      <c r="J103" s="130">
        <v>50.0</v>
      </c>
      <c r="K103" s="131" t="s">
        <v>703</v>
      </c>
      <c r="L103" s="130">
        <v>6.0</v>
      </c>
      <c r="M103" s="130">
        <v>53.0</v>
      </c>
      <c r="N103" s="130" t="s">
        <v>703</v>
      </c>
      <c r="O103" s="130">
        <v>78.0</v>
      </c>
      <c r="P103" s="130">
        <v>8.0</v>
      </c>
      <c r="Q103" s="130" t="s">
        <v>709</v>
      </c>
      <c r="R103" s="130">
        <v>55.0</v>
      </c>
      <c r="S103" s="130">
        <v>11.0</v>
      </c>
      <c r="T103" s="130" t="s">
        <v>703</v>
      </c>
      <c r="U103" s="130">
        <v>45.0</v>
      </c>
      <c r="V103" s="130">
        <v>60.0</v>
      </c>
      <c r="W103" s="130" t="s">
        <v>703</v>
      </c>
      <c r="X103" s="130">
        <v>13.0</v>
      </c>
      <c r="Y103" s="130">
        <v>95.0</v>
      </c>
      <c r="Z103" s="130" t="s">
        <v>703</v>
      </c>
      <c r="AA103" s="130">
        <v>25.0</v>
      </c>
      <c r="AB103" s="130">
        <v>1.08</v>
      </c>
      <c r="AC103" s="130" t="s">
        <v>703</v>
      </c>
      <c r="AD103" s="130">
        <v>3.0</v>
      </c>
      <c r="AE103" s="131" t="s">
        <v>704</v>
      </c>
      <c r="AF103" s="130">
        <v>0.0</v>
      </c>
      <c r="AG103" s="131" t="s">
        <v>704</v>
      </c>
      <c r="AH103" s="132" t="s">
        <v>133</v>
      </c>
      <c r="AI103" s="133" t="s">
        <v>133</v>
      </c>
      <c r="AJ103" s="132" t="s">
        <v>133</v>
      </c>
      <c r="AK103" s="133" t="s">
        <v>133</v>
      </c>
    </row>
    <row r="104" ht="15.75" customHeight="1">
      <c r="A104" s="140" t="s">
        <v>418</v>
      </c>
      <c r="B104" s="54" t="s">
        <v>175</v>
      </c>
      <c r="C104" s="129">
        <v>38.0</v>
      </c>
      <c r="D104" s="130">
        <v>25.0</v>
      </c>
      <c r="E104" s="131" t="s">
        <v>703</v>
      </c>
      <c r="F104" s="130">
        <v>63.0</v>
      </c>
      <c r="G104" s="130">
        <v>40.0</v>
      </c>
      <c r="H104" s="131" t="s">
        <v>703</v>
      </c>
      <c r="I104" s="130">
        <v>9.0</v>
      </c>
      <c r="J104" s="130">
        <v>64.0</v>
      </c>
      <c r="K104" s="131" t="s">
        <v>703</v>
      </c>
      <c r="L104" s="130">
        <v>5.0</v>
      </c>
      <c r="M104" s="130">
        <v>27.0</v>
      </c>
      <c r="N104" s="130" t="s">
        <v>703</v>
      </c>
      <c r="O104" s="130">
        <v>97.0</v>
      </c>
      <c r="P104" s="130">
        <v>60.0</v>
      </c>
      <c r="Q104" s="130" t="s">
        <v>703</v>
      </c>
      <c r="R104" s="130">
        <v>71.0</v>
      </c>
      <c r="S104" s="130">
        <v>70.0</v>
      </c>
      <c r="T104" s="130" t="s">
        <v>703</v>
      </c>
      <c r="U104" s="130">
        <v>42.0</v>
      </c>
      <c r="V104" s="130">
        <v>75.0</v>
      </c>
      <c r="W104" s="130" t="s">
        <v>703</v>
      </c>
      <c r="X104" s="130">
        <v>2.0</v>
      </c>
      <c r="Y104" s="130">
        <v>70.0</v>
      </c>
      <c r="Z104" s="130" t="s">
        <v>703</v>
      </c>
      <c r="AA104" s="130">
        <v>24.0</v>
      </c>
      <c r="AB104" s="130">
        <v>-0.17</v>
      </c>
      <c r="AC104" s="130" t="s">
        <v>703</v>
      </c>
      <c r="AD104" s="130">
        <v>11.0</v>
      </c>
      <c r="AE104" s="131" t="s">
        <v>712</v>
      </c>
      <c r="AF104" s="130">
        <v>6.0</v>
      </c>
      <c r="AG104" s="131" t="s">
        <v>704</v>
      </c>
      <c r="AH104" s="132" t="s">
        <v>133</v>
      </c>
      <c r="AI104" s="133" t="s">
        <v>133</v>
      </c>
      <c r="AJ104" s="132" t="s">
        <v>133</v>
      </c>
      <c r="AK104" s="133" t="s">
        <v>133</v>
      </c>
    </row>
    <row r="105" ht="15.75" customHeight="1">
      <c r="A105" s="130" t="s">
        <v>419</v>
      </c>
      <c r="B105" s="54" t="s">
        <v>175</v>
      </c>
      <c r="C105" s="129">
        <v>32.0</v>
      </c>
      <c r="D105" s="130">
        <v>60.0</v>
      </c>
      <c r="E105" s="131" t="s">
        <v>703</v>
      </c>
      <c r="F105" s="130">
        <v>60.0</v>
      </c>
      <c r="G105" s="130">
        <v>90.0</v>
      </c>
      <c r="H105" s="131" t="s">
        <v>703</v>
      </c>
      <c r="I105" s="130">
        <v>11.0</v>
      </c>
      <c r="J105" s="130">
        <v>94.0</v>
      </c>
      <c r="K105" s="131" t="s">
        <v>703</v>
      </c>
      <c r="L105" s="130">
        <v>10.0</v>
      </c>
      <c r="M105" s="130">
        <v>97.0</v>
      </c>
      <c r="N105" s="130" t="s">
        <v>703</v>
      </c>
      <c r="O105" s="130">
        <v>114.0</v>
      </c>
      <c r="P105" s="130">
        <v>795.0</v>
      </c>
      <c r="Q105" s="130" t="s">
        <v>703</v>
      </c>
      <c r="R105" s="130">
        <v>68.0</v>
      </c>
      <c r="S105" s="130">
        <v>75.0</v>
      </c>
      <c r="T105" s="130" t="s">
        <v>703</v>
      </c>
      <c r="U105" s="130">
        <v>39.0</v>
      </c>
      <c r="V105" s="130">
        <v>75.0</v>
      </c>
      <c r="W105" s="130" t="s">
        <v>703</v>
      </c>
      <c r="X105" s="130">
        <v>-3.0</v>
      </c>
      <c r="Y105" s="130">
        <v>50.0</v>
      </c>
      <c r="Z105" s="130" t="s">
        <v>703</v>
      </c>
      <c r="AA105" s="130">
        <v>27.0</v>
      </c>
      <c r="AB105" s="130">
        <v>0.86</v>
      </c>
      <c r="AC105" s="130" t="s">
        <v>703</v>
      </c>
      <c r="AD105" s="130">
        <v>7.0</v>
      </c>
      <c r="AE105" s="131" t="s">
        <v>704</v>
      </c>
      <c r="AF105" s="130">
        <v>4.0</v>
      </c>
      <c r="AG105" s="131" t="s">
        <v>704</v>
      </c>
      <c r="AH105" s="132" t="s">
        <v>133</v>
      </c>
      <c r="AI105" s="133" t="s">
        <v>133</v>
      </c>
      <c r="AJ105" s="132" t="s">
        <v>133</v>
      </c>
      <c r="AK105" s="133" t="s">
        <v>133</v>
      </c>
    </row>
    <row r="106" ht="15.75" customHeight="1">
      <c r="A106" s="130" t="s">
        <v>422</v>
      </c>
      <c r="B106" s="54" t="s">
        <v>175</v>
      </c>
      <c r="C106" s="129">
        <v>41.0</v>
      </c>
      <c r="D106" s="130">
        <v>20.0</v>
      </c>
      <c r="E106" s="131" t="s">
        <v>703</v>
      </c>
      <c r="F106" s="130">
        <v>76.0</v>
      </c>
      <c r="G106" s="130">
        <v>55.0</v>
      </c>
      <c r="H106" s="131" t="s">
        <v>703</v>
      </c>
      <c r="I106" s="130">
        <v>4.0</v>
      </c>
      <c r="J106" s="130">
        <v>4.0</v>
      </c>
      <c r="K106" s="131" t="s">
        <v>706</v>
      </c>
      <c r="L106" s="130">
        <v>7.0</v>
      </c>
      <c r="M106" s="130">
        <v>71.0</v>
      </c>
      <c r="N106" s="130" t="s">
        <v>703</v>
      </c>
      <c r="O106" s="130">
        <v>60.0</v>
      </c>
      <c r="P106" s="130">
        <v>5.0</v>
      </c>
      <c r="Q106" s="130" t="s">
        <v>706</v>
      </c>
      <c r="R106" s="130">
        <v>56.0</v>
      </c>
      <c r="S106" s="130">
        <v>20.0</v>
      </c>
      <c r="T106" s="130" t="s">
        <v>703</v>
      </c>
      <c r="U106" s="130">
        <v>35.0</v>
      </c>
      <c r="V106" s="130">
        <v>30.0</v>
      </c>
      <c r="W106" s="130" t="s">
        <v>703</v>
      </c>
      <c r="X106" s="130">
        <v>7.0</v>
      </c>
      <c r="Y106" s="130">
        <v>85.0</v>
      </c>
      <c r="Z106" s="130" t="s">
        <v>703</v>
      </c>
      <c r="AA106" s="130">
        <v>29.0</v>
      </c>
      <c r="AB106" s="130">
        <v>1.15</v>
      </c>
      <c r="AC106" s="130" t="s">
        <v>703</v>
      </c>
      <c r="AD106" s="130">
        <v>18.0</v>
      </c>
      <c r="AE106" s="131" t="s">
        <v>710</v>
      </c>
      <c r="AF106" s="130">
        <v>3.0</v>
      </c>
      <c r="AG106" s="131" t="s">
        <v>704</v>
      </c>
      <c r="AH106" s="132" t="s">
        <v>133</v>
      </c>
      <c r="AI106" s="133" t="s">
        <v>133</v>
      </c>
      <c r="AJ106" s="132" t="s">
        <v>133</v>
      </c>
      <c r="AK106" s="133" t="s">
        <v>133</v>
      </c>
    </row>
    <row r="107" ht="15.75" customHeight="1">
      <c r="A107" s="130" t="s">
        <v>423</v>
      </c>
      <c r="B107" s="54" t="s">
        <v>175</v>
      </c>
      <c r="C107" s="129">
        <v>35.0</v>
      </c>
      <c r="D107" s="130">
        <v>25.0</v>
      </c>
      <c r="E107" s="131" t="s">
        <v>703</v>
      </c>
      <c r="F107" s="130">
        <v>81.0</v>
      </c>
      <c r="G107" s="130">
        <v>25.0</v>
      </c>
      <c r="H107" s="131" t="s">
        <v>703</v>
      </c>
      <c r="I107" s="130">
        <v>6.0</v>
      </c>
      <c r="J107" s="130">
        <v>17.0</v>
      </c>
      <c r="K107" s="131" t="s">
        <v>703</v>
      </c>
      <c r="L107" s="130">
        <v>3.0</v>
      </c>
      <c r="M107" s="130">
        <v>5.0</v>
      </c>
      <c r="N107" s="130" t="s">
        <v>706</v>
      </c>
      <c r="O107" s="130">
        <v>109.0</v>
      </c>
      <c r="P107" s="130">
        <v>85.0</v>
      </c>
      <c r="Q107" s="130" t="s">
        <v>703</v>
      </c>
      <c r="R107" s="130">
        <v>67.0</v>
      </c>
      <c r="S107" s="130">
        <v>60.0</v>
      </c>
      <c r="T107" s="130" t="s">
        <v>703</v>
      </c>
      <c r="U107" s="130">
        <v>40.0</v>
      </c>
      <c r="V107" s="130">
        <v>70.0</v>
      </c>
      <c r="W107" s="130" t="s">
        <v>703</v>
      </c>
      <c r="X107" s="130">
        <v>-1.0</v>
      </c>
      <c r="Y107" s="130">
        <v>50.0</v>
      </c>
      <c r="Z107" s="130" t="s">
        <v>703</v>
      </c>
      <c r="AA107" s="130">
        <v>23.0</v>
      </c>
      <c r="AB107" s="130">
        <v>-0.51</v>
      </c>
      <c r="AC107" s="130" t="s">
        <v>706</v>
      </c>
      <c r="AD107" s="130">
        <v>14.0</v>
      </c>
      <c r="AE107" s="131" t="s">
        <v>710</v>
      </c>
      <c r="AF107" s="130">
        <v>9.0</v>
      </c>
      <c r="AG107" s="131" t="s">
        <v>712</v>
      </c>
      <c r="AH107" s="132" t="s">
        <v>133</v>
      </c>
      <c r="AI107" s="133" t="s">
        <v>133</v>
      </c>
      <c r="AJ107" s="132" t="s">
        <v>133</v>
      </c>
      <c r="AK107" s="133" t="s">
        <v>133</v>
      </c>
    </row>
    <row r="108" ht="15.75" customHeight="1">
      <c r="A108" s="130" t="s">
        <v>425</v>
      </c>
      <c r="B108" s="54" t="s">
        <v>175</v>
      </c>
      <c r="C108" s="129">
        <v>44.0</v>
      </c>
      <c r="D108" s="130">
        <v>50.0</v>
      </c>
      <c r="E108" s="131" t="s">
        <v>703</v>
      </c>
      <c r="F108" s="130">
        <v>112.0</v>
      </c>
      <c r="G108" s="130">
        <v>75.0</v>
      </c>
      <c r="H108" s="131" t="s">
        <v>703</v>
      </c>
      <c r="I108" s="130">
        <v>6.0</v>
      </c>
      <c r="J108" s="130">
        <v>17.0</v>
      </c>
      <c r="K108" s="131" t="s">
        <v>703</v>
      </c>
      <c r="L108" s="130">
        <v>6.0</v>
      </c>
      <c r="M108" s="130">
        <v>51.0</v>
      </c>
      <c r="N108" s="130" t="s">
        <v>703</v>
      </c>
      <c r="O108" s="130">
        <v>86.0</v>
      </c>
      <c r="P108" s="130">
        <v>40.0</v>
      </c>
      <c r="Q108" s="130" t="s">
        <v>703</v>
      </c>
      <c r="R108" s="130">
        <v>56.0</v>
      </c>
      <c r="S108" s="130">
        <v>40.0</v>
      </c>
      <c r="T108" s="130" t="s">
        <v>703</v>
      </c>
      <c r="U108" s="130">
        <v>29.0</v>
      </c>
      <c r="V108" s="130">
        <v>30.0</v>
      </c>
      <c r="W108" s="130" t="s">
        <v>703</v>
      </c>
      <c r="X108" s="130">
        <v>-5.0</v>
      </c>
      <c r="Y108" s="130">
        <v>20.0</v>
      </c>
      <c r="Z108" s="130" t="s">
        <v>703</v>
      </c>
      <c r="AA108" s="130">
        <v>28.0</v>
      </c>
      <c r="AB108" s="130">
        <v>1.9</v>
      </c>
      <c r="AC108" s="130" t="s">
        <v>703</v>
      </c>
      <c r="AD108" s="130">
        <v>15.0</v>
      </c>
      <c r="AE108" s="131" t="s">
        <v>710</v>
      </c>
      <c r="AF108" s="130">
        <v>9.0</v>
      </c>
      <c r="AG108" s="131" t="s">
        <v>712</v>
      </c>
      <c r="AH108" s="132" t="s">
        <v>133</v>
      </c>
      <c r="AI108" s="133" t="s">
        <v>133</v>
      </c>
      <c r="AJ108" s="132" t="s">
        <v>133</v>
      </c>
      <c r="AK108" s="133" t="s">
        <v>133</v>
      </c>
    </row>
    <row r="109" ht="15.75" customHeight="1">
      <c r="A109" s="130" t="s">
        <v>427</v>
      </c>
      <c r="B109" s="54" t="s">
        <v>175</v>
      </c>
      <c r="C109" s="129">
        <v>33.0</v>
      </c>
      <c r="D109" s="130">
        <v>35.0</v>
      </c>
      <c r="E109" s="131" t="s">
        <v>703</v>
      </c>
      <c r="F109" s="130">
        <v>58.0</v>
      </c>
      <c r="G109" s="130">
        <v>50.0</v>
      </c>
      <c r="H109" s="131" t="s">
        <v>703</v>
      </c>
      <c r="I109" s="130">
        <v>6.0</v>
      </c>
      <c r="J109" s="130">
        <v>17.0</v>
      </c>
      <c r="K109" s="131" t="s">
        <v>703</v>
      </c>
      <c r="L109" s="130">
        <v>4.0</v>
      </c>
      <c r="M109" s="130">
        <v>12.0</v>
      </c>
      <c r="N109" s="130" t="s">
        <v>703</v>
      </c>
      <c r="O109" s="130">
        <v>92.0</v>
      </c>
      <c r="P109" s="130">
        <v>35.0</v>
      </c>
      <c r="Q109" s="130" t="s">
        <v>703</v>
      </c>
      <c r="R109" s="130">
        <v>70.0</v>
      </c>
      <c r="S109" s="130">
        <v>50.0</v>
      </c>
      <c r="T109" s="130" t="s">
        <v>703</v>
      </c>
      <c r="U109" s="130">
        <v>52.0</v>
      </c>
      <c r="V109" s="130">
        <v>90.0</v>
      </c>
      <c r="W109" s="130" t="s">
        <v>703</v>
      </c>
      <c r="X109" s="130">
        <v>13.0</v>
      </c>
      <c r="Y109" s="130">
        <v>95.0</v>
      </c>
      <c r="Z109" s="130" t="s">
        <v>703</v>
      </c>
      <c r="AA109" s="130">
        <v>28.0</v>
      </c>
      <c r="AB109" s="130">
        <v>0.84</v>
      </c>
      <c r="AC109" s="130" t="s">
        <v>703</v>
      </c>
      <c r="AD109" s="130">
        <v>13.0</v>
      </c>
      <c r="AE109" s="131" t="s">
        <v>710</v>
      </c>
      <c r="AF109" s="130">
        <v>6.0</v>
      </c>
      <c r="AG109" s="131" t="s">
        <v>704</v>
      </c>
      <c r="AH109" s="132" t="s">
        <v>133</v>
      </c>
      <c r="AI109" s="133" t="s">
        <v>133</v>
      </c>
      <c r="AJ109" s="132" t="s">
        <v>133</v>
      </c>
      <c r="AK109" s="133" t="s">
        <v>133</v>
      </c>
    </row>
    <row r="110" ht="15.75" customHeight="1">
      <c r="A110" s="130" t="s">
        <v>429</v>
      </c>
      <c r="B110" s="54" t="s">
        <v>175</v>
      </c>
      <c r="C110" s="129">
        <v>61.0</v>
      </c>
      <c r="D110" s="130">
        <v>2.0</v>
      </c>
      <c r="E110" s="131" t="s">
        <v>706</v>
      </c>
      <c r="F110" s="130">
        <v>117.0</v>
      </c>
      <c r="G110" s="130">
        <v>10.0</v>
      </c>
      <c r="H110" s="131" t="s">
        <v>703</v>
      </c>
      <c r="I110" s="130">
        <v>3.0</v>
      </c>
      <c r="J110" s="130">
        <v>4.0</v>
      </c>
      <c r="K110" s="131" t="s">
        <v>706</v>
      </c>
      <c r="L110" s="130">
        <v>1.0</v>
      </c>
      <c r="M110" s="130">
        <v>5.0</v>
      </c>
      <c r="N110" s="130" t="s">
        <v>706</v>
      </c>
      <c r="O110" s="130">
        <v>106.0</v>
      </c>
      <c r="P110" s="130">
        <v>80.0</v>
      </c>
      <c r="Q110" s="130" t="s">
        <v>703</v>
      </c>
      <c r="R110" s="130">
        <v>68.0</v>
      </c>
      <c r="S110" s="130">
        <v>65.0</v>
      </c>
      <c r="T110" s="130" t="s">
        <v>703</v>
      </c>
      <c r="U110" s="130">
        <v>27.0</v>
      </c>
      <c r="V110" s="130">
        <v>15.0</v>
      </c>
      <c r="W110" s="130" t="s">
        <v>703</v>
      </c>
      <c r="X110" s="130">
        <v>-14.0</v>
      </c>
      <c r="Y110" s="130">
        <v>5.0</v>
      </c>
      <c r="Z110" s="130" t="s">
        <v>706</v>
      </c>
      <c r="AA110" s="130">
        <v>27.0</v>
      </c>
      <c r="AB110" s="130">
        <v>0.86</v>
      </c>
      <c r="AC110" s="130" t="s">
        <v>703</v>
      </c>
      <c r="AD110" s="130">
        <v>14.0</v>
      </c>
      <c r="AE110" s="131" t="s">
        <v>710</v>
      </c>
      <c r="AF110" s="130">
        <v>13.0</v>
      </c>
      <c r="AG110" s="131" t="s">
        <v>710</v>
      </c>
      <c r="AH110" s="132" t="s">
        <v>133</v>
      </c>
      <c r="AI110" s="133" t="s">
        <v>133</v>
      </c>
      <c r="AJ110" s="132" t="s">
        <v>133</v>
      </c>
      <c r="AK110" s="133" t="s">
        <v>133</v>
      </c>
    </row>
    <row r="111" ht="15.75" customHeight="1">
      <c r="A111" s="130" t="s">
        <v>432</v>
      </c>
      <c r="B111" s="54" t="s">
        <v>175</v>
      </c>
      <c r="C111" s="129">
        <v>26.0</v>
      </c>
      <c r="D111" s="130">
        <v>60.0</v>
      </c>
      <c r="E111" s="131" t="s">
        <v>703</v>
      </c>
      <c r="F111" s="130">
        <v>47.0</v>
      </c>
      <c r="G111" s="130">
        <v>75.0</v>
      </c>
      <c r="H111" s="131" t="s">
        <v>703</v>
      </c>
      <c r="I111" s="130">
        <v>8.0</v>
      </c>
      <c r="J111" s="130">
        <v>51.0</v>
      </c>
      <c r="K111" s="131" t="s">
        <v>703</v>
      </c>
      <c r="L111" s="130">
        <v>7.0</v>
      </c>
      <c r="M111" s="130">
        <v>71.0</v>
      </c>
      <c r="N111" s="130" t="s">
        <v>703</v>
      </c>
      <c r="O111" s="130">
        <v>92.0</v>
      </c>
      <c r="P111" s="130">
        <v>30.0</v>
      </c>
      <c r="Q111" s="130" t="s">
        <v>703</v>
      </c>
      <c r="R111" s="130">
        <v>78.0</v>
      </c>
      <c r="S111" s="130">
        <v>70.0</v>
      </c>
      <c r="T111" s="130" t="s">
        <v>703</v>
      </c>
      <c r="U111" s="130">
        <v>50.0</v>
      </c>
      <c r="V111" s="130">
        <v>80.0</v>
      </c>
      <c r="W111" s="130" t="s">
        <v>703</v>
      </c>
      <c r="X111" s="130">
        <v>8.0</v>
      </c>
      <c r="Y111" s="130">
        <v>80.0</v>
      </c>
      <c r="Z111" s="130" t="s">
        <v>703</v>
      </c>
      <c r="AA111" s="130">
        <v>25.0</v>
      </c>
      <c r="AB111" s="130">
        <v>-0.09</v>
      </c>
      <c r="AC111" s="130" t="s">
        <v>703</v>
      </c>
      <c r="AD111" s="130">
        <v>17.0</v>
      </c>
      <c r="AE111" s="131" t="s">
        <v>710</v>
      </c>
      <c r="AF111" s="130">
        <v>6.0</v>
      </c>
      <c r="AG111" s="131" t="s">
        <v>704</v>
      </c>
      <c r="AH111" s="132" t="s">
        <v>133</v>
      </c>
      <c r="AI111" s="133" t="s">
        <v>133</v>
      </c>
      <c r="AJ111" s="132" t="s">
        <v>133</v>
      </c>
      <c r="AK111" s="133" t="s">
        <v>133</v>
      </c>
    </row>
    <row r="112" ht="15.75" customHeight="1">
      <c r="A112" s="130" t="s">
        <v>434</v>
      </c>
      <c r="B112" s="54" t="s">
        <v>175</v>
      </c>
      <c r="C112" s="129">
        <v>25.0</v>
      </c>
      <c r="D112" s="130">
        <v>65.0</v>
      </c>
      <c r="E112" s="131" t="s">
        <v>703</v>
      </c>
      <c r="F112" s="130">
        <v>53.0</v>
      </c>
      <c r="G112" s="130">
        <v>65.0</v>
      </c>
      <c r="H112" s="131" t="s">
        <v>703</v>
      </c>
      <c r="I112" s="130">
        <v>9.0</v>
      </c>
      <c r="J112" s="130">
        <v>64.0</v>
      </c>
      <c r="K112" s="131" t="s">
        <v>703</v>
      </c>
      <c r="L112" s="130">
        <v>6.0</v>
      </c>
      <c r="M112" s="130">
        <v>53.0</v>
      </c>
      <c r="N112" s="130" t="s">
        <v>703</v>
      </c>
      <c r="O112" s="130">
        <v>99.0</v>
      </c>
      <c r="P112" s="130">
        <v>60.0</v>
      </c>
      <c r="Q112" s="130" t="s">
        <v>703</v>
      </c>
      <c r="R112" s="130">
        <v>57.0</v>
      </c>
      <c r="S112" s="130">
        <v>25.0</v>
      </c>
      <c r="T112" s="130" t="s">
        <v>703</v>
      </c>
      <c r="U112" s="130">
        <v>34.0</v>
      </c>
      <c r="V112" s="130">
        <v>30.0</v>
      </c>
      <c r="W112" s="130" t="s">
        <v>703</v>
      </c>
      <c r="X112" s="130">
        <v>-2.0</v>
      </c>
      <c r="Y112" s="130">
        <v>40.0</v>
      </c>
      <c r="Z112" s="130" t="s">
        <v>703</v>
      </c>
      <c r="AA112" s="130">
        <v>29.0</v>
      </c>
      <c r="AB112" s="130">
        <v>1.15</v>
      </c>
      <c r="AC112" s="130" t="s">
        <v>703</v>
      </c>
      <c r="AD112" s="130">
        <v>12.0</v>
      </c>
      <c r="AE112" s="131" t="s">
        <v>710</v>
      </c>
      <c r="AF112" s="130">
        <v>10.0</v>
      </c>
      <c r="AG112" s="131" t="s">
        <v>712</v>
      </c>
      <c r="AH112" s="132" t="s">
        <v>133</v>
      </c>
      <c r="AI112" s="133" t="s">
        <v>133</v>
      </c>
      <c r="AJ112" s="132" t="s">
        <v>133</v>
      </c>
      <c r="AK112" s="133" t="s">
        <v>133</v>
      </c>
    </row>
    <row r="113" ht="15.75" customHeight="1">
      <c r="A113" s="130" t="s">
        <v>436</v>
      </c>
      <c r="B113" s="54" t="s">
        <v>175</v>
      </c>
      <c r="C113" s="129">
        <v>20.0</v>
      </c>
      <c r="D113" s="130">
        <v>90.0</v>
      </c>
      <c r="E113" s="131" t="s">
        <v>703</v>
      </c>
      <c r="F113" s="130">
        <v>131.0</v>
      </c>
      <c r="G113" s="130">
        <v>6.0</v>
      </c>
      <c r="H113" s="131" t="s">
        <v>706</v>
      </c>
      <c r="I113" s="130">
        <v>7.0</v>
      </c>
      <c r="J113" s="130">
        <v>22.0</v>
      </c>
      <c r="K113" s="131" t="s">
        <v>703</v>
      </c>
      <c r="L113" s="130">
        <v>5.0</v>
      </c>
      <c r="M113" s="130">
        <v>27.0</v>
      </c>
      <c r="N113" s="130" t="s">
        <v>703</v>
      </c>
      <c r="O113" s="130">
        <v>107.0</v>
      </c>
      <c r="P113" s="130">
        <v>65.0</v>
      </c>
      <c r="Q113" s="130" t="s">
        <v>703</v>
      </c>
      <c r="R113" s="130">
        <v>64.0</v>
      </c>
      <c r="S113" s="130">
        <v>25.0</v>
      </c>
      <c r="T113" s="130" t="s">
        <v>703</v>
      </c>
      <c r="U113" s="130">
        <v>42.0</v>
      </c>
      <c r="V113" s="130">
        <v>40.0</v>
      </c>
      <c r="W113" s="130" t="s">
        <v>703</v>
      </c>
      <c r="X113" s="130">
        <v>2.0</v>
      </c>
      <c r="Y113" s="130">
        <v>50.0</v>
      </c>
      <c r="Z113" s="130" t="s">
        <v>703</v>
      </c>
      <c r="AA113" s="130">
        <v>27.0</v>
      </c>
      <c r="AB113" s="130">
        <v>0.53</v>
      </c>
      <c r="AC113" s="130" t="s">
        <v>703</v>
      </c>
      <c r="AD113" s="130">
        <v>8.0</v>
      </c>
      <c r="AE113" s="131" t="s">
        <v>712</v>
      </c>
      <c r="AF113" s="130">
        <v>1.0</v>
      </c>
      <c r="AG113" s="131" t="s">
        <v>704</v>
      </c>
      <c r="AH113" s="132" t="s">
        <v>133</v>
      </c>
      <c r="AI113" s="133" t="s">
        <v>133</v>
      </c>
      <c r="AJ113" s="132" t="s">
        <v>133</v>
      </c>
      <c r="AK113" s="133" t="s">
        <v>133</v>
      </c>
    </row>
    <row r="114" ht="15.75" customHeight="1">
      <c r="A114" s="130" t="s">
        <v>439</v>
      </c>
      <c r="B114" s="54" t="s">
        <v>175</v>
      </c>
      <c r="C114" s="129">
        <v>36.0</v>
      </c>
      <c r="D114" s="130">
        <v>25.0</v>
      </c>
      <c r="E114" s="131" t="s">
        <v>703</v>
      </c>
      <c r="F114" s="130">
        <v>67.0</v>
      </c>
      <c r="G114" s="130">
        <v>35.0</v>
      </c>
      <c r="H114" s="131" t="s">
        <v>703</v>
      </c>
      <c r="I114" s="130">
        <v>7.0</v>
      </c>
      <c r="J114" s="130">
        <v>22.0</v>
      </c>
      <c r="K114" s="131" t="s">
        <v>703</v>
      </c>
      <c r="L114" s="130">
        <v>5.0</v>
      </c>
      <c r="M114" s="130">
        <v>27.0</v>
      </c>
      <c r="N114" s="130" t="s">
        <v>703</v>
      </c>
      <c r="O114" s="130">
        <v>80.0</v>
      </c>
      <c r="P114" s="130">
        <v>10.0</v>
      </c>
      <c r="Q114" s="130" t="s">
        <v>703</v>
      </c>
      <c r="R114" s="130">
        <v>60.0</v>
      </c>
      <c r="S114" s="130">
        <v>20.0</v>
      </c>
      <c r="T114" s="130" t="s">
        <v>703</v>
      </c>
      <c r="U114" s="130">
        <v>40.0</v>
      </c>
      <c r="V114" s="130">
        <v>35.0</v>
      </c>
      <c r="W114" s="130" t="s">
        <v>703</v>
      </c>
      <c r="X114" s="130">
        <v>6.0</v>
      </c>
      <c r="Y114" s="130">
        <v>70.0</v>
      </c>
      <c r="Z114" s="130" t="s">
        <v>703</v>
      </c>
      <c r="AA114" s="130">
        <v>28.0</v>
      </c>
      <c r="AB114" s="130">
        <v>0.84</v>
      </c>
      <c r="AC114" s="130" t="s">
        <v>703</v>
      </c>
      <c r="AD114" s="130">
        <v>8.0</v>
      </c>
      <c r="AE114" s="131" t="s">
        <v>712</v>
      </c>
      <c r="AF114" s="130">
        <v>5.0</v>
      </c>
      <c r="AG114" s="131" t="s">
        <v>704</v>
      </c>
      <c r="AH114" s="132" t="s">
        <v>133</v>
      </c>
      <c r="AI114" s="133" t="s">
        <v>133</v>
      </c>
      <c r="AJ114" s="132" t="s">
        <v>133</v>
      </c>
      <c r="AK114" s="133" t="s">
        <v>133</v>
      </c>
    </row>
    <row r="115" ht="15.75" customHeight="1">
      <c r="A115" s="130" t="s">
        <v>440</v>
      </c>
      <c r="B115" s="54" t="s">
        <v>175</v>
      </c>
      <c r="C115" s="129">
        <v>20.0</v>
      </c>
      <c r="D115" s="130">
        <v>90.0</v>
      </c>
      <c r="E115" s="131" t="s">
        <v>703</v>
      </c>
      <c r="F115" s="130">
        <v>42.0</v>
      </c>
      <c r="G115" s="130">
        <v>85.0</v>
      </c>
      <c r="H115" s="131" t="s">
        <v>703</v>
      </c>
      <c r="I115" s="130">
        <v>8.0</v>
      </c>
      <c r="J115" s="130">
        <v>51.0</v>
      </c>
      <c r="K115" s="131" t="s">
        <v>703</v>
      </c>
      <c r="L115" s="130">
        <v>7.0</v>
      </c>
      <c r="M115" s="130">
        <v>71.0</v>
      </c>
      <c r="N115" s="130" t="s">
        <v>703</v>
      </c>
      <c r="O115" s="130">
        <v>105.0</v>
      </c>
      <c r="P115" s="130">
        <v>70.0</v>
      </c>
      <c r="Q115" s="130" t="s">
        <v>703</v>
      </c>
      <c r="R115" s="130">
        <v>78.0</v>
      </c>
      <c r="S115" s="130">
        <v>70.0</v>
      </c>
      <c r="T115" s="130" t="s">
        <v>703</v>
      </c>
      <c r="U115" s="130">
        <v>48.0</v>
      </c>
      <c r="V115" s="130">
        <v>80.0</v>
      </c>
      <c r="W115" s="130" t="s">
        <v>703</v>
      </c>
      <c r="X115" s="130">
        <v>3.0</v>
      </c>
      <c r="Y115" s="130">
        <v>60.0</v>
      </c>
      <c r="Z115" s="130" t="s">
        <v>703</v>
      </c>
      <c r="AA115" s="130">
        <v>28.0</v>
      </c>
      <c r="AB115" s="130">
        <v>0.8</v>
      </c>
      <c r="AC115" s="130" t="s">
        <v>703</v>
      </c>
      <c r="AD115" s="130">
        <v>1.0</v>
      </c>
      <c r="AE115" s="131" t="s">
        <v>704</v>
      </c>
      <c r="AF115" s="130">
        <v>2.0</v>
      </c>
      <c r="AG115" s="131" t="s">
        <v>704</v>
      </c>
      <c r="AH115" s="132" t="s">
        <v>133</v>
      </c>
      <c r="AI115" s="133" t="s">
        <v>133</v>
      </c>
      <c r="AJ115" s="132" t="s">
        <v>133</v>
      </c>
      <c r="AK115" s="133" t="s">
        <v>133</v>
      </c>
    </row>
    <row r="116" ht="15.75" customHeight="1">
      <c r="A116" s="130" t="s">
        <v>442</v>
      </c>
      <c r="B116" s="54" t="s">
        <v>175</v>
      </c>
      <c r="C116" s="129">
        <v>33.0</v>
      </c>
      <c r="D116" s="130">
        <v>50.0</v>
      </c>
      <c r="E116" s="131" t="s">
        <v>703</v>
      </c>
      <c r="F116" s="130">
        <v>88.0</v>
      </c>
      <c r="G116" s="130">
        <v>40.0</v>
      </c>
      <c r="H116" s="131" t="s">
        <v>703</v>
      </c>
      <c r="I116" s="130">
        <v>7.0</v>
      </c>
      <c r="J116" s="130">
        <v>28.0</v>
      </c>
      <c r="K116" s="131" t="s">
        <v>703</v>
      </c>
      <c r="L116" s="130">
        <v>5.0</v>
      </c>
      <c r="M116" s="130">
        <v>29.0</v>
      </c>
      <c r="N116" s="130" t="s">
        <v>703</v>
      </c>
      <c r="O116" s="130">
        <v>110.0</v>
      </c>
      <c r="P116" s="130">
        <v>90.0</v>
      </c>
      <c r="Q116" s="130" t="s">
        <v>703</v>
      </c>
      <c r="R116" s="130">
        <v>76.0</v>
      </c>
      <c r="S116" s="130">
        <v>85.0</v>
      </c>
      <c r="T116" s="130" t="s">
        <v>703</v>
      </c>
      <c r="U116" s="130">
        <v>37.0</v>
      </c>
      <c r="V116" s="130">
        <v>60.0</v>
      </c>
      <c r="W116" s="130" t="s">
        <v>703</v>
      </c>
      <c r="X116" s="130">
        <v>-7.0</v>
      </c>
      <c r="Y116" s="130">
        <v>25.0</v>
      </c>
      <c r="Z116" s="130" t="s">
        <v>703</v>
      </c>
      <c r="AA116" s="130">
        <v>28.0</v>
      </c>
      <c r="AB116" s="130">
        <v>1.2</v>
      </c>
      <c r="AC116" s="130" t="s">
        <v>703</v>
      </c>
      <c r="AD116" s="130">
        <v>13.0</v>
      </c>
      <c r="AE116" s="131" t="s">
        <v>710</v>
      </c>
      <c r="AF116" s="130">
        <v>8.0</v>
      </c>
      <c r="AG116" s="131" t="s">
        <v>712</v>
      </c>
      <c r="AH116" s="132" t="s">
        <v>133</v>
      </c>
      <c r="AI116" s="133" t="s">
        <v>133</v>
      </c>
      <c r="AJ116" s="132" t="s">
        <v>133</v>
      </c>
      <c r="AK116" s="133" t="s">
        <v>133</v>
      </c>
    </row>
    <row r="117" ht="15.75" customHeight="1">
      <c r="A117" s="130" t="s">
        <v>446</v>
      </c>
      <c r="B117" s="54" t="s">
        <v>175</v>
      </c>
      <c r="C117" s="129">
        <v>42.0</v>
      </c>
      <c r="D117" s="130">
        <v>45.0</v>
      </c>
      <c r="E117" s="131" t="s">
        <v>703</v>
      </c>
      <c r="F117" s="130">
        <v>109.0</v>
      </c>
      <c r="G117" s="130">
        <v>10.0</v>
      </c>
      <c r="H117" s="131" t="s">
        <v>703</v>
      </c>
      <c r="I117" s="130">
        <v>7.0</v>
      </c>
      <c r="J117" s="130">
        <v>22.0</v>
      </c>
      <c r="K117" s="131" t="s">
        <v>703</v>
      </c>
      <c r="L117" s="130">
        <v>2.0</v>
      </c>
      <c r="M117" s="130">
        <v>12.0</v>
      </c>
      <c r="N117" s="130" t="s">
        <v>706</v>
      </c>
      <c r="O117" s="130">
        <v>71.0</v>
      </c>
      <c r="P117" s="130">
        <v>25.0</v>
      </c>
      <c r="Q117" s="130" t="s">
        <v>706</v>
      </c>
      <c r="R117" s="130">
        <v>63.0</v>
      </c>
      <c r="S117" s="130">
        <v>40.0</v>
      </c>
      <c r="T117" s="130" t="s">
        <v>703</v>
      </c>
      <c r="U117" s="130">
        <v>34.0</v>
      </c>
      <c r="V117" s="130">
        <v>30.0</v>
      </c>
      <c r="W117" s="130" t="s">
        <v>703</v>
      </c>
      <c r="X117" s="130">
        <v>1.0</v>
      </c>
      <c r="Y117" s="130">
        <v>55.0</v>
      </c>
      <c r="Z117" s="130" t="s">
        <v>703</v>
      </c>
      <c r="AA117" s="130">
        <v>21.0</v>
      </c>
      <c r="AB117" s="130">
        <v>-1.2</v>
      </c>
      <c r="AC117" s="130" t="s">
        <v>703</v>
      </c>
      <c r="AD117" s="132" t="s">
        <v>133</v>
      </c>
      <c r="AE117" s="133" t="s">
        <v>133</v>
      </c>
      <c r="AF117" s="132" t="s">
        <v>133</v>
      </c>
      <c r="AG117" s="133" t="s">
        <v>133</v>
      </c>
      <c r="AH117" s="132" t="s">
        <v>133</v>
      </c>
      <c r="AI117" s="133" t="s">
        <v>133</v>
      </c>
      <c r="AJ117" s="132" t="s">
        <v>133</v>
      </c>
      <c r="AK117" s="133" t="s">
        <v>133</v>
      </c>
    </row>
    <row r="118" ht="15.75" customHeight="1">
      <c r="A118" s="130" t="s">
        <v>448</v>
      </c>
      <c r="B118" s="54" t="s">
        <v>175</v>
      </c>
      <c r="C118" s="129">
        <v>38.0</v>
      </c>
      <c r="D118" s="130">
        <v>25.0</v>
      </c>
      <c r="E118" s="131" t="s">
        <v>703</v>
      </c>
      <c r="F118" s="130">
        <v>74.0</v>
      </c>
      <c r="G118" s="130">
        <v>25.0</v>
      </c>
      <c r="H118" s="131" t="s">
        <v>703</v>
      </c>
      <c r="I118" s="130">
        <v>8.0</v>
      </c>
      <c r="J118" s="130">
        <v>51.0</v>
      </c>
      <c r="K118" s="131" t="s">
        <v>703</v>
      </c>
      <c r="L118" s="130">
        <v>5.0</v>
      </c>
      <c r="M118" s="130">
        <v>29.0</v>
      </c>
      <c r="N118" s="130" t="s">
        <v>703</v>
      </c>
      <c r="O118" s="130">
        <v>103.0</v>
      </c>
      <c r="P118" s="130">
        <v>65.0</v>
      </c>
      <c r="Q118" s="130" t="s">
        <v>703</v>
      </c>
      <c r="R118" s="130">
        <v>63.0</v>
      </c>
      <c r="S118" s="130">
        <v>30.0</v>
      </c>
      <c r="T118" s="130" t="s">
        <v>703</v>
      </c>
      <c r="U118" s="130">
        <v>39.0</v>
      </c>
      <c r="V118" s="130">
        <v>40.0</v>
      </c>
      <c r="W118" s="130" t="s">
        <v>703</v>
      </c>
      <c r="X118" s="130">
        <v>0.0</v>
      </c>
      <c r="Y118" s="130">
        <v>40.0</v>
      </c>
      <c r="Z118" s="130" t="s">
        <v>703</v>
      </c>
      <c r="AA118" s="130">
        <v>23.0</v>
      </c>
      <c r="AB118" s="130">
        <v>-1.0</v>
      </c>
      <c r="AC118" s="130" t="s">
        <v>706</v>
      </c>
      <c r="AD118" s="130">
        <v>17.0</v>
      </c>
      <c r="AE118" s="131" t="s">
        <v>710</v>
      </c>
      <c r="AF118" s="130">
        <v>6.0</v>
      </c>
      <c r="AG118" s="131" t="s">
        <v>704</v>
      </c>
      <c r="AH118" s="132" t="s">
        <v>133</v>
      </c>
      <c r="AI118" s="133" t="s">
        <v>133</v>
      </c>
      <c r="AJ118" s="132" t="s">
        <v>133</v>
      </c>
      <c r="AK118" s="133" t="s">
        <v>133</v>
      </c>
    </row>
    <row r="119" ht="15.75" customHeight="1">
      <c r="A119" s="132" t="s">
        <v>450</v>
      </c>
      <c r="B119" s="122" t="s">
        <v>175</v>
      </c>
      <c r="C119" s="138">
        <v>29.0</v>
      </c>
      <c r="D119" s="132">
        <v>75.0</v>
      </c>
      <c r="E119" s="133" t="s">
        <v>703</v>
      </c>
      <c r="F119" s="132">
        <v>70.0</v>
      </c>
      <c r="G119" s="132">
        <v>70.0</v>
      </c>
      <c r="H119" s="133" t="s">
        <v>703</v>
      </c>
      <c r="I119" s="132">
        <v>7.0</v>
      </c>
      <c r="J119" s="132">
        <v>28.0</v>
      </c>
      <c r="K119" s="133" t="s">
        <v>703</v>
      </c>
      <c r="L119" s="132">
        <v>6.0</v>
      </c>
      <c r="M119" s="132">
        <v>51.0</v>
      </c>
      <c r="N119" s="132" t="s">
        <v>703</v>
      </c>
      <c r="O119" s="132">
        <v>91.0</v>
      </c>
      <c r="P119" s="132">
        <v>40.0</v>
      </c>
      <c r="Q119" s="132" t="s">
        <v>703</v>
      </c>
      <c r="R119" s="132">
        <v>53.0</v>
      </c>
      <c r="S119" s="132">
        <v>10.0</v>
      </c>
      <c r="T119" s="132" t="s">
        <v>709</v>
      </c>
      <c r="U119" s="132">
        <v>22.0</v>
      </c>
      <c r="V119" s="130" t="s">
        <v>705</v>
      </c>
      <c r="W119" s="132" t="s">
        <v>706</v>
      </c>
      <c r="X119" s="132">
        <v>-11.0</v>
      </c>
      <c r="Y119" s="132">
        <v>10.0</v>
      </c>
      <c r="Z119" s="132" t="s">
        <v>709</v>
      </c>
      <c r="AA119" s="132">
        <v>25.0</v>
      </c>
      <c r="AB119" s="132">
        <v>-0.09</v>
      </c>
      <c r="AC119" s="132" t="s">
        <v>703</v>
      </c>
      <c r="AD119" s="132" t="s">
        <v>133</v>
      </c>
      <c r="AE119" s="133" t="s">
        <v>133</v>
      </c>
      <c r="AF119" s="132" t="s">
        <v>133</v>
      </c>
      <c r="AG119" s="133" t="s">
        <v>133</v>
      </c>
      <c r="AH119" s="134">
        <v>4.0</v>
      </c>
      <c r="AI119" s="135" t="s">
        <v>704</v>
      </c>
      <c r="AJ119" s="134">
        <v>9.0</v>
      </c>
      <c r="AK119" s="135" t="s">
        <v>708</v>
      </c>
    </row>
    <row r="120" ht="15.75" customHeight="1">
      <c r="A120" s="130" t="s">
        <v>452</v>
      </c>
      <c r="B120" s="54" t="s">
        <v>175</v>
      </c>
      <c r="C120" s="129">
        <v>45.0</v>
      </c>
      <c r="D120" s="130">
        <v>50.0</v>
      </c>
      <c r="E120" s="131" t="s">
        <v>703</v>
      </c>
      <c r="F120" s="130">
        <v>167.0</v>
      </c>
      <c r="G120" s="130">
        <v>25.0</v>
      </c>
      <c r="H120" s="131" t="s">
        <v>703</v>
      </c>
      <c r="I120" s="130">
        <v>7.0</v>
      </c>
      <c r="J120" s="130">
        <v>35.0</v>
      </c>
      <c r="K120" s="131" t="s">
        <v>703</v>
      </c>
      <c r="L120" s="130">
        <v>4.0</v>
      </c>
      <c r="M120" s="130">
        <v>16.0</v>
      </c>
      <c r="N120" s="130" t="s">
        <v>703</v>
      </c>
      <c r="O120" s="130">
        <v>72.0</v>
      </c>
      <c r="P120" s="130">
        <v>10.0</v>
      </c>
      <c r="Q120" s="130" t="s">
        <v>709</v>
      </c>
      <c r="R120" s="130">
        <v>49.0</v>
      </c>
      <c r="S120" s="130">
        <v>20.0</v>
      </c>
      <c r="T120" s="130" t="s">
        <v>703</v>
      </c>
      <c r="U120" s="130">
        <v>34.0</v>
      </c>
      <c r="V120" s="130">
        <v>60.0</v>
      </c>
      <c r="W120" s="130" t="s">
        <v>703</v>
      </c>
      <c r="X120" s="130">
        <v>5.0</v>
      </c>
      <c r="Y120" s="130">
        <v>85.0</v>
      </c>
      <c r="Z120" s="130" t="s">
        <v>703</v>
      </c>
      <c r="AA120" s="130">
        <v>23.0</v>
      </c>
      <c r="AB120" s="130">
        <v>0.5</v>
      </c>
      <c r="AC120" s="130" t="s">
        <v>703</v>
      </c>
      <c r="AD120" s="130">
        <v>5.0</v>
      </c>
      <c r="AE120" s="131" t="s">
        <v>704</v>
      </c>
      <c r="AF120" s="130">
        <v>3.0</v>
      </c>
      <c r="AG120" s="131" t="s">
        <v>704</v>
      </c>
      <c r="AH120" s="134">
        <v>5.0</v>
      </c>
      <c r="AI120" s="135" t="s">
        <v>704</v>
      </c>
      <c r="AJ120" s="134">
        <v>1.0</v>
      </c>
      <c r="AK120" s="135" t="s">
        <v>704</v>
      </c>
    </row>
    <row r="121" ht="15.75" customHeight="1">
      <c r="A121" s="130" t="s">
        <v>454</v>
      </c>
      <c r="B121" s="54" t="s">
        <v>175</v>
      </c>
      <c r="C121" s="129">
        <v>53.0</v>
      </c>
      <c r="D121" s="130">
        <v>10.0</v>
      </c>
      <c r="E121" s="131" t="s">
        <v>703</v>
      </c>
      <c r="F121" s="130">
        <v>97.0</v>
      </c>
      <c r="G121" s="130">
        <v>30.0</v>
      </c>
      <c r="H121" s="131" t="s">
        <v>703</v>
      </c>
      <c r="I121" s="130">
        <v>6.0</v>
      </c>
      <c r="J121" s="130">
        <v>17.0</v>
      </c>
      <c r="K121" s="131" t="s">
        <v>703</v>
      </c>
      <c r="L121" s="130">
        <v>5.0</v>
      </c>
      <c r="M121" s="130">
        <v>29.0</v>
      </c>
      <c r="N121" s="130" t="s">
        <v>703</v>
      </c>
      <c r="O121" s="130">
        <v>89.0</v>
      </c>
      <c r="P121" s="130">
        <v>45.0</v>
      </c>
      <c r="Q121" s="130" t="s">
        <v>703</v>
      </c>
      <c r="R121" s="130">
        <v>60.0</v>
      </c>
      <c r="S121" s="130">
        <v>40.0</v>
      </c>
      <c r="T121" s="130" t="s">
        <v>703</v>
      </c>
      <c r="U121" s="130">
        <v>24.0</v>
      </c>
      <c r="V121" s="130">
        <v>10.0</v>
      </c>
      <c r="W121" s="130" t="s">
        <v>703</v>
      </c>
      <c r="X121" s="130">
        <v>-11.0</v>
      </c>
      <c r="Y121" s="130">
        <v>10.0</v>
      </c>
      <c r="Z121" s="130" t="s">
        <v>703</v>
      </c>
      <c r="AA121" s="130">
        <v>22.0</v>
      </c>
      <c r="AB121" s="130">
        <v>-0.86</v>
      </c>
      <c r="AC121" s="130" t="s">
        <v>706</v>
      </c>
      <c r="AD121" s="130">
        <v>14.0</v>
      </c>
      <c r="AE121" s="131" t="s">
        <v>710</v>
      </c>
      <c r="AF121" s="130">
        <v>12.0</v>
      </c>
      <c r="AG121" s="131" t="s">
        <v>710</v>
      </c>
      <c r="AH121" s="132" t="s">
        <v>133</v>
      </c>
      <c r="AI121" s="133" t="s">
        <v>133</v>
      </c>
      <c r="AJ121" s="132" t="s">
        <v>133</v>
      </c>
      <c r="AK121" s="133" t="s">
        <v>133</v>
      </c>
    </row>
    <row r="122" ht="15.75" customHeight="1">
      <c r="A122" s="130" t="s">
        <v>456</v>
      </c>
      <c r="B122" s="54" t="s">
        <v>175</v>
      </c>
      <c r="C122" s="129">
        <v>44.0</v>
      </c>
      <c r="D122" s="130">
        <v>15.0</v>
      </c>
      <c r="E122" s="131" t="s">
        <v>703</v>
      </c>
      <c r="F122" s="130">
        <v>98.0</v>
      </c>
      <c r="G122" s="130">
        <v>15.0</v>
      </c>
      <c r="H122" s="131" t="s">
        <v>703</v>
      </c>
      <c r="I122" s="130">
        <v>8.0</v>
      </c>
      <c r="J122" s="130">
        <v>50.0</v>
      </c>
      <c r="K122" s="131" t="s">
        <v>703</v>
      </c>
      <c r="L122" s="130">
        <v>5.0</v>
      </c>
      <c r="M122" s="130">
        <v>27.0</v>
      </c>
      <c r="N122" s="130" t="s">
        <v>703</v>
      </c>
      <c r="O122" s="130">
        <v>89.0</v>
      </c>
      <c r="P122" s="130">
        <v>35.0</v>
      </c>
      <c r="Q122" s="130" t="s">
        <v>703</v>
      </c>
      <c r="R122" s="130">
        <v>63.0</v>
      </c>
      <c r="S122" s="130">
        <v>40.0</v>
      </c>
      <c r="T122" s="130" t="s">
        <v>703</v>
      </c>
      <c r="U122" s="130">
        <v>43.0</v>
      </c>
      <c r="V122" s="130">
        <v>70.0</v>
      </c>
      <c r="W122" s="130" t="s">
        <v>703</v>
      </c>
      <c r="X122" s="130">
        <v>7.0</v>
      </c>
      <c r="Y122" s="130">
        <v>85.0</v>
      </c>
      <c r="Z122" s="130" t="s">
        <v>703</v>
      </c>
      <c r="AA122" s="130">
        <v>26.0</v>
      </c>
      <c r="AB122" s="130">
        <v>0.51</v>
      </c>
      <c r="AC122" s="130" t="s">
        <v>703</v>
      </c>
      <c r="AD122" s="130">
        <v>12.0</v>
      </c>
      <c r="AE122" s="131" t="s">
        <v>710</v>
      </c>
      <c r="AF122" s="130">
        <v>6.0</v>
      </c>
      <c r="AG122" s="131" t="s">
        <v>704</v>
      </c>
      <c r="AH122" s="132" t="s">
        <v>133</v>
      </c>
      <c r="AI122" s="133" t="s">
        <v>133</v>
      </c>
      <c r="AJ122" s="132" t="s">
        <v>133</v>
      </c>
      <c r="AK122" s="133" t="s">
        <v>133</v>
      </c>
    </row>
    <row r="123" ht="15.75" customHeight="1">
      <c r="A123" s="130" t="s">
        <v>459</v>
      </c>
      <c r="B123" s="54" t="s">
        <v>175</v>
      </c>
      <c r="C123" s="129">
        <v>40.0</v>
      </c>
      <c r="D123" s="130">
        <v>20.0</v>
      </c>
      <c r="E123" s="131" t="s">
        <v>703</v>
      </c>
      <c r="F123" s="130">
        <v>179.0</v>
      </c>
      <c r="G123" s="130">
        <v>6.0</v>
      </c>
      <c r="H123" s="131" t="s">
        <v>706</v>
      </c>
      <c r="I123" s="130">
        <v>8.0</v>
      </c>
      <c r="J123" s="130">
        <v>51.0</v>
      </c>
      <c r="K123" s="131" t="s">
        <v>703</v>
      </c>
      <c r="L123" s="130">
        <v>6.0</v>
      </c>
      <c r="M123" s="130">
        <v>51.0</v>
      </c>
      <c r="N123" s="130" t="s">
        <v>703</v>
      </c>
      <c r="O123" s="130">
        <v>90.0</v>
      </c>
      <c r="P123" s="130">
        <v>40.0</v>
      </c>
      <c r="Q123" s="130" t="s">
        <v>703</v>
      </c>
      <c r="R123" s="130">
        <v>71.0</v>
      </c>
      <c r="S123" s="130">
        <v>70.0</v>
      </c>
      <c r="T123" s="130" t="s">
        <v>703</v>
      </c>
      <c r="U123" s="130">
        <v>54.0</v>
      </c>
      <c r="V123" s="130">
        <v>95.0</v>
      </c>
      <c r="W123" s="130" t="s">
        <v>703</v>
      </c>
      <c r="X123" s="130">
        <v>15.0</v>
      </c>
      <c r="Y123" s="130">
        <v>95.0</v>
      </c>
      <c r="Z123" s="130" t="s">
        <v>703</v>
      </c>
      <c r="AA123" s="130">
        <v>29.0</v>
      </c>
      <c r="AB123" s="130">
        <v>1.15</v>
      </c>
      <c r="AC123" s="130" t="s">
        <v>703</v>
      </c>
      <c r="AD123" s="130">
        <v>8.0</v>
      </c>
      <c r="AE123" s="131" t="s">
        <v>712</v>
      </c>
      <c r="AF123" s="130">
        <v>1.0</v>
      </c>
      <c r="AG123" s="131" t="s">
        <v>704</v>
      </c>
      <c r="AH123" s="134">
        <v>2.0</v>
      </c>
      <c r="AI123" s="135" t="s">
        <v>704</v>
      </c>
      <c r="AJ123" s="134">
        <v>3.0</v>
      </c>
      <c r="AK123" s="135" t="s">
        <v>704</v>
      </c>
    </row>
    <row r="124" ht="15.75" customHeight="1">
      <c r="A124" s="140" t="s">
        <v>463</v>
      </c>
      <c r="B124" s="54" t="s">
        <v>175</v>
      </c>
      <c r="C124" s="129">
        <v>36.0</v>
      </c>
      <c r="D124" s="130">
        <v>45.0</v>
      </c>
      <c r="E124" s="131" t="s">
        <v>703</v>
      </c>
      <c r="F124" s="130">
        <v>69.0</v>
      </c>
      <c r="G124" s="130">
        <v>70.0</v>
      </c>
      <c r="H124" s="131" t="s">
        <v>703</v>
      </c>
      <c r="I124" s="130">
        <v>7.0</v>
      </c>
      <c r="J124" s="130">
        <v>28.0</v>
      </c>
      <c r="K124" s="131" t="s">
        <v>703</v>
      </c>
      <c r="L124" s="130">
        <v>4.0</v>
      </c>
      <c r="M124" s="130">
        <v>12.0</v>
      </c>
      <c r="N124" s="130" t="s">
        <v>703</v>
      </c>
      <c r="O124" s="130">
        <v>92.0</v>
      </c>
      <c r="P124" s="130">
        <v>55.0</v>
      </c>
      <c r="Q124" s="130" t="s">
        <v>703</v>
      </c>
      <c r="R124" s="130">
        <v>76.0</v>
      </c>
      <c r="S124" s="130">
        <v>85.0</v>
      </c>
      <c r="T124" s="130" t="s">
        <v>703</v>
      </c>
      <c r="U124" s="130">
        <v>47.0</v>
      </c>
      <c r="V124" s="130">
        <v>90.0</v>
      </c>
      <c r="W124" s="130" t="s">
        <v>703</v>
      </c>
      <c r="X124" s="130">
        <v>6.0</v>
      </c>
      <c r="Y124" s="130">
        <v>85.0</v>
      </c>
      <c r="Z124" s="130" t="s">
        <v>703</v>
      </c>
      <c r="AA124" s="130">
        <v>26.0</v>
      </c>
      <c r="AB124" s="130">
        <v>0.51</v>
      </c>
      <c r="AC124" s="130" t="s">
        <v>703</v>
      </c>
      <c r="AD124" s="130">
        <v>4.0</v>
      </c>
      <c r="AE124" s="131" t="s">
        <v>704</v>
      </c>
      <c r="AF124" s="130">
        <v>5.0</v>
      </c>
      <c r="AG124" s="131" t="s">
        <v>704</v>
      </c>
      <c r="AH124" s="132" t="s">
        <v>133</v>
      </c>
      <c r="AI124" s="133" t="s">
        <v>133</v>
      </c>
      <c r="AJ124" s="132" t="s">
        <v>133</v>
      </c>
      <c r="AK124" s="133" t="s">
        <v>133</v>
      </c>
    </row>
    <row r="125" ht="15.75" customHeight="1">
      <c r="A125" s="140" t="s">
        <v>467</v>
      </c>
      <c r="B125" s="54" t="s">
        <v>175</v>
      </c>
      <c r="C125" s="129">
        <v>42.0</v>
      </c>
      <c r="D125" s="130">
        <v>15.0</v>
      </c>
      <c r="E125" s="131" t="s">
        <v>703</v>
      </c>
      <c r="F125" s="130">
        <v>96.0</v>
      </c>
      <c r="G125" s="130">
        <v>20.0</v>
      </c>
      <c r="H125" s="131" t="s">
        <v>703</v>
      </c>
      <c r="I125" s="130">
        <v>6.0</v>
      </c>
      <c r="J125" s="130">
        <v>17.0</v>
      </c>
      <c r="K125" s="131" t="s">
        <v>703</v>
      </c>
      <c r="L125" s="130">
        <v>3.0</v>
      </c>
      <c r="M125" s="130">
        <v>5.0</v>
      </c>
      <c r="N125" s="130" t="s">
        <v>706</v>
      </c>
      <c r="O125" s="130">
        <v>73.0</v>
      </c>
      <c r="P125" s="130">
        <v>10.0</v>
      </c>
      <c r="Q125" s="130" t="s">
        <v>703</v>
      </c>
      <c r="R125" s="130">
        <v>40.0</v>
      </c>
      <c r="S125" s="130" t="s">
        <v>705</v>
      </c>
      <c r="T125" s="130" t="s">
        <v>706</v>
      </c>
      <c r="U125" s="130">
        <v>36.0</v>
      </c>
      <c r="V125" s="130">
        <v>50.0</v>
      </c>
      <c r="W125" s="130" t="s">
        <v>703</v>
      </c>
      <c r="X125" s="130">
        <v>11.0</v>
      </c>
      <c r="Y125" s="130" t="s">
        <v>713</v>
      </c>
      <c r="Z125" s="130" t="s">
        <v>703</v>
      </c>
      <c r="AA125" s="130">
        <v>20.0</v>
      </c>
      <c r="AB125" s="130">
        <v>-1.55</v>
      </c>
      <c r="AC125" s="130" t="s">
        <v>709</v>
      </c>
      <c r="AD125" s="130">
        <v>11.0</v>
      </c>
      <c r="AE125" s="131" t="s">
        <v>710</v>
      </c>
      <c r="AF125" s="130">
        <v>7.0</v>
      </c>
      <c r="AG125" s="131" t="s">
        <v>704</v>
      </c>
      <c r="AH125" s="134">
        <v>9.0</v>
      </c>
      <c r="AI125" s="135" t="s">
        <v>707</v>
      </c>
      <c r="AJ125" s="134">
        <v>9.0</v>
      </c>
      <c r="AK125" s="135" t="s">
        <v>708</v>
      </c>
    </row>
    <row r="126" ht="15.75" customHeight="1">
      <c r="A126" s="140" t="s">
        <v>471</v>
      </c>
      <c r="B126" s="54" t="s">
        <v>175</v>
      </c>
      <c r="C126" s="129">
        <v>54.0</v>
      </c>
      <c r="D126" s="130">
        <v>10.0</v>
      </c>
      <c r="E126" s="131" t="s">
        <v>703</v>
      </c>
      <c r="F126" s="130">
        <v>87.0</v>
      </c>
      <c r="G126" s="130">
        <v>40.0</v>
      </c>
      <c r="H126" s="131" t="s">
        <v>703</v>
      </c>
      <c r="I126" s="130">
        <v>7.0</v>
      </c>
      <c r="J126" s="130">
        <v>28.0</v>
      </c>
      <c r="K126" s="131" t="s">
        <v>703</v>
      </c>
      <c r="L126" s="130">
        <v>5.0</v>
      </c>
      <c r="M126" s="130">
        <v>29.0</v>
      </c>
      <c r="N126" s="130" t="s">
        <v>703</v>
      </c>
      <c r="O126" s="130">
        <v>80.0</v>
      </c>
      <c r="P126" s="130">
        <v>25.0</v>
      </c>
      <c r="Q126" s="130" t="s">
        <v>703</v>
      </c>
      <c r="R126" s="130">
        <v>44.0</v>
      </c>
      <c r="S126" s="130">
        <v>10.0</v>
      </c>
      <c r="T126" s="130" t="s">
        <v>703</v>
      </c>
      <c r="U126" s="130">
        <v>34.0</v>
      </c>
      <c r="V126" s="130">
        <v>55.0</v>
      </c>
      <c r="W126" s="130" t="s">
        <v>703</v>
      </c>
      <c r="X126" s="130">
        <v>6.0</v>
      </c>
      <c r="Y126" s="130">
        <v>90.0</v>
      </c>
      <c r="Z126" s="130" t="s">
        <v>703</v>
      </c>
      <c r="AA126" s="130">
        <v>26.0</v>
      </c>
      <c r="AB126" s="130">
        <v>0.51</v>
      </c>
      <c r="AC126" s="130" t="s">
        <v>703</v>
      </c>
      <c r="AD126" s="130">
        <v>7.0</v>
      </c>
      <c r="AE126" s="131" t="s">
        <v>704</v>
      </c>
      <c r="AF126" s="130">
        <v>15.0</v>
      </c>
      <c r="AG126" s="131" t="s">
        <v>710</v>
      </c>
      <c r="AH126" s="134">
        <v>16.0</v>
      </c>
      <c r="AI126" s="135" t="s">
        <v>711</v>
      </c>
      <c r="AJ126" s="134">
        <v>12.0</v>
      </c>
      <c r="AK126" s="135" t="s">
        <v>707</v>
      </c>
    </row>
    <row r="127" ht="15.75" customHeight="1">
      <c r="A127" s="130" t="s">
        <v>473</v>
      </c>
      <c r="B127" s="130" t="s">
        <v>175</v>
      </c>
      <c r="C127" s="129">
        <v>24.0</v>
      </c>
      <c r="D127" s="130">
        <v>70.0</v>
      </c>
      <c r="E127" s="131" t="s">
        <v>703</v>
      </c>
      <c r="F127" s="130">
        <v>46.0</v>
      </c>
      <c r="G127" s="130">
        <v>80.0</v>
      </c>
      <c r="H127" s="131" t="s">
        <v>703</v>
      </c>
      <c r="I127" s="130">
        <v>6.0</v>
      </c>
      <c r="J127" s="130">
        <v>16.0</v>
      </c>
      <c r="K127" s="131" t="s">
        <v>703</v>
      </c>
      <c r="L127" s="130">
        <v>9.0</v>
      </c>
      <c r="M127" s="130">
        <v>83.0</v>
      </c>
      <c r="N127" s="130" t="s">
        <v>703</v>
      </c>
      <c r="O127" s="130">
        <v>103.0</v>
      </c>
      <c r="P127" s="130">
        <v>60.0</v>
      </c>
      <c r="Q127" s="130" t="s">
        <v>703</v>
      </c>
      <c r="R127" s="130">
        <v>53.0</v>
      </c>
      <c r="S127" s="130">
        <v>10.0</v>
      </c>
      <c r="T127" s="130" t="s">
        <v>709</v>
      </c>
      <c r="U127" s="130">
        <v>36.0</v>
      </c>
      <c r="V127" s="130">
        <v>20.0</v>
      </c>
      <c r="W127" s="130" t="s">
        <v>703</v>
      </c>
      <c r="X127" s="130">
        <v>1.0</v>
      </c>
      <c r="Y127" s="130">
        <v>50.0</v>
      </c>
      <c r="Z127" s="130" t="s">
        <v>703</v>
      </c>
      <c r="AA127" s="130">
        <v>27.0</v>
      </c>
      <c r="AB127" s="130">
        <v>0.5</v>
      </c>
      <c r="AC127" s="130" t="s">
        <v>703</v>
      </c>
      <c r="AD127" s="130">
        <v>4.0</v>
      </c>
      <c r="AE127" s="131" t="s">
        <v>704</v>
      </c>
      <c r="AF127" s="130">
        <v>3.0</v>
      </c>
      <c r="AG127" s="131" t="s">
        <v>704</v>
      </c>
      <c r="AH127" s="132" t="s">
        <v>133</v>
      </c>
      <c r="AI127" s="133" t="s">
        <v>133</v>
      </c>
      <c r="AJ127" s="132" t="s">
        <v>133</v>
      </c>
      <c r="AK127" s="133" t="s">
        <v>133</v>
      </c>
    </row>
    <row r="128" ht="15.75" customHeight="1">
      <c r="A128" s="130" t="s">
        <v>474</v>
      </c>
      <c r="B128" s="130" t="s">
        <v>175</v>
      </c>
      <c r="C128" s="129">
        <v>51.0</v>
      </c>
      <c r="D128" s="130">
        <v>10.0</v>
      </c>
      <c r="E128" s="131" t="s">
        <v>703</v>
      </c>
      <c r="F128" s="130">
        <v>89.0</v>
      </c>
      <c r="G128" s="130">
        <v>20.0</v>
      </c>
      <c r="H128" s="131" t="s">
        <v>703</v>
      </c>
      <c r="I128" s="130">
        <v>7.0</v>
      </c>
      <c r="J128" s="130">
        <v>22.0</v>
      </c>
      <c r="K128" s="131" t="s">
        <v>703</v>
      </c>
      <c r="L128" s="130">
        <v>6.0</v>
      </c>
      <c r="M128" s="130">
        <v>53.0</v>
      </c>
      <c r="N128" s="130" t="s">
        <v>703</v>
      </c>
      <c r="O128" s="130">
        <v>72.0</v>
      </c>
      <c r="P128" s="130" t="s">
        <v>705</v>
      </c>
      <c r="Q128" s="130" t="s">
        <v>706</v>
      </c>
      <c r="R128" s="130">
        <v>57.0</v>
      </c>
      <c r="S128" s="130">
        <v>10.0</v>
      </c>
      <c r="T128" s="130" t="s">
        <v>709</v>
      </c>
      <c r="U128" s="130">
        <v>35.0</v>
      </c>
      <c r="V128" s="130">
        <v>20.0</v>
      </c>
      <c r="W128" s="130" t="s">
        <v>703</v>
      </c>
      <c r="X128" s="130">
        <v>-3.0</v>
      </c>
      <c r="Y128" s="130">
        <v>20.0</v>
      </c>
      <c r="Z128" s="130" t="s">
        <v>703</v>
      </c>
      <c r="AA128" s="130">
        <v>24.0</v>
      </c>
      <c r="AB128" s="130">
        <v>-0.4</v>
      </c>
      <c r="AC128" s="130" t="s">
        <v>703</v>
      </c>
      <c r="AD128" s="130">
        <v>16.0</v>
      </c>
      <c r="AE128" s="131" t="s">
        <v>710</v>
      </c>
      <c r="AF128" s="130">
        <v>13.0</v>
      </c>
      <c r="AG128" s="131" t="s">
        <v>710</v>
      </c>
      <c r="AH128" s="132" t="s">
        <v>133</v>
      </c>
      <c r="AI128" s="133" t="s">
        <v>133</v>
      </c>
      <c r="AJ128" s="132" t="s">
        <v>133</v>
      </c>
      <c r="AK128" s="133" t="s">
        <v>133</v>
      </c>
    </row>
    <row r="129" ht="15.75" customHeight="1">
      <c r="A129" s="130" t="s">
        <v>477</v>
      </c>
      <c r="B129" s="130" t="s">
        <v>175</v>
      </c>
      <c r="C129" s="129">
        <v>33.0</v>
      </c>
      <c r="D129" s="130">
        <v>35.0</v>
      </c>
      <c r="E129" s="131" t="s">
        <v>703</v>
      </c>
      <c r="F129" s="130">
        <v>63.0</v>
      </c>
      <c r="G129" s="130">
        <v>40.0</v>
      </c>
      <c r="H129" s="131" t="s">
        <v>703</v>
      </c>
      <c r="I129" s="130">
        <v>9.0</v>
      </c>
      <c r="J129" s="130">
        <v>64.0</v>
      </c>
      <c r="K129" s="131" t="s">
        <v>703</v>
      </c>
      <c r="L129" s="130">
        <v>7.0</v>
      </c>
      <c r="M129" s="130">
        <v>70.0</v>
      </c>
      <c r="N129" s="130" t="s">
        <v>703</v>
      </c>
      <c r="O129" s="130">
        <v>89.0</v>
      </c>
      <c r="P129" s="130">
        <v>20.0</v>
      </c>
      <c r="Q129" s="130" t="s">
        <v>703</v>
      </c>
      <c r="R129" s="130">
        <v>61.0</v>
      </c>
      <c r="S129" s="130">
        <v>20.0</v>
      </c>
      <c r="T129" s="130" t="s">
        <v>703</v>
      </c>
      <c r="U129" s="130">
        <v>43.0</v>
      </c>
      <c r="V129" s="130">
        <v>50.0</v>
      </c>
      <c r="W129" s="130" t="s">
        <v>703</v>
      </c>
      <c r="X129" s="130">
        <v>7.0</v>
      </c>
      <c r="Y129" s="130">
        <v>80.0</v>
      </c>
      <c r="Z129" s="130" t="s">
        <v>703</v>
      </c>
      <c r="AA129" s="130">
        <v>26.0</v>
      </c>
      <c r="AB129" s="130">
        <v>0.9</v>
      </c>
      <c r="AC129" s="130" t="s">
        <v>703</v>
      </c>
      <c r="AD129" s="130">
        <v>15.0</v>
      </c>
      <c r="AE129" s="131" t="s">
        <v>710</v>
      </c>
      <c r="AF129" s="130">
        <v>15.0</v>
      </c>
      <c r="AG129" s="131" t="s">
        <v>710</v>
      </c>
      <c r="AH129" s="132">
        <v>14.0</v>
      </c>
      <c r="AI129" s="133" t="s">
        <v>707</v>
      </c>
      <c r="AJ129" s="132">
        <v>16.0</v>
      </c>
      <c r="AK129" s="133" t="s">
        <v>711</v>
      </c>
    </row>
    <row r="130" ht="15.75" customHeight="1">
      <c r="A130" s="130" t="s">
        <v>478</v>
      </c>
      <c r="B130" s="130" t="s">
        <v>175</v>
      </c>
      <c r="C130" s="129">
        <v>34.0</v>
      </c>
      <c r="D130" s="130">
        <v>30.0</v>
      </c>
      <c r="E130" s="131" t="s">
        <v>703</v>
      </c>
      <c r="F130" s="130">
        <v>90.0</v>
      </c>
      <c r="G130" s="130">
        <v>20.0</v>
      </c>
      <c r="H130" s="131" t="s">
        <v>703</v>
      </c>
      <c r="I130" s="130">
        <v>5.0</v>
      </c>
      <c r="J130" s="130">
        <v>4.0</v>
      </c>
      <c r="K130" s="131" t="s">
        <v>706</v>
      </c>
      <c r="L130" s="130">
        <v>5.0</v>
      </c>
      <c r="M130" s="130">
        <v>29.0</v>
      </c>
      <c r="N130" s="130" t="s">
        <v>703</v>
      </c>
      <c r="O130" s="130">
        <v>102.0</v>
      </c>
      <c r="P130" s="130">
        <v>60.0</v>
      </c>
      <c r="Q130" s="130" t="s">
        <v>703</v>
      </c>
      <c r="R130" s="130">
        <v>54.0</v>
      </c>
      <c r="S130" s="130">
        <v>10.0</v>
      </c>
      <c r="T130" s="130" t="s">
        <v>709</v>
      </c>
      <c r="U130" s="130">
        <v>22.0</v>
      </c>
      <c r="V130" s="130" t="s">
        <v>705</v>
      </c>
      <c r="W130" s="130" t="s">
        <v>706</v>
      </c>
      <c r="X130" s="130">
        <v>-13.0</v>
      </c>
      <c r="Y130" s="130" t="s">
        <v>705</v>
      </c>
      <c r="Z130" s="130" t="s">
        <v>706</v>
      </c>
      <c r="AA130" s="130">
        <v>27.0</v>
      </c>
      <c r="AB130" s="130">
        <v>0.5</v>
      </c>
      <c r="AC130" s="130" t="s">
        <v>703</v>
      </c>
      <c r="AD130" s="130">
        <v>13.0</v>
      </c>
      <c r="AE130" s="131" t="s">
        <v>710</v>
      </c>
      <c r="AF130" s="130">
        <v>14.0</v>
      </c>
      <c r="AG130" s="131" t="s">
        <v>710</v>
      </c>
      <c r="AH130" s="132" t="s">
        <v>133</v>
      </c>
      <c r="AI130" s="133" t="s">
        <v>133</v>
      </c>
      <c r="AJ130" s="132" t="s">
        <v>133</v>
      </c>
      <c r="AK130" s="133" t="s">
        <v>133</v>
      </c>
    </row>
    <row r="131" ht="15.75" customHeight="1">
      <c r="A131" s="130" t="s">
        <v>480</v>
      </c>
      <c r="B131" s="130" t="s">
        <v>175</v>
      </c>
      <c r="C131" s="129">
        <v>56.0</v>
      </c>
      <c r="D131" s="130">
        <v>6.0</v>
      </c>
      <c r="E131" s="131" t="s">
        <v>703</v>
      </c>
      <c r="F131" s="130">
        <v>112.0</v>
      </c>
      <c r="G131" s="130">
        <v>10.0</v>
      </c>
      <c r="H131" s="131" t="s">
        <v>703</v>
      </c>
      <c r="I131" s="130">
        <v>4.0</v>
      </c>
      <c r="J131" s="130">
        <v>1.0</v>
      </c>
      <c r="K131" s="131" t="s">
        <v>706</v>
      </c>
      <c r="L131" s="130">
        <v>2.0</v>
      </c>
      <c r="M131" s="130">
        <v>1.0</v>
      </c>
      <c r="N131" s="130" t="s">
        <v>706</v>
      </c>
      <c r="O131" s="130">
        <v>82.0</v>
      </c>
      <c r="P131" s="130">
        <v>15.0</v>
      </c>
      <c r="Q131" s="130" t="s">
        <v>703</v>
      </c>
      <c r="R131" s="130">
        <v>45.0</v>
      </c>
      <c r="S131" s="130" t="s">
        <v>705</v>
      </c>
      <c r="T131" s="130" t="s">
        <v>706</v>
      </c>
      <c r="U131" s="130">
        <v>28.0</v>
      </c>
      <c r="V131" s="130">
        <v>10.0</v>
      </c>
      <c r="W131" s="130" t="s">
        <v>703</v>
      </c>
      <c r="X131" s="130">
        <v>-1.0</v>
      </c>
      <c r="Y131" s="130">
        <v>40.0</v>
      </c>
      <c r="Z131" s="130" t="s">
        <v>703</v>
      </c>
      <c r="AA131" s="130">
        <v>22.0</v>
      </c>
      <c r="AB131" s="130">
        <v>-1.03</v>
      </c>
      <c r="AC131" s="130" t="s">
        <v>709</v>
      </c>
      <c r="AD131" s="130">
        <v>10.0</v>
      </c>
      <c r="AE131" s="131" t="s">
        <v>712</v>
      </c>
      <c r="AF131" s="130">
        <v>11.0</v>
      </c>
      <c r="AG131" s="131" t="s">
        <v>710</v>
      </c>
      <c r="AH131" s="132" t="s">
        <v>133</v>
      </c>
      <c r="AI131" s="133" t="s">
        <v>133</v>
      </c>
      <c r="AJ131" s="132" t="s">
        <v>133</v>
      </c>
      <c r="AK131" s="133" t="s">
        <v>133</v>
      </c>
    </row>
    <row r="132" ht="15.75" customHeight="1">
      <c r="A132" s="130" t="s">
        <v>484</v>
      </c>
      <c r="B132" s="130" t="s">
        <v>175</v>
      </c>
      <c r="C132" s="129">
        <v>32.0</v>
      </c>
      <c r="D132" s="130">
        <v>55.0</v>
      </c>
      <c r="E132" s="131" t="s">
        <v>703</v>
      </c>
      <c r="F132" s="130">
        <v>94.0</v>
      </c>
      <c r="G132" s="130">
        <v>35.0</v>
      </c>
      <c r="H132" s="131" t="s">
        <v>703</v>
      </c>
      <c r="I132" s="130">
        <v>9.0</v>
      </c>
      <c r="J132" s="130">
        <v>70.0</v>
      </c>
      <c r="K132" s="131" t="s">
        <v>703</v>
      </c>
      <c r="L132" s="130">
        <v>5.0</v>
      </c>
      <c r="M132" s="130">
        <v>31.0</v>
      </c>
      <c r="N132" s="130" t="s">
        <v>703</v>
      </c>
      <c r="O132" s="130">
        <v>113.0</v>
      </c>
      <c r="P132" s="130">
        <v>90.0</v>
      </c>
      <c r="Q132" s="130" t="s">
        <v>703</v>
      </c>
      <c r="R132" s="130">
        <v>61.0</v>
      </c>
      <c r="S132" s="130">
        <v>30.0</v>
      </c>
      <c r="T132" s="130" t="s">
        <v>703</v>
      </c>
      <c r="U132" s="130">
        <v>41.0</v>
      </c>
      <c r="V132" s="130">
        <v>60.0</v>
      </c>
      <c r="W132" s="130" t="s">
        <v>703</v>
      </c>
      <c r="X132" s="130">
        <v>-3.0</v>
      </c>
      <c r="Y132" s="130">
        <v>40.0</v>
      </c>
      <c r="Z132" s="130" t="s">
        <v>703</v>
      </c>
      <c r="AA132" s="130">
        <v>26.0</v>
      </c>
      <c r="AB132" s="130">
        <v>0.2</v>
      </c>
      <c r="AC132" s="130" t="s">
        <v>703</v>
      </c>
      <c r="AD132" s="130">
        <v>3.0</v>
      </c>
      <c r="AE132" s="131" t="s">
        <v>704</v>
      </c>
      <c r="AF132" s="130">
        <v>3.0</v>
      </c>
      <c r="AG132" s="131" t="s">
        <v>704</v>
      </c>
      <c r="AH132" s="132">
        <v>2.0</v>
      </c>
      <c r="AI132" s="131" t="s">
        <v>704</v>
      </c>
      <c r="AJ132" s="132">
        <v>0.0</v>
      </c>
      <c r="AK132" s="131" t="s">
        <v>704</v>
      </c>
    </row>
    <row r="133" ht="15.75" customHeight="1">
      <c r="A133" s="130" t="s">
        <v>488</v>
      </c>
      <c r="B133" s="130" t="s">
        <v>175</v>
      </c>
      <c r="C133" s="129">
        <v>34.0</v>
      </c>
      <c r="D133" s="130">
        <v>30.0</v>
      </c>
      <c r="E133" s="131" t="s">
        <v>703</v>
      </c>
      <c r="F133" s="130">
        <v>73.0</v>
      </c>
      <c r="G133" s="130">
        <v>30.0</v>
      </c>
      <c r="H133" s="131" t="s">
        <v>703</v>
      </c>
      <c r="I133" s="130">
        <v>5.0</v>
      </c>
      <c r="J133" s="130">
        <v>3.0</v>
      </c>
      <c r="K133" s="131" t="s">
        <v>706</v>
      </c>
      <c r="L133" s="130">
        <v>6.0</v>
      </c>
      <c r="M133" s="130">
        <v>53.0</v>
      </c>
      <c r="N133" s="130" t="s">
        <v>703</v>
      </c>
      <c r="O133" s="130">
        <v>70.0</v>
      </c>
      <c r="P133" s="130" t="s">
        <v>705</v>
      </c>
      <c r="Q133" s="130" t="s">
        <v>706</v>
      </c>
      <c r="R133" s="130">
        <v>58.0</v>
      </c>
      <c r="S133" s="130">
        <v>10.0</v>
      </c>
      <c r="T133" s="130" t="s">
        <v>709</v>
      </c>
      <c r="U133" s="130">
        <v>41.0</v>
      </c>
      <c r="V133" s="130">
        <v>30.0</v>
      </c>
      <c r="W133" s="130" t="s">
        <v>703</v>
      </c>
      <c r="X133" s="130">
        <v>10.0</v>
      </c>
      <c r="Y133" s="130">
        <v>85.0</v>
      </c>
      <c r="Z133" s="130" t="s">
        <v>703</v>
      </c>
      <c r="AA133" s="130">
        <v>25.0</v>
      </c>
      <c r="AB133" s="130">
        <v>-0.09</v>
      </c>
      <c r="AC133" s="130" t="s">
        <v>703</v>
      </c>
      <c r="AD133" s="130">
        <v>12.0</v>
      </c>
      <c r="AE133" s="131" t="s">
        <v>710</v>
      </c>
      <c r="AF133" s="130">
        <v>6.0</v>
      </c>
      <c r="AG133" s="131" t="s">
        <v>704</v>
      </c>
      <c r="AH133" s="134">
        <v>3.0</v>
      </c>
      <c r="AI133" s="135" t="s">
        <v>704</v>
      </c>
      <c r="AJ133" s="134">
        <v>13.0</v>
      </c>
      <c r="AK133" s="135" t="s">
        <v>707</v>
      </c>
    </row>
    <row r="134" ht="15.75" customHeight="1">
      <c r="A134" s="130" t="s">
        <v>490</v>
      </c>
      <c r="B134" s="130" t="s">
        <v>175</v>
      </c>
      <c r="C134" s="129">
        <v>38.0</v>
      </c>
      <c r="D134" s="130">
        <v>35.0</v>
      </c>
      <c r="E134" s="131" t="s">
        <v>703</v>
      </c>
      <c r="F134" s="130">
        <v>75.0</v>
      </c>
      <c r="G134" s="130">
        <v>60.0</v>
      </c>
      <c r="H134" s="131" t="s">
        <v>703</v>
      </c>
      <c r="I134" s="130">
        <v>7.0</v>
      </c>
      <c r="J134" s="130">
        <v>28.0</v>
      </c>
      <c r="K134" s="131" t="s">
        <v>703</v>
      </c>
      <c r="L134" s="130">
        <v>6.0</v>
      </c>
      <c r="M134" s="130">
        <v>51.0</v>
      </c>
      <c r="N134" s="130" t="s">
        <v>703</v>
      </c>
      <c r="O134" s="130">
        <v>108.0</v>
      </c>
      <c r="P134" s="130">
        <v>80.0</v>
      </c>
      <c r="Q134" s="130" t="s">
        <v>703</v>
      </c>
      <c r="R134" s="130">
        <v>79.0</v>
      </c>
      <c r="S134" s="130">
        <v>80.0</v>
      </c>
      <c r="T134" s="130" t="s">
        <v>703</v>
      </c>
      <c r="U134" s="130">
        <v>35.0</v>
      </c>
      <c r="V134" s="130">
        <v>30.0</v>
      </c>
      <c r="W134" s="130" t="s">
        <v>703</v>
      </c>
      <c r="X134" s="130">
        <v>-10.0</v>
      </c>
      <c r="Y134" s="130">
        <v>5.0</v>
      </c>
      <c r="Z134" s="130" t="s">
        <v>706</v>
      </c>
      <c r="AA134" s="130">
        <v>29.0</v>
      </c>
      <c r="AB134" s="130">
        <v>1.1</v>
      </c>
      <c r="AC134" s="130" t="s">
        <v>703</v>
      </c>
      <c r="AD134" s="130">
        <v>6.0</v>
      </c>
      <c r="AE134" s="131" t="s">
        <v>704</v>
      </c>
      <c r="AF134" s="130">
        <v>2.0</v>
      </c>
      <c r="AG134" s="131" t="s">
        <v>704</v>
      </c>
      <c r="AH134" s="132" t="s">
        <v>133</v>
      </c>
      <c r="AI134" s="133" t="s">
        <v>133</v>
      </c>
      <c r="AJ134" s="132" t="s">
        <v>133</v>
      </c>
      <c r="AK134" s="133" t="s">
        <v>133</v>
      </c>
    </row>
    <row r="135" ht="15.75" customHeight="1">
      <c r="A135" s="130" t="s">
        <v>491</v>
      </c>
      <c r="B135" s="130" t="s">
        <v>175</v>
      </c>
      <c r="C135" s="129">
        <v>51.0</v>
      </c>
      <c r="D135" s="130">
        <v>10.0</v>
      </c>
      <c r="E135" s="131" t="s">
        <v>709</v>
      </c>
      <c r="F135" s="130">
        <v>122.0</v>
      </c>
      <c r="G135" s="130">
        <v>10.0</v>
      </c>
      <c r="H135" s="131" t="s">
        <v>709</v>
      </c>
      <c r="I135" s="130">
        <v>8.0</v>
      </c>
      <c r="J135" s="130">
        <v>51.0</v>
      </c>
      <c r="K135" s="131" t="s">
        <v>703</v>
      </c>
      <c r="L135" s="130">
        <v>5.0</v>
      </c>
      <c r="M135" s="130">
        <v>31.0</v>
      </c>
      <c r="N135" s="130" t="s">
        <v>703</v>
      </c>
      <c r="O135" s="130">
        <v>95.0</v>
      </c>
      <c r="P135" s="130">
        <v>50.0</v>
      </c>
      <c r="Q135" s="130" t="s">
        <v>703</v>
      </c>
      <c r="R135" s="130">
        <v>52.0</v>
      </c>
      <c r="S135" s="130">
        <v>15.0</v>
      </c>
      <c r="T135" s="130" t="s">
        <v>703</v>
      </c>
      <c r="U135" s="130">
        <v>32.0</v>
      </c>
      <c r="V135" s="130">
        <v>20.0</v>
      </c>
      <c r="W135" s="130" t="s">
        <v>703</v>
      </c>
      <c r="X135" s="130">
        <v>-1.0</v>
      </c>
      <c r="Y135" s="130">
        <v>50.0</v>
      </c>
      <c r="Z135" s="130" t="s">
        <v>703</v>
      </c>
      <c r="AA135" s="130">
        <v>25.0</v>
      </c>
      <c r="AB135" s="130">
        <v>-0.09</v>
      </c>
      <c r="AC135" s="130" t="s">
        <v>703</v>
      </c>
      <c r="AD135" s="130">
        <v>11.0</v>
      </c>
      <c r="AE135" s="131" t="s">
        <v>710</v>
      </c>
      <c r="AF135" s="130">
        <v>9.0</v>
      </c>
      <c r="AG135" s="131" t="s">
        <v>712</v>
      </c>
      <c r="AH135" s="132">
        <v>8.0</v>
      </c>
      <c r="AI135" s="133" t="s">
        <v>708</v>
      </c>
      <c r="AJ135" s="132">
        <v>10.0</v>
      </c>
      <c r="AK135" s="133" t="s">
        <v>707</v>
      </c>
    </row>
    <row r="136" ht="15.75" customHeight="1">
      <c r="A136" s="130" t="s">
        <v>492</v>
      </c>
      <c r="B136" s="130" t="s">
        <v>175</v>
      </c>
      <c r="C136" s="129">
        <v>52.0</v>
      </c>
      <c r="D136" s="130">
        <v>10.0</v>
      </c>
      <c r="E136" s="131" t="s">
        <v>703</v>
      </c>
      <c r="F136" s="130">
        <v>98.0</v>
      </c>
      <c r="G136" s="130">
        <v>30.0</v>
      </c>
      <c r="H136" s="131" t="s">
        <v>703</v>
      </c>
      <c r="I136" s="130">
        <v>4.0</v>
      </c>
      <c r="J136" s="130">
        <v>1.0</v>
      </c>
      <c r="K136" s="131" t="s">
        <v>706</v>
      </c>
      <c r="L136" s="130">
        <v>4.0</v>
      </c>
      <c r="M136" s="130">
        <v>12.0</v>
      </c>
      <c r="N136" s="130" t="s">
        <v>703</v>
      </c>
      <c r="O136" s="130">
        <v>75.0</v>
      </c>
      <c r="P136" s="130">
        <v>5.0</v>
      </c>
      <c r="Q136" s="130" t="s">
        <v>706</v>
      </c>
      <c r="R136" s="130">
        <v>60.0</v>
      </c>
      <c r="S136" s="130">
        <v>20.0</v>
      </c>
      <c r="T136" s="130" t="s">
        <v>703</v>
      </c>
      <c r="U136" s="130">
        <v>34.0</v>
      </c>
      <c r="V136" s="130">
        <v>20.0</v>
      </c>
      <c r="W136" s="130" t="s">
        <v>703</v>
      </c>
      <c r="X136" s="130">
        <v>1.0</v>
      </c>
      <c r="Y136" s="130">
        <v>50.0</v>
      </c>
      <c r="Z136" s="130" t="s">
        <v>703</v>
      </c>
      <c r="AA136" s="130">
        <v>24.0</v>
      </c>
      <c r="AB136" s="130">
        <v>-0.4</v>
      </c>
      <c r="AC136" s="130" t="s">
        <v>703</v>
      </c>
      <c r="AD136" s="130">
        <v>6.0</v>
      </c>
      <c r="AE136" s="131" t="s">
        <v>704</v>
      </c>
      <c r="AF136" s="130">
        <v>3.0</v>
      </c>
      <c r="AG136" s="131" t="s">
        <v>704</v>
      </c>
      <c r="AH136" s="134">
        <v>9.0</v>
      </c>
      <c r="AI136" s="135" t="s">
        <v>707</v>
      </c>
      <c r="AJ136" s="134">
        <v>13.0</v>
      </c>
      <c r="AK136" s="135" t="s">
        <v>707</v>
      </c>
    </row>
    <row r="137" ht="15.75" customHeight="1">
      <c r="A137" s="130" t="s">
        <v>494</v>
      </c>
      <c r="B137" s="130" t="s">
        <v>175</v>
      </c>
      <c r="C137" s="129">
        <v>53.0</v>
      </c>
      <c r="D137" s="130">
        <v>10.0</v>
      </c>
      <c r="E137" s="131" t="s">
        <v>703</v>
      </c>
      <c r="F137" s="130">
        <v>79.0</v>
      </c>
      <c r="G137" s="130">
        <v>50.0</v>
      </c>
      <c r="H137" s="131" t="s">
        <v>703</v>
      </c>
      <c r="I137" s="130">
        <v>5.0</v>
      </c>
      <c r="J137" s="130">
        <v>4.0</v>
      </c>
      <c r="K137" s="131" t="s">
        <v>706</v>
      </c>
      <c r="L137" s="130">
        <v>4.0</v>
      </c>
      <c r="M137" s="130">
        <v>12.0</v>
      </c>
      <c r="N137" s="130" t="s">
        <v>703</v>
      </c>
      <c r="O137" s="130">
        <v>92.0</v>
      </c>
      <c r="P137" s="130">
        <v>40.0</v>
      </c>
      <c r="Q137" s="130" t="s">
        <v>703</v>
      </c>
      <c r="R137" s="130">
        <v>47.0</v>
      </c>
      <c r="S137" s="130">
        <v>5.0</v>
      </c>
      <c r="T137" s="130" t="s">
        <v>706</v>
      </c>
      <c r="U137" s="130">
        <v>33.0</v>
      </c>
      <c r="V137" s="130">
        <v>25.0</v>
      </c>
      <c r="W137" s="130" t="s">
        <v>703</v>
      </c>
      <c r="X137" s="130">
        <v>2.0</v>
      </c>
      <c r="Y137" s="130">
        <v>60.0</v>
      </c>
      <c r="Z137" s="130" t="s">
        <v>703</v>
      </c>
      <c r="AA137" s="130">
        <v>25.0</v>
      </c>
      <c r="AB137" s="130">
        <v>0.2</v>
      </c>
      <c r="AC137" s="130" t="s">
        <v>703</v>
      </c>
      <c r="AD137" s="130">
        <v>10.0</v>
      </c>
      <c r="AE137" s="131" t="s">
        <v>712</v>
      </c>
      <c r="AF137" s="130">
        <v>5.0</v>
      </c>
      <c r="AG137" s="131" t="s">
        <v>704</v>
      </c>
      <c r="AH137" s="132" t="s">
        <v>133</v>
      </c>
      <c r="AI137" s="133" t="s">
        <v>133</v>
      </c>
      <c r="AJ137" s="132" t="s">
        <v>133</v>
      </c>
      <c r="AK137" s="133" t="s">
        <v>133</v>
      </c>
    </row>
    <row r="138" ht="15.75" customHeight="1">
      <c r="A138" s="130" t="s">
        <v>497</v>
      </c>
      <c r="B138" s="130" t="s">
        <v>175</v>
      </c>
      <c r="C138" s="129">
        <v>26.0</v>
      </c>
      <c r="D138" s="130">
        <v>80.0</v>
      </c>
      <c r="E138" s="131" t="s">
        <v>703</v>
      </c>
      <c r="F138" s="130">
        <v>67.0</v>
      </c>
      <c r="G138" s="130">
        <v>75.0</v>
      </c>
      <c r="H138" s="131" t="s">
        <v>703</v>
      </c>
      <c r="I138" s="130">
        <v>7.0</v>
      </c>
      <c r="J138" s="130">
        <v>28.0</v>
      </c>
      <c r="K138" s="131" t="s">
        <v>703</v>
      </c>
      <c r="L138" s="130">
        <v>6.0</v>
      </c>
      <c r="M138" s="130">
        <v>51.0</v>
      </c>
      <c r="N138" s="130" t="s">
        <v>703</v>
      </c>
      <c r="O138" s="130">
        <v>107.0</v>
      </c>
      <c r="P138" s="130">
        <v>85.0</v>
      </c>
      <c r="Q138" s="130" t="s">
        <v>703</v>
      </c>
      <c r="R138" s="130">
        <v>68.0</v>
      </c>
      <c r="S138" s="130">
        <v>70.0</v>
      </c>
      <c r="T138" s="130" t="s">
        <v>703</v>
      </c>
      <c r="U138" s="130">
        <v>37.0</v>
      </c>
      <c r="V138" s="130">
        <v>60.0</v>
      </c>
      <c r="W138" s="130" t="s">
        <v>703</v>
      </c>
      <c r="X138" s="130">
        <v>-4.0</v>
      </c>
      <c r="Y138" s="130">
        <v>40.0</v>
      </c>
      <c r="Z138" s="130" t="s">
        <v>703</v>
      </c>
      <c r="AA138" s="130">
        <v>29.0</v>
      </c>
      <c r="AB138" s="130">
        <v>1.5</v>
      </c>
      <c r="AC138" s="130" t="s">
        <v>703</v>
      </c>
      <c r="AD138" s="130">
        <v>16.0</v>
      </c>
      <c r="AE138" s="131" t="s">
        <v>710</v>
      </c>
      <c r="AF138" s="130">
        <v>10.0</v>
      </c>
      <c r="AG138" s="131" t="s">
        <v>712</v>
      </c>
      <c r="AH138" s="132" t="s">
        <v>133</v>
      </c>
      <c r="AI138" s="133" t="s">
        <v>133</v>
      </c>
      <c r="AJ138" s="132" t="s">
        <v>133</v>
      </c>
      <c r="AK138" s="133" t="s">
        <v>133</v>
      </c>
    </row>
    <row r="139" ht="15.75" customHeight="1">
      <c r="A139" s="130" t="s">
        <v>500</v>
      </c>
      <c r="B139" s="130" t="s">
        <v>175</v>
      </c>
      <c r="C139" s="141">
        <v>25.0</v>
      </c>
      <c r="D139" s="134">
        <v>66.0</v>
      </c>
      <c r="E139" s="131" t="s">
        <v>703</v>
      </c>
      <c r="F139" s="134">
        <v>84.0</v>
      </c>
      <c r="G139" s="134">
        <v>5.0</v>
      </c>
      <c r="H139" s="131" t="s">
        <v>703</v>
      </c>
      <c r="I139" s="134">
        <v>6.0</v>
      </c>
      <c r="J139" s="134">
        <v>16.0</v>
      </c>
      <c r="K139" s="131" t="s">
        <v>703</v>
      </c>
      <c r="L139" s="134">
        <v>7.0</v>
      </c>
      <c r="M139" s="134">
        <v>70.0</v>
      </c>
      <c r="N139" s="130" t="s">
        <v>703</v>
      </c>
      <c r="O139" s="134">
        <v>94.0</v>
      </c>
      <c r="P139" s="134">
        <v>35.0</v>
      </c>
      <c r="Q139" s="130" t="s">
        <v>703</v>
      </c>
      <c r="R139" s="134">
        <v>67.0</v>
      </c>
      <c r="S139" s="134">
        <v>35.0</v>
      </c>
      <c r="T139" s="130" t="s">
        <v>703</v>
      </c>
      <c r="U139" s="134">
        <v>40.0</v>
      </c>
      <c r="V139" s="134">
        <v>35.0</v>
      </c>
      <c r="W139" s="130" t="s">
        <v>703</v>
      </c>
      <c r="X139" s="134">
        <v>1.0</v>
      </c>
      <c r="Y139" s="134">
        <v>45.0</v>
      </c>
      <c r="Z139" s="130" t="s">
        <v>703</v>
      </c>
      <c r="AA139" s="134">
        <v>30.0</v>
      </c>
      <c r="AB139" s="134">
        <v>1.4</v>
      </c>
      <c r="AC139" s="130" t="s">
        <v>703</v>
      </c>
      <c r="AD139" s="130" t="s">
        <v>133</v>
      </c>
      <c r="AE139" s="131" t="s">
        <v>133</v>
      </c>
      <c r="AF139" s="130" t="s">
        <v>133</v>
      </c>
      <c r="AG139" s="131" t="s">
        <v>133</v>
      </c>
      <c r="AH139" s="134">
        <v>6.0</v>
      </c>
      <c r="AI139" s="135" t="s">
        <v>708</v>
      </c>
      <c r="AJ139" s="134">
        <v>4.0</v>
      </c>
      <c r="AK139" s="135" t="s">
        <v>704</v>
      </c>
    </row>
    <row r="140" ht="15.75" customHeight="1">
      <c r="A140" s="130" t="s">
        <v>503</v>
      </c>
      <c r="B140" s="130" t="s">
        <v>175</v>
      </c>
      <c r="C140" s="141">
        <v>31.0</v>
      </c>
      <c r="D140" s="134">
        <v>75.0</v>
      </c>
      <c r="E140" s="131" t="s">
        <v>703</v>
      </c>
      <c r="F140" s="134">
        <v>61.0</v>
      </c>
      <c r="G140" s="134">
        <v>90.0</v>
      </c>
      <c r="H140" s="131" t="s">
        <v>703</v>
      </c>
      <c r="I140" s="134">
        <v>5.0</v>
      </c>
      <c r="J140" s="134">
        <v>3.0</v>
      </c>
      <c r="K140" s="133" t="s">
        <v>706</v>
      </c>
      <c r="L140" s="134">
        <v>4.0</v>
      </c>
      <c r="M140" s="134">
        <v>9.0</v>
      </c>
      <c r="N140" s="132" t="s">
        <v>709</v>
      </c>
      <c r="O140" s="134">
        <v>91.0</v>
      </c>
      <c r="P140" s="134">
        <v>40.0</v>
      </c>
      <c r="Q140" s="130" t="s">
        <v>703</v>
      </c>
      <c r="R140" s="134">
        <v>67.0</v>
      </c>
      <c r="S140" s="134">
        <v>60.0</v>
      </c>
      <c r="T140" s="130" t="s">
        <v>703</v>
      </c>
      <c r="U140" s="134">
        <v>44.0</v>
      </c>
      <c r="V140" s="134">
        <v>80.0</v>
      </c>
      <c r="W140" s="130" t="s">
        <v>703</v>
      </c>
      <c r="X140" s="134">
        <v>6.0</v>
      </c>
      <c r="Y140" s="134">
        <v>85.0</v>
      </c>
      <c r="Z140" s="130" t="s">
        <v>703</v>
      </c>
      <c r="AA140" s="134">
        <v>29.0</v>
      </c>
      <c r="AB140" s="134">
        <v>0.5</v>
      </c>
      <c r="AC140" s="130" t="s">
        <v>703</v>
      </c>
      <c r="AD140" s="130" t="s">
        <v>133</v>
      </c>
      <c r="AE140" s="131" t="s">
        <v>133</v>
      </c>
      <c r="AF140" s="130" t="s">
        <v>133</v>
      </c>
      <c r="AG140" s="131" t="s">
        <v>133</v>
      </c>
      <c r="AH140" s="134">
        <v>7.0</v>
      </c>
      <c r="AI140" s="135" t="s">
        <v>708</v>
      </c>
      <c r="AJ140" s="134">
        <v>9.0</v>
      </c>
      <c r="AK140" s="135" t="s">
        <v>708</v>
      </c>
    </row>
    <row r="141" ht="15.75" customHeight="1">
      <c r="A141" s="130" t="s">
        <v>506</v>
      </c>
      <c r="B141" s="130" t="s">
        <v>175</v>
      </c>
      <c r="C141" s="141">
        <v>28.0</v>
      </c>
      <c r="D141" s="134">
        <v>55.0</v>
      </c>
      <c r="E141" s="131" t="s">
        <v>703</v>
      </c>
      <c r="F141" s="134">
        <v>71.0</v>
      </c>
      <c r="G141" s="134">
        <v>30.0</v>
      </c>
      <c r="H141" s="131" t="s">
        <v>703</v>
      </c>
      <c r="I141" s="134">
        <v>5.0</v>
      </c>
      <c r="J141" s="134">
        <v>3.0</v>
      </c>
      <c r="K141" s="133" t="s">
        <v>706</v>
      </c>
      <c r="L141" s="134">
        <v>5.0</v>
      </c>
      <c r="M141" s="134">
        <v>7.0</v>
      </c>
      <c r="N141" s="130" t="s">
        <v>703</v>
      </c>
      <c r="O141" s="134">
        <v>79.0</v>
      </c>
      <c r="P141" s="134">
        <v>15.0</v>
      </c>
      <c r="Q141" s="130" t="s">
        <v>703</v>
      </c>
      <c r="R141" s="134">
        <v>58.0</v>
      </c>
      <c r="S141" s="134">
        <v>30.0</v>
      </c>
      <c r="T141" s="130" t="s">
        <v>703</v>
      </c>
      <c r="U141" s="134">
        <v>9.0</v>
      </c>
      <c r="V141" s="134">
        <v>0.0</v>
      </c>
      <c r="W141" s="130" t="s">
        <v>703</v>
      </c>
      <c r="X141" s="134">
        <v>-4.0</v>
      </c>
      <c r="Y141" s="134">
        <v>35.0</v>
      </c>
      <c r="Z141" s="130" t="s">
        <v>703</v>
      </c>
      <c r="AA141" s="134">
        <v>23.0</v>
      </c>
      <c r="AB141" s="134">
        <v>-0.5</v>
      </c>
      <c r="AC141" s="130" t="s">
        <v>703</v>
      </c>
      <c r="AD141" s="130" t="s">
        <v>133</v>
      </c>
      <c r="AE141" s="131" t="s">
        <v>133</v>
      </c>
      <c r="AF141" s="130" t="s">
        <v>133</v>
      </c>
      <c r="AG141" s="131" t="s">
        <v>133</v>
      </c>
      <c r="AH141" s="134">
        <v>4.0</v>
      </c>
      <c r="AI141" s="135" t="s">
        <v>704</v>
      </c>
      <c r="AJ141" s="134">
        <v>15.0</v>
      </c>
      <c r="AK141" s="135" t="s">
        <v>711</v>
      </c>
    </row>
    <row r="142" ht="15.75" customHeight="1">
      <c r="A142" s="130" t="s">
        <v>510</v>
      </c>
      <c r="B142" s="130" t="s">
        <v>175</v>
      </c>
      <c r="C142" s="141">
        <v>43.0</v>
      </c>
      <c r="D142" s="134">
        <v>15.0</v>
      </c>
      <c r="E142" s="131" t="s">
        <v>703</v>
      </c>
      <c r="F142" s="134">
        <v>79.0</v>
      </c>
      <c r="G142" s="134">
        <v>5.0</v>
      </c>
      <c r="H142" s="131" t="s">
        <v>703</v>
      </c>
      <c r="I142" s="134">
        <v>8.0</v>
      </c>
      <c r="J142" s="134">
        <v>50.0</v>
      </c>
      <c r="K142" s="131" t="s">
        <v>703</v>
      </c>
      <c r="L142" s="134">
        <v>7.0</v>
      </c>
      <c r="M142" s="134">
        <v>70.0</v>
      </c>
      <c r="N142" s="130" t="s">
        <v>703</v>
      </c>
      <c r="O142" s="134">
        <v>115.0</v>
      </c>
      <c r="P142" s="134">
        <v>85.0</v>
      </c>
      <c r="Q142" s="130" t="s">
        <v>703</v>
      </c>
      <c r="R142" s="134">
        <v>87.0</v>
      </c>
      <c r="S142" s="134">
        <v>90.0</v>
      </c>
      <c r="T142" s="130" t="s">
        <v>703</v>
      </c>
      <c r="U142" s="134">
        <v>60.0</v>
      </c>
      <c r="V142" s="134">
        <v>95.0</v>
      </c>
      <c r="W142" s="130" t="s">
        <v>703</v>
      </c>
      <c r="X142" s="134">
        <v>11.0</v>
      </c>
      <c r="Y142" s="134">
        <v>90.0</v>
      </c>
      <c r="Z142" s="130" t="s">
        <v>703</v>
      </c>
      <c r="AA142" s="134">
        <v>29.0</v>
      </c>
      <c r="AB142" s="134">
        <v>1.5</v>
      </c>
      <c r="AC142" s="130" t="s">
        <v>703</v>
      </c>
      <c r="AD142" s="130" t="s">
        <v>133</v>
      </c>
      <c r="AE142" s="131" t="s">
        <v>133</v>
      </c>
      <c r="AF142" s="130" t="s">
        <v>133</v>
      </c>
      <c r="AG142" s="131" t="s">
        <v>133</v>
      </c>
      <c r="AH142" s="134">
        <v>10.0</v>
      </c>
      <c r="AI142" s="135" t="s">
        <v>707</v>
      </c>
      <c r="AJ142" s="134">
        <v>3.0</v>
      </c>
      <c r="AK142" s="135" t="s">
        <v>704</v>
      </c>
    </row>
    <row r="143" ht="15.75" customHeight="1">
      <c r="A143" s="130" t="s">
        <v>512</v>
      </c>
      <c r="B143" s="130" t="s">
        <v>175</v>
      </c>
      <c r="C143" s="141">
        <v>30.0</v>
      </c>
      <c r="D143" s="134">
        <v>40.0</v>
      </c>
      <c r="E143" s="131" t="s">
        <v>703</v>
      </c>
      <c r="F143" s="134">
        <v>53.0</v>
      </c>
      <c r="G143" s="134">
        <v>65.0</v>
      </c>
      <c r="H143" s="131" t="s">
        <v>703</v>
      </c>
      <c r="I143" s="134">
        <v>9.0</v>
      </c>
      <c r="J143" s="134">
        <v>64.0</v>
      </c>
      <c r="K143" s="131" t="s">
        <v>703</v>
      </c>
      <c r="L143" s="134">
        <v>10.0</v>
      </c>
      <c r="M143" s="134">
        <v>92.0</v>
      </c>
      <c r="N143" s="130" t="s">
        <v>703</v>
      </c>
      <c r="O143" s="134">
        <v>144.0</v>
      </c>
      <c r="P143" s="134">
        <v>85.0</v>
      </c>
      <c r="Q143" s="130" t="s">
        <v>703</v>
      </c>
      <c r="R143" s="134">
        <v>73.0</v>
      </c>
      <c r="S143" s="134">
        <v>50.0</v>
      </c>
      <c r="T143" s="130" t="s">
        <v>703</v>
      </c>
      <c r="U143" s="134">
        <v>45.0</v>
      </c>
      <c r="V143" s="134">
        <v>60.0</v>
      </c>
      <c r="W143" s="130" t="s">
        <v>703</v>
      </c>
      <c r="X143" s="134">
        <v>1.0</v>
      </c>
      <c r="Y143" s="134">
        <v>45.0</v>
      </c>
      <c r="Z143" s="130" t="s">
        <v>703</v>
      </c>
      <c r="AA143" s="134">
        <v>29.0</v>
      </c>
      <c r="AB143" s="134">
        <v>1.1</v>
      </c>
      <c r="AC143" s="130" t="s">
        <v>703</v>
      </c>
      <c r="AD143" s="130" t="s">
        <v>133</v>
      </c>
      <c r="AE143" s="131" t="s">
        <v>133</v>
      </c>
      <c r="AF143" s="130" t="s">
        <v>133</v>
      </c>
      <c r="AG143" s="131" t="s">
        <v>133</v>
      </c>
      <c r="AH143" s="134">
        <v>18.0</v>
      </c>
      <c r="AI143" s="135" t="s">
        <v>711</v>
      </c>
      <c r="AJ143" s="134">
        <v>13.0</v>
      </c>
      <c r="AK143" s="135" t="s">
        <v>707</v>
      </c>
    </row>
    <row r="144" ht="15.75" customHeight="1">
      <c r="A144" s="130" t="s">
        <v>515</v>
      </c>
      <c r="B144" s="130" t="s">
        <v>175</v>
      </c>
      <c r="C144" s="141">
        <v>25.0</v>
      </c>
      <c r="D144" s="134">
        <v>65.0</v>
      </c>
      <c r="E144" s="131" t="s">
        <v>703</v>
      </c>
      <c r="F144" s="134">
        <v>60.0</v>
      </c>
      <c r="G144" s="134">
        <v>45.0</v>
      </c>
      <c r="H144" s="131" t="s">
        <v>703</v>
      </c>
      <c r="I144" s="134">
        <v>3.0</v>
      </c>
      <c r="J144" s="134">
        <v>4.0</v>
      </c>
      <c r="K144" s="133" t="s">
        <v>706</v>
      </c>
      <c r="L144" s="134">
        <v>3.0</v>
      </c>
      <c r="M144" s="134">
        <v>5.0</v>
      </c>
      <c r="N144" s="132" t="s">
        <v>706</v>
      </c>
      <c r="O144" s="134">
        <v>83.0</v>
      </c>
      <c r="P144" s="134">
        <v>15.0</v>
      </c>
      <c r="Q144" s="130" t="s">
        <v>703</v>
      </c>
      <c r="R144" s="134">
        <v>56.0</v>
      </c>
      <c r="S144" s="134">
        <v>15.0</v>
      </c>
      <c r="T144" s="130" t="s">
        <v>703</v>
      </c>
      <c r="U144" s="134">
        <v>33.0</v>
      </c>
      <c r="V144" s="134">
        <v>15.0</v>
      </c>
      <c r="W144" s="130" t="s">
        <v>703</v>
      </c>
      <c r="X144" s="134">
        <v>0.0</v>
      </c>
      <c r="Y144" s="134">
        <v>40.0</v>
      </c>
      <c r="Z144" s="130" t="s">
        <v>703</v>
      </c>
      <c r="AA144" s="134">
        <v>22.0</v>
      </c>
      <c r="AB144" s="134">
        <v>-1.0</v>
      </c>
      <c r="AC144" s="130" t="s">
        <v>703</v>
      </c>
      <c r="AD144" s="130" t="s">
        <v>133</v>
      </c>
      <c r="AE144" s="131" t="s">
        <v>133</v>
      </c>
      <c r="AF144" s="130" t="s">
        <v>133</v>
      </c>
      <c r="AG144" s="131" t="s">
        <v>133</v>
      </c>
      <c r="AH144" s="134">
        <v>13.0</v>
      </c>
      <c r="AI144" s="135" t="s">
        <v>707</v>
      </c>
      <c r="AJ144" s="134">
        <v>18.0</v>
      </c>
      <c r="AK144" s="135" t="s">
        <v>711</v>
      </c>
    </row>
    <row r="145" ht="15.75" customHeight="1">
      <c r="A145" s="130" t="s">
        <v>518</v>
      </c>
      <c r="B145" s="130" t="s">
        <v>175</v>
      </c>
      <c r="C145" s="141">
        <v>35.0</v>
      </c>
      <c r="D145" s="134">
        <v>45.0</v>
      </c>
      <c r="E145" s="131" t="s">
        <v>703</v>
      </c>
      <c r="F145" s="134">
        <v>90.0</v>
      </c>
      <c r="G145" s="134">
        <v>40.0</v>
      </c>
      <c r="H145" s="131" t="s">
        <v>703</v>
      </c>
      <c r="I145" s="134">
        <v>4.0</v>
      </c>
      <c r="J145" s="134">
        <v>0.0</v>
      </c>
      <c r="K145" s="133" t="s">
        <v>706</v>
      </c>
      <c r="L145" s="134">
        <v>4.0</v>
      </c>
      <c r="M145" s="134">
        <v>12.0</v>
      </c>
      <c r="N145" s="130" t="s">
        <v>703</v>
      </c>
      <c r="O145" s="134">
        <v>96.0</v>
      </c>
      <c r="P145" s="134">
        <v>50.0</v>
      </c>
      <c r="Q145" s="130" t="s">
        <v>703</v>
      </c>
      <c r="R145" s="134">
        <v>72.0</v>
      </c>
      <c r="S145" s="134">
        <v>60.0</v>
      </c>
      <c r="T145" s="130" t="s">
        <v>703</v>
      </c>
      <c r="U145" s="134">
        <v>48.0</v>
      </c>
      <c r="V145" s="134">
        <v>80.0</v>
      </c>
      <c r="W145" s="130" t="s">
        <v>703</v>
      </c>
      <c r="X145" s="134">
        <v>7.0</v>
      </c>
      <c r="Y145" s="134">
        <v>85.0</v>
      </c>
      <c r="Z145" s="130" t="s">
        <v>703</v>
      </c>
      <c r="AA145" s="134">
        <v>24.0</v>
      </c>
      <c r="AB145" s="134">
        <v>-0.4</v>
      </c>
      <c r="AC145" s="130" t="s">
        <v>703</v>
      </c>
      <c r="AD145" s="130" t="s">
        <v>133</v>
      </c>
      <c r="AE145" s="131" t="s">
        <v>133</v>
      </c>
      <c r="AF145" s="130" t="s">
        <v>133</v>
      </c>
      <c r="AG145" s="131" t="s">
        <v>133</v>
      </c>
      <c r="AH145" s="134">
        <v>16.0</v>
      </c>
      <c r="AI145" s="135" t="s">
        <v>711</v>
      </c>
      <c r="AJ145" s="134">
        <v>12.0</v>
      </c>
      <c r="AK145" s="135" t="s">
        <v>707</v>
      </c>
    </row>
    <row r="146" ht="15.75" customHeight="1">
      <c r="A146" s="130" t="s">
        <v>520</v>
      </c>
      <c r="B146" s="130" t="s">
        <v>175</v>
      </c>
      <c r="C146" s="141">
        <v>36.0</v>
      </c>
      <c r="D146" s="134">
        <v>45.0</v>
      </c>
      <c r="E146" s="133" t="s">
        <v>703</v>
      </c>
      <c r="F146" s="134">
        <v>66.0</v>
      </c>
      <c r="G146" s="134">
        <v>75.0</v>
      </c>
      <c r="H146" s="133" t="s">
        <v>703</v>
      </c>
      <c r="I146" s="134">
        <v>8.0</v>
      </c>
      <c r="J146" s="134">
        <v>51.0</v>
      </c>
      <c r="K146" s="133" t="s">
        <v>703</v>
      </c>
      <c r="L146" s="134">
        <v>7.0</v>
      </c>
      <c r="M146" s="134">
        <v>72.0</v>
      </c>
      <c r="N146" s="132" t="s">
        <v>703</v>
      </c>
      <c r="O146" s="134">
        <v>74.0</v>
      </c>
      <c r="P146" s="134">
        <v>5.0</v>
      </c>
      <c r="Q146" s="132" t="s">
        <v>706</v>
      </c>
      <c r="R146" s="134">
        <v>55.0</v>
      </c>
      <c r="S146" s="134">
        <v>20.0</v>
      </c>
      <c r="T146" s="132" t="s">
        <v>703</v>
      </c>
      <c r="U146" s="134">
        <v>36.0</v>
      </c>
      <c r="V146" s="134">
        <v>40.0</v>
      </c>
      <c r="W146" s="132" t="s">
        <v>703</v>
      </c>
      <c r="X146" s="134">
        <v>5.0</v>
      </c>
      <c r="Y146" s="134">
        <v>80.0</v>
      </c>
      <c r="Z146" s="132" t="s">
        <v>703</v>
      </c>
      <c r="AA146" s="134">
        <v>29.0</v>
      </c>
      <c r="AB146" s="134">
        <v>1.1</v>
      </c>
      <c r="AC146" s="132" t="s">
        <v>703</v>
      </c>
      <c r="AD146" s="130" t="s">
        <v>133</v>
      </c>
      <c r="AE146" s="131" t="s">
        <v>133</v>
      </c>
      <c r="AF146" s="130" t="s">
        <v>133</v>
      </c>
      <c r="AG146" s="131" t="s">
        <v>133</v>
      </c>
      <c r="AH146" s="134">
        <v>22.0</v>
      </c>
      <c r="AI146" s="135" t="s">
        <v>711</v>
      </c>
      <c r="AJ146" s="134">
        <v>14.0</v>
      </c>
      <c r="AK146" s="135" t="s">
        <v>707</v>
      </c>
    </row>
    <row r="147" ht="15.75" customHeight="1">
      <c r="A147" s="130" t="s">
        <v>521</v>
      </c>
      <c r="B147" s="130" t="s">
        <v>175</v>
      </c>
      <c r="C147" s="141">
        <v>54.0</v>
      </c>
      <c r="D147" s="134">
        <v>10.0</v>
      </c>
      <c r="E147" s="133" t="s">
        <v>703</v>
      </c>
      <c r="F147" s="134">
        <v>139.0</v>
      </c>
      <c r="G147" s="134">
        <v>10.0</v>
      </c>
      <c r="H147" s="133" t="s">
        <v>703</v>
      </c>
      <c r="I147" s="134">
        <v>7.0</v>
      </c>
      <c r="J147" s="134">
        <v>35.0</v>
      </c>
      <c r="K147" s="133" t="s">
        <v>703</v>
      </c>
      <c r="L147" s="132">
        <v>7.0</v>
      </c>
      <c r="M147" s="132">
        <v>72.0</v>
      </c>
      <c r="N147" s="132" t="s">
        <v>703</v>
      </c>
      <c r="O147" s="132">
        <v>109.0</v>
      </c>
      <c r="P147" s="132">
        <v>80.0</v>
      </c>
      <c r="Q147" s="132" t="s">
        <v>703</v>
      </c>
      <c r="R147" s="132">
        <v>59.0</v>
      </c>
      <c r="S147" s="132">
        <v>20.0</v>
      </c>
      <c r="T147" s="132" t="s">
        <v>703</v>
      </c>
      <c r="U147" s="132">
        <v>32.0</v>
      </c>
      <c r="V147" s="132">
        <v>20.0</v>
      </c>
      <c r="W147" s="132" t="s">
        <v>703</v>
      </c>
      <c r="X147" s="132">
        <v>-6.0</v>
      </c>
      <c r="Y147" s="132">
        <v>20.0</v>
      </c>
      <c r="Z147" s="132" t="s">
        <v>703</v>
      </c>
      <c r="AA147" s="132">
        <v>26.0</v>
      </c>
      <c r="AB147" s="132">
        <v>0.5</v>
      </c>
      <c r="AC147" s="133" t="s">
        <v>703</v>
      </c>
      <c r="AD147" s="130" t="s">
        <v>133</v>
      </c>
      <c r="AE147" s="131" t="s">
        <v>133</v>
      </c>
      <c r="AF147" s="130" t="s">
        <v>133</v>
      </c>
      <c r="AG147" s="131" t="s">
        <v>133</v>
      </c>
      <c r="AH147" s="132">
        <v>16.0</v>
      </c>
      <c r="AI147" s="135" t="s">
        <v>711</v>
      </c>
      <c r="AJ147" s="132">
        <v>10.0</v>
      </c>
      <c r="AK147" s="135" t="s">
        <v>707</v>
      </c>
    </row>
    <row r="148" ht="15.75" customHeight="1">
      <c r="A148" s="130" t="s">
        <v>523</v>
      </c>
      <c r="B148" s="130" t="s">
        <v>175</v>
      </c>
      <c r="C148" s="141">
        <v>56.0</v>
      </c>
      <c r="D148" s="134">
        <v>10.0</v>
      </c>
      <c r="E148" s="133" t="s">
        <v>703</v>
      </c>
      <c r="F148" s="134">
        <v>65.0</v>
      </c>
      <c r="G148" s="134">
        <v>75.0</v>
      </c>
      <c r="H148" s="133" t="s">
        <v>703</v>
      </c>
      <c r="I148" s="134">
        <v>10.0</v>
      </c>
      <c r="J148" s="134">
        <v>81.0</v>
      </c>
      <c r="K148" s="133" t="s">
        <v>703</v>
      </c>
      <c r="L148" s="134">
        <v>6.0</v>
      </c>
      <c r="M148" s="134">
        <v>48.0</v>
      </c>
      <c r="N148" s="132" t="s">
        <v>703</v>
      </c>
      <c r="O148" s="134">
        <v>105.0</v>
      </c>
      <c r="P148" s="134">
        <v>80.0</v>
      </c>
      <c r="Q148" s="132" t="s">
        <v>703</v>
      </c>
      <c r="R148" s="134">
        <v>62.0</v>
      </c>
      <c r="S148" s="134">
        <v>40.0</v>
      </c>
      <c r="T148" s="132" t="s">
        <v>703</v>
      </c>
      <c r="U148" s="134">
        <v>41.0</v>
      </c>
      <c r="V148" s="134">
        <v>70.0</v>
      </c>
      <c r="W148" s="132" t="s">
        <v>703</v>
      </c>
      <c r="X148" s="134">
        <v>2.0</v>
      </c>
      <c r="Y148" s="134">
        <v>70.0</v>
      </c>
      <c r="Z148" s="132" t="s">
        <v>703</v>
      </c>
      <c r="AA148" s="134">
        <v>29.0</v>
      </c>
      <c r="AB148" s="134">
        <v>1.1</v>
      </c>
      <c r="AC148" s="132" t="s">
        <v>703</v>
      </c>
      <c r="AD148" s="130" t="s">
        <v>133</v>
      </c>
      <c r="AE148" s="131" t="s">
        <v>133</v>
      </c>
      <c r="AF148" s="130" t="s">
        <v>133</v>
      </c>
      <c r="AG148" s="131" t="s">
        <v>133</v>
      </c>
      <c r="AH148" s="134">
        <v>2.0</v>
      </c>
      <c r="AI148" s="135" t="s">
        <v>704</v>
      </c>
      <c r="AJ148" s="134">
        <v>3.0</v>
      </c>
      <c r="AK148" s="135" t="s">
        <v>704</v>
      </c>
    </row>
    <row r="149" ht="15.75" customHeight="1">
      <c r="A149" s="130" t="s">
        <v>526</v>
      </c>
      <c r="B149" s="130" t="s">
        <v>175</v>
      </c>
      <c r="C149" s="141">
        <v>56.0</v>
      </c>
      <c r="D149" s="134">
        <v>35.0</v>
      </c>
      <c r="E149" s="133" t="s">
        <v>703</v>
      </c>
      <c r="F149" s="134">
        <v>170.0</v>
      </c>
      <c r="G149" s="134">
        <v>25.0</v>
      </c>
      <c r="H149" s="133" t="s">
        <v>703</v>
      </c>
      <c r="I149" s="134">
        <v>3.0</v>
      </c>
      <c r="J149" s="134">
        <v>0.0</v>
      </c>
      <c r="K149" s="133" t="s">
        <v>706</v>
      </c>
      <c r="L149" s="134">
        <v>2.0</v>
      </c>
      <c r="M149" s="134">
        <v>0.0</v>
      </c>
      <c r="N149" s="132" t="s">
        <v>706</v>
      </c>
      <c r="O149" s="134">
        <v>76.0</v>
      </c>
      <c r="P149" s="134">
        <v>15.0</v>
      </c>
      <c r="Q149" s="132" t="s">
        <v>703</v>
      </c>
      <c r="R149" s="134">
        <v>57.0</v>
      </c>
      <c r="S149" s="134">
        <v>30.0</v>
      </c>
      <c r="T149" s="132" t="s">
        <v>703</v>
      </c>
      <c r="U149" s="134">
        <v>30.0</v>
      </c>
      <c r="V149" s="134">
        <v>30.0</v>
      </c>
      <c r="W149" s="132" t="s">
        <v>703</v>
      </c>
      <c r="X149" s="134">
        <v>-2.0</v>
      </c>
      <c r="Y149" s="134">
        <v>50.0</v>
      </c>
      <c r="Z149" s="132" t="s">
        <v>703</v>
      </c>
      <c r="AA149" s="134">
        <v>21.0</v>
      </c>
      <c r="AB149" s="134">
        <v>-1.2</v>
      </c>
      <c r="AC149" s="132" t="s">
        <v>703</v>
      </c>
      <c r="AD149" s="130" t="s">
        <v>133</v>
      </c>
      <c r="AE149" s="131" t="s">
        <v>133</v>
      </c>
      <c r="AF149" s="130" t="s">
        <v>133</v>
      </c>
      <c r="AG149" s="131" t="s">
        <v>133</v>
      </c>
      <c r="AH149" s="134">
        <v>14.0</v>
      </c>
      <c r="AI149" s="135" t="s">
        <v>707</v>
      </c>
      <c r="AJ149" s="134">
        <v>18.0</v>
      </c>
      <c r="AK149" s="135" t="s">
        <v>711</v>
      </c>
    </row>
    <row r="150" ht="15.75" customHeight="1">
      <c r="A150" s="130" t="s">
        <v>527</v>
      </c>
      <c r="B150" s="130" t="s">
        <v>175</v>
      </c>
      <c r="C150" s="141">
        <v>18.0</v>
      </c>
      <c r="D150" s="134">
        <v>95.0</v>
      </c>
      <c r="E150" s="133" t="s">
        <v>703</v>
      </c>
      <c r="F150" s="134">
        <v>56.0</v>
      </c>
      <c r="G150" s="134">
        <v>60.0</v>
      </c>
      <c r="H150" s="133" t="s">
        <v>703</v>
      </c>
      <c r="I150" s="134">
        <v>8.0</v>
      </c>
      <c r="J150" s="134">
        <v>50.0</v>
      </c>
      <c r="K150" s="133" t="s">
        <v>703</v>
      </c>
      <c r="L150" s="134">
        <v>10.0</v>
      </c>
      <c r="M150" s="134">
        <v>92.0</v>
      </c>
      <c r="N150" s="132" t="s">
        <v>703</v>
      </c>
      <c r="O150" s="134">
        <v>103.0</v>
      </c>
      <c r="P150" s="134">
        <v>60.0</v>
      </c>
      <c r="Q150" s="132" t="s">
        <v>703</v>
      </c>
      <c r="R150" s="134">
        <v>67.0</v>
      </c>
      <c r="S150" s="134">
        <v>40.0</v>
      </c>
      <c r="T150" s="132" t="s">
        <v>703</v>
      </c>
      <c r="U150" s="134">
        <v>37.0</v>
      </c>
      <c r="V150" s="134">
        <v>20.0</v>
      </c>
      <c r="W150" s="132" t="s">
        <v>703</v>
      </c>
      <c r="X150" s="134">
        <v>-3.0</v>
      </c>
      <c r="Y150" s="134">
        <v>25.0</v>
      </c>
      <c r="Z150" s="132" t="s">
        <v>703</v>
      </c>
      <c r="AA150" s="134">
        <v>29.0</v>
      </c>
      <c r="AB150" s="134">
        <v>1.1</v>
      </c>
      <c r="AC150" s="132" t="s">
        <v>703</v>
      </c>
      <c r="AD150" s="130" t="s">
        <v>133</v>
      </c>
      <c r="AE150" s="131" t="s">
        <v>133</v>
      </c>
      <c r="AF150" s="130" t="s">
        <v>133</v>
      </c>
      <c r="AG150" s="131" t="s">
        <v>133</v>
      </c>
      <c r="AH150" s="134">
        <v>12.0</v>
      </c>
      <c r="AI150" s="135" t="s">
        <v>707</v>
      </c>
      <c r="AJ150" s="134">
        <v>13.0</v>
      </c>
      <c r="AK150" s="135" t="s">
        <v>707</v>
      </c>
    </row>
    <row r="151" ht="15.75" customHeight="1">
      <c r="A151" s="142" t="s">
        <v>529</v>
      </c>
      <c r="B151" s="130" t="s">
        <v>175</v>
      </c>
      <c r="C151" s="141">
        <v>33.0</v>
      </c>
      <c r="D151" s="134">
        <v>85.0</v>
      </c>
      <c r="E151" s="133" t="s">
        <v>703</v>
      </c>
      <c r="F151" s="134">
        <v>79.0</v>
      </c>
      <c r="G151" s="134">
        <v>80.0</v>
      </c>
      <c r="H151" s="133" t="s">
        <v>703</v>
      </c>
      <c r="I151" s="134">
        <v>5.0</v>
      </c>
      <c r="J151" s="134">
        <v>14.0</v>
      </c>
      <c r="K151" s="133" t="s">
        <v>703</v>
      </c>
      <c r="L151" s="134">
        <v>4.0</v>
      </c>
      <c r="M151" s="134">
        <v>23.0</v>
      </c>
      <c r="N151" s="132" t="s">
        <v>703</v>
      </c>
      <c r="O151" s="134">
        <v>81.0</v>
      </c>
      <c r="P151" s="134">
        <v>15.0</v>
      </c>
      <c r="Q151" s="132" t="s">
        <v>703</v>
      </c>
      <c r="R151" s="134">
        <v>45.0</v>
      </c>
      <c r="S151" s="134">
        <v>5.0</v>
      </c>
      <c r="T151" s="132" t="s">
        <v>706</v>
      </c>
      <c r="U151" s="134">
        <v>35.0</v>
      </c>
      <c r="V151" s="134">
        <v>40.0</v>
      </c>
      <c r="W151" s="132" t="s">
        <v>703</v>
      </c>
      <c r="X151" s="134">
        <v>6.0</v>
      </c>
      <c r="Y151" s="134">
        <v>85.0</v>
      </c>
      <c r="Z151" s="132" t="s">
        <v>703</v>
      </c>
      <c r="AA151" s="134">
        <v>24.0</v>
      </c>
      <c r="AB151" s="134">
        <v>-0.4</v>
      </c>
      <c r="AC151" s="132" t="s">
        <v>703</v>
      </c>
      <c r="AD151" s="130" t="s">
        <v>133</v>
      </c>
      <c r="AE151" s="131" t="s">
        <v>133</v>
      </c>
      <c r="AF151" s="130" t="s">
        <v>133</v>
      </c>
      <c r="AG151" s="131" t="s">
        <v>133</v>
      </c>
      <c r="AH151" s="130">
        <v>6.0</v>
      </c>
      <c r="AI151" s="131" t="s">
        <v>704</v>
      </c>
      <c r="AJ151" s="132">
        <v>3.0</v>
      </c>
      <c r="AK151" s="131" t="s">
        <v>704</v>
      </c>
    </row>
    <row r="152" ht="15.75" customHeight="1">
      <c r="A152" s="142" t="s">
        <v>532</v>
      </c>
      <c r="B152" s="54" t="s">
        <v>175</v>
      </c>
      <c r="C152" s="141">
        <v>46.0</v>
      </c>
      <c r="D152" s="134">
        <v>15.0</v>
      </c>
      <c r="E152" s="133" t="s">
        <v>703</v>
      </c>
      <c r="F152" s="134">
        <v>94.0</v>
      </c>
      <c r="G152" s="134">
        <v>35.0</v>
      </c>
      <c r="H152" s="133" t="s">
        <v>703</v>
      </c>
      <c r="I152" s="134">
        <v>7.0</v>
      </c>
      <c r="J152" s="134">
        <v>35.0</v>
      </c>
      <c r="K152" s="133" t="s">
        <v>703</v>
      </c>
      <c r="L152" s="134">
        <v>4.0</v>
      </c>
      <c r="M152" s="134">
        <v>16.0</v>
      </c>
      <c r="N152" s="132" t="s">
        <v>703</v>
      </c>
      <c r="O152" s="134">
        <v>92.0</v>
      </c>
      <c r="P152" s="134">
        <v>40.0</v>
      </c>
      <c r="Q152" s="132" t="s">
        <v>703</v>
      </c>
      <c r="R152" s="134">
        <v>53.0</v>
      </c>
      <c r="S152" s="134">
        <v>15.0</v>
      </c>
      <c r="T152" s="132" t="s">
        <v>703</v>
      </c>
      <c r="U152" s="134">
        <v>35.0</v>
      </c>
      <c r="V152" s="134">
        <v>40.0</v>
      </c>
      <c r="W152" s="132" t="s">
        <v>703</v>
      </c>
      <c r="X152" s="134">
        <v>2.0</v>
      </c>
      <c r="Y152" s="134">
        <v>60.0</v>
      </c>
      <c r="Z152" s="132" t="s">
        <v>703</v>
      </c>
      <c r="AA152" s="134">
        <v>28.0</v>
      </c>
      <c r="AB152" s="134">
        <v>0.8</v>
      </c>
      <c r="AC152" s="132" t="s">
        <v>703</v>
      </c>
      <c r="AD152" s="130" t="s">
        <v>133</v>
      </c>
      <c r="AE152" s="131" t="s">
        <v>133</v>
      </c>
      <c r="AF152" s="130" t="s">
        <v>133</v>
      </c>
      <c r="AG152" s="131" t="s">
        <v>133</v>
      </c>
      <c r="AH152" s="134">
        <v>16.0</v>
      </c>
      <c r="AI152" s="135" t="s">
        <v>711</v>
      </c>
      <c r="AJ152" s="134">
        <v>20.0</v>
      </c>
      <c r="AK152" s="135" t="s">
        <v>711</v>
      </c>
    </row>
    <row r="153" ht="15.75" customHeight="1">
      <c r="A153" s="142" t="s">
        <v>533</v>
      </c>
      <c r="B153" s="54" t="s">
        <v>175</v>
      </c>
      <c r="C153" s="141">
        <v>44.0</v>
      </c>
      <c r="D153" s="134">
        <v>15.0</v>
      </c>
      <c r="E153" s="133" t="s">
        <v>703</v>
      </c>
      <c r="F153" s="134">
        <v>102.0</v>
      </c>
      <c r="G153" s="134">
        <v>25.0</v>
      </c>
      <c r="H153" s="133" t="s">
        <v>703</v>
      </c>
      <c r="I153" s="134">
        <v>6.0</v>
      </c>
      <c r="J153" s="134">
        <v>18.0</v>
      </c>
      <c r="K153" s="133" t="s">
        <v>703</v>
      </c>
      <c r="L153" s="134">
        <v>5.0</v>
      </c>
      <c r="M153" s="134">
        <v>31.0</v>
      </c>
      <c r="N153" s="132" t="s">
        <v>703</v>
      </c>
      <c r="O153" s="134">
        <v>75.0</v>
      </c>
      <c r="P153" s="134">
        <v>15.0</v>
      </c>
      <c r="Q153" s="132" t="s">
        <v>703</v>
      </c>
      <c r="R153" s="134">
        <v>55.0</v>
      </c>
      <c r="S153" s="134">
        <v>30.0</v>
      </c>
      <c r="T153" s="132" t="s">
        <v>703</v>
      </c>
      <c r="U153" s="134">
        <v>33.0</v>
      </c>
      <c r="V153" s="134">
        <v>50.0</v>
      </c>
      <c r="W153" s="132" t="s">
        <v>703</v>
      </c>
      <c r="X153" s="134">
        <v>1.0</v>
      </c>
      <c r="Y153" s="134">
        <v>70.0</v>
      </c>
      <c r="Z153" s="132" t="s">
        <v>703</v>
      </c>
      <c r="AA153" s="134">
        <v>27.0</v>
      </c>
      <c r="AB153" s="134">
        <v>0.86</v>
      </c>
      <c r="AC153" s="132" t="s">
        <v>703</v>
      </c>
      <c r="AD153" s="130" t="s">
        <v>133</v>
      </c>
      <c r="AE153" s="131" t="s">
        <v>133</v>
      </c>
      <c r="AF153" s="130" t="s">
        <v>133</v>
      </c>
      <c r="AG153" s="131" t="s">
        <v>133</v>
      </c>
      <c r="AH153" s="134">
        <v>11.0</v>
      </c>
      <c r="AI153" s="135" t="s">
        <v>707</v>
      </c>
      <c r="AJ153" s="134">
        <v>8.0</v>
      </c>
      <c r="AK153" s="135" t="s">
        <v>708</v>
      </c>
    </row>
    <row r="154" ht="15.75" customHeight="1">
      <c r="A154" s="142" t="s">
        <v>538</v>
      </c>
      <c r="B154" s="54" t="s">
        <v>175</v>
      </c>
      <c r="C154" s="141">
        <v>73.0</v>
      </c>
      <c r="D154" s="134">
        <v>15.0</v>
      </c>
      <c r="E154" s="133" t="s">
        <v>703</v>
      </c>
      <c r="F154" s="134">
        <v>89.0</v>
      </c>
      <c r="G154" s="134">
        <v>90.0</v>
      </c>
      <c r="H154" s="133" t="s">
        <v>703</v>
      </c>
      <c r="I154" s="134">
        <v>7.0</v>
      </c>
      <c r="J154" s="134">
        <v>35.0</v>
      </c>
      <c r="K154" s="133" t="s">
        <v>703</v>
      </c>
      <c r="L154" s="134">
        <v>5.0</v>
      </c>
      <c r="M154" s="134">
        <v>31.0</v>
      </c>
      <c r="N154" s="132" t="s">
        <v>703</v>
      </c>
      <c r="O154" s="134">
        <v>88.0</v>
      </c>
      <c r="P154" s="134">
        <v>50.0</v>
      </c>
      <c r="Q154" s="132" t="s">
        <v>703</v>
      </c>
      <c r="R154" s="134">
        <v>50.0</v>
      </c>
      <c r="S154" s="134">
        <v>30.0</v>
      </c>
      <c r="T154" s="132" t="s">
        <v>703</v>
      </c>
      <c r="U154" s="134">
        <v>32.0</v>
      </c>
      <c r="V154" s="134">
        <v>50.0</v>
      </c>
      <c r="W154" s="132" t="s">
        <v>703</v>
      </c>
      <c r="X154" s="134">
        <v>0.0</v>
      </c>
      <c r="Y154" s="134">
        <v>70.0</v>
      </c>
      <c r="Z154" s="132" t="s">
        <v>703</v>
      </c>
      <c r="AA154" s="134">
        <v>27.0</v>
      </c>
      <c r="AB154" s="134">
        <v>1.6</v>
      </c>
      <c r="AC154" s="132" t="s">
        <v>703</v>
      </c>
      <c r="AD154" s="130" t="s">
        <v>133</v>
      </c>
      <c r="AE154" s="131" t="s">
        <v>133</v>
      </c>
      <c r="AF154" s="130" t="s">
        <v>133</v>
      </c>
      <c r="AG154" s="131" t="s">
        <v>133</v>
      </c>
      <c r="AH154" s="134">
        <v>4.0</v>
      </c>
      <c r="AI154" s="135" t="s">
        <v>704</v>
      </c>
      <c r="AJ154" s="134">
        <v>4.0</v>
      </c>
      <c r="AK154" s="135" t="s">
        <v>704</v>
      </c>
    </row>
    <row r="155" ht="15.75" customHeight="1">
      <c r="A155" s="130" t="s">
        <v>540</v>
      </c>
      <c r="B155" s="54" t="s">
        <v>175</v>
      </c>
      <c r="C155" s="141">
        <v>47.0</v>
      </c>
      <c r="D155" s="134">
        <v>15.0</v>
      </c>
      <c r="E155" s="133" t="s">
        <v>703</v>
      </c>
      <c r="F155" s="134">
        <v>74.0</v>
      </c>
      <c r="G155" s="134">
        <v>60.0</v>
      </c>
      <c r="H155" s="133" t="s">
        <v>703</v>
      </c>
      <c r="I155" s="134">
        <v>5.0</v>
      </c>
      <c r="J155" s="134">
        <v>4.0</v>
      </c>
      <c r="K155" s="133" t="s">
        <v>706</v>
      </c>
      <c r="L155" s="134">
        <v>6.0</v>
      </c>
      <c r="M155" s="134">
        <v>51.0</v>
      </c>
      <c r="N155" s="132" t="s">
        <v>703</v>
      </c>
      <c r="O155" s="134">
        <v>101.0</v>
      </c>
      <c r="P155" s="134">
        <v>60.0</v>
      </c>
      <c r="Q155" s="132" t="s">
        <v>703</v>
      </c>
      <c r="R155" s="134">
        <v>64.0</v>
      </c>
      <c r="S155" s="134">
        <v>30.0</v>
      </c>
      <c r="T155" s="132" t="s">
        <v>703</v>
      </c>
      <c r="U155" s="134">
        <v>38.0</v>
      </c>
      <c r="V155" s="134">
        <v>40.0</v>
      </c>
      <c r="W155" s="132" t="s">
        <v>703</v>
      </c>
      <c r="X155" s="134">
        <v>-1.0</v>
      </c>
      <c r="Y155" s="134">
        <v>40.0</v>
      </c>
      <c r="Z155" s="132" t="s">
        <v>703</v>
      </c>
      <c r="AA155" s="134">
        <v>25.0</v>
      </c>
      <c r="AB155" s="134">
        <v>-0.09</v>
      </c>
      <c r="AC155" s="132" t="s">
        <v>703</v>
      </c>
      <c r="AD155" s="130" t="s">
        <v>133</v>
      </c>
      <c r="AE155" s="131" t="s">
        <v>133</v>
      </c>
      <c r="AF155" s="130" t="s">
        <v>133</v>
      </c>
      <c r="AG155" s="131" t="s">
        <v>133</v>
      </c>
      <c r="AH155" s="134">
        <v>16.0</v>
      </c>
      <c r="AI155" s="135" t="s">
        <v>711</v>
      </c>
      <c r="AJ155" s="134">
        <v>16.0</v>
      </c>
      <c r="AK155" s="135" t="s">
        <v>711</v>
      </c>
    </row>
    <row r="156" ht="15.75" customHeight="1">
      <c r="A156" s="130" t="s">
        <v>542</v>
      </c>
      <c r="B156" s="54" t="s">
        <v>175</v>
      </c>
      <c r="C156" s="141">
        <v>73.0</v>
      </c>
      <c r="D156" s="134">
        <v>0.0</v>
      </c>
      <c r="E156" s="133" t="s">
        <v>706</v>
      </c>
      <c r="F156" s="134">
        <v>92.0</v>
      </c>
      <c r="G156" s="134">
        <v>20.0</v>
      </c>
      <c r="H156" s="133" t="s">
        <v>703</v>
      </c>
      <c r="I156" s="134">
        <v>5.0</v>
      </c>
      <c r="J156" s="134">
        <v>4.0</v>
      </c>
      <c r="K156" s="133" t="s">
        <v>706</v>
      </c>
      <c r="L156" s="134">
        <v>4.0</v>
      </c>
      <c r="M156" s="134">
        <v>12.0</v>
      </c>
      <c r="N156" s="132" t="s">
        <v>709</v>
      </c>
      <c r="O156" s="134">
        <v>74.0</v>
      </c>
      <c r="P156" s="134">
        <v>0.0</v>
      </c>
      <c r="Q156" s="132" t="s">
        <v>706</v>
      </c>
      <c r="R156" s="134">
        <v>60.0</v>
      </c>
      <c r="S156" s="134">
        <v>20.0</v>
      </c>
      <c r="T156" s="132" t="s">
        <v>703</v>
      </c>
      <c r="U156" s="134">
        <v>30.0</v>
      </c>
      <c r="V156" s="134">
        <v>10.0</v>
      </c>
      <c r="W156" s="132" t="s">
        <v>709</v>
      </c>
      <c r="X156" s="134">
        <v>-3.0</v>
      </c>
      <c r="Y156" s="134">
        <v>30.0</v>
      </c>
      <c r="Z156" s="132" t="s">
        <v>703</v>
      </c>
      <c r="AA156" s="134">
        <v>24.0</v>
      </c>
      <c r="AB156" s="134">
        <v>-0.4</v>
      </c>
      <c r="AC156" s="132" t="s">
        <v>703</v>
      </c>
      <c r="AD156" s="130" t="s">
        <v>133</v>
      </c>
      <c r="AE156" s="131" t="s">
        <v>133</v>
      </c>
      <c r="AF156" s="130" t="s">
        <v>133</v>
      </c>
      <c r="AG156" s="131" t="s">
        <v>133</v>
      </c>
      <c r="AH156" s="134">
        <v>15.0</v>
      </c>
      <c r="AI156" s="135" t="s">
        <v>707</v>
      </c>
      <c r="AJ156" s="134">
        <v>10.0</v>
      </c>
      <c r="AK156" s="135" t="s">
        <v>707</v>
      </c>
    </row>
    <row r="157" ht="15.75" customHeight="1">
      <c r="A157" s="130" t="s">
        <v>543</v>
      </c>
      <c r="B157" s="54" t="s">
        <v>175</v>
      </c>
      <c r="C157" s="141">
        <v>33.0</v>
      </c>
      <c r="D157" s="132">
        <v>50.0</v>
      </c>
      <c r="E157" s="131" t="s">
        <v>703</v>
      </c>
      <c r="F157" s="132">
        <v>71.0</v>
      </c>
      <c r="G157" s="132">
        <v>65.0</v>
      </c>
      <c r="H157" s="133" t="s">
        <v>703</v>
      </c>
      <c r="I157" s="130">
        <v>5.0</v>
      </c>
      <c r="J157" s="132">
        <v>5.0</v>
      </c>
      <c r="K157" s="131" t="s">
        <v>706</v>
      </c>
      <c r="L157" s="132">
        <v>5.0</v>
      </c>
      <c r="M157" s="132">
        <v>31.0</v>
      </c>
      <c r="N157" s="132" t="s">
        <v>703</v>
      </c>
      <c r="O157" s="132">
        <v>96.0</v>
      </c>
      <c r="P157" s="132">
        <v>60.0</v>
      </c>
      <c r="Q157" s="132" t="s">
        <v>703</v>
      </c>
      <c r="R157" s="132">
        <v>64.0</v>
      </c>
      <c r="S157" s="132">
        <v>50.0</v>
      </c>
      <c r="T157" s="132" t="s">
        <v>703</v>
      </c>
      <c r="U157" s="132">
        <v>38.0</v>
      </c>
      <c r="V157" s="132">
        <v>50.0</v>
      </c>
      <c r="W157" s="130" t="s">
        <v>703</v>
      </c>
      <c r="X157" s="132">
        <v>0.0</v>
      </c>
      <c r="Y157" s="132">
        <v>60.0</v>
      </c>
      <c r="Z157" s="130" t="s">
        <v>703</v>
      </c>
      <c r="AA157" s="132">
        <v>29.0</v>
      </c>
      <c r="AB157" s="132">
        <v>1.1</v>
      </c>
      <c r="AC157" s="131" t="s">
        <v>703</v>
      </c>
      <c r="AD157" s="130" t="s">
        <v>133</v>
      </c>
      <c r="AE157" s="131" t="s">
        <v>133</v>
      </c>
      <c r="AF157" s="130" t="s">
        <v>133</v>
      </c>
      <c r="AG157" s="131" t="s">
        <v>133</v>
      </c>
      <c r="AH157" s="134">
        <v>8.0</v>
      </c>
      <c r="AI157" s="135" t="s">
        <v>708</v>
      </c>
      <c r="AJ157" s="134">
        <v>8.0</v>
      </c>
      <c r="AK157" s="135" t="s">
        <v>708</v>
      </c>
    </row>
    <row r="158" ht="15.75" customHeight="1">
      <c r="A158" s="130" t="s">
        <v>546</v>
      </c>
      <c r="B158" s="54" t="s">
        <v>175</v>
      </c>
      <c r="C158" s="141">
        <v>44.0</v>
      </c>
      <c r="D158" s="132">
        <v>15.0</v>
      </c>
      <c r="E158" s="131" t="s">
        <v>703</v>
      </c>
      <c r="F158" s="132">
        <v>64.0</v>
      </c>
      <c r="G158" s="132">
        <v>35.0</v>
      </c>
      <c r="H158" s="131" t="s">
        <v>703</v>
      </c>
      <c r="I158" s="132">
        <v>8.0</v>
      </c>
      <c r="J158" s="132">
        <v>50.0</v>
      </c>
      <c r="K158" s="131" t="s">
        <v>703</v>
      </c>
      <c r="L158" s="130">
        <v>7.0</v>
      </c>
      <c r="M158" s="132">
        <v>70.0</v>
      </c>
      <c r="N158" s="130" t="s">
        <v>703</v>
      </c>
      <c r="O158" s="132">
        <v>95.0</v>
      </c>
      <c r="P158" s="132">
        <v>40.0</v>
      </c>
      <c r="Q158" s="130" t="s">
        <v>703</v>
      </c>
      <c r="R158" s="132">
        <v>67.0</v>
      </c>
      <c r="S158" s="132">
        <v>40.0</v>
      </c>
      <c r="T158" s="130" t="s">
        <v>703</v>
      </c>
      <c r="U158" s="132">
        <v>32.0</v>
      </c>
      <c r="V158" s="132">
        <v>15.0</v>
      </c>
      <c r="W158" s="130" t="s">
        <v>703</v>
      </c>
      <c r="X158" s="132">
        <v>-7.0</v>
      </c>
      <c r="Y158" s="132">
        <v>15.0</v>
      </c>
      <c r="Z158" s="130" t="s">
        <v>703</v>
      </c>
      <c r="AA158" s="132">
        <v>28.0</v>
      </c>
      <c r="AB158" s="132">
        <v>0.8</v>
      </c>
      <c r="AC158" s="131" t="s">
        <v>703</v>
      </c>
      <c r="AD158" s="130" t="s">
        <v>133</v>
      </c>
      <c r="AE158" s="131" t="s">
        <v>133</v>
      </c>
      <c r="AF158" s="130" t="s">
        <v>133</v>
      </c>
      <c r="AG158" s="131" t="s">
        <v>133</v>
      </c>
      <c r="AH158" s="134">
        <v>4.0</v>
      </c>
      <c r="AI158" s="135" t="s">
        <v>704</v>
      </c>
      <c r="AJ158" s="134">
        <v>3.0</v>
      </c>
      <c r="AK158" s="135" t="s">
        <v>704</v>
      </c>
    </row>
    <row r="159" ht="15.75" customHeight="1">
      <c r="A159" s="130" t="s">
        <v>548</v>
      </c>
      <c r="B159" s="54" t="s">
        <v>175</v>
      </c>
      <c r="C159" s="141">
        <v>53.0</v>
      </c>
      <c r="D159" s="132">
        <v>10.0</v>
      </c>
      <c r="E159" s="131" t="s">
        <v>703</v>
      </c>
      <c r="F159" s="132">
        <v>88.0</v>
      </c>
      <c r="G159" s="132">
        <v>20.0</v>
      </c>
      <c r="H159" s="131" t="s">
        <v>703</v>
      </c>
      <c r="I159" s="132">
        <v>8.0</v>
      </c>
      <c r="J159" s="132">
        <v>51.0</v>
      </c>
      <c r="K159" s="131" t="s">
        <v>703</v>
      </c>
      <c r="L159" s="132">
        <v>6.0</v>
      </c>
      <c r="M159" s="132">
        <v>51.0</v>
      </c>
      <c r="N159" s="130" t="s">
        <v>703</v>
      </c>
      <c r="O159" s="132">
        <v>103.0</v>
      </c>
      <c r="P159" s="132">
        <v>60.0</v>
      </c>
      <c r="Q159" s="130" t="s">
        <v>703</v>
      </c>
      <c r="R159" s="132">
        <v>66.0</v>
      </c>
      <c r="S159" s="130">
        <v>40.0</v>
      </c>
      <c r="T159" s="130" t="s">
        <v>703</v>
      </c>
      <c r="U159" s="132">
        <v>33.0</v>
      </c>
      <c r="V159" s="132">
        <v>20.0</v>
      </c>
      <c r="W159" s="130" t="s">
        <v>703</v>
      </c>
      <c r="X159" s="132">
        <v>-7.0</v>
      </c>
      <c r="Y159" s="132">
        <v>15.0</v>
      </c>
      <c r="Z159" s="130" t="s">
        <v>703</v>
      </c>
      <c r="AA159" s="132">
        <v>30.0</v>
      </c>
      <c r="AB159" s="132">
        <v>1.4</v>
      </c>
      <c r="AC159" s="131" t="s">
        <v>703</v>
      </c>
      <c r="AD159" s="130" t="s">
        <v>133</v>
      </c>
      <c r="AE159" s="131" t="s">
        <v>133</v>
      </c>
      <c r="AF159" s="130" t="s">
        <v>133</v>
      </c>
      <c r="AG159" s="131" t="s">
        <v>133</v>
      </c>
      <c r="AH159" s="134">
        <v>15.0</v>
      </c>
      <c r="AI159" s="135" t="s">
        <v>711</v>
      </c>
      <c r="AJ159" s="134">
        <v>14.0</v>
      </c>
      <c r="AK159" s="135" t="s">
        <v>707</v>
      </c>
    </row>
    <row r="160" ht="15.75" customHeight="1">
      <c r="A160" s="130" t="s">
        <v>550</v>
      </c>
      <c r="B160" s="54" t="s">
        <v>175</v>
      </c>
      <c r="C160" s="141">
        <v>42.0</v>
      </c>
      <c r="D160" s="132">
        <v>55.0</v>
      </c>
      <c r="E160" s="133" t="s">
        <v>703</v>
      </c>
      <c r="F160" s="132">
        <v>141.0</v>
      </c>
      <c r="G160" s="132">
        <v>30.0</v>
      </c>
      <c r="H160" s="131" t="s">
        <v>703</v>
      </c>
      <c r="I160" s="132">
        <v>5.0</v>
      </c>
      <c r="J160" s="132">
        <v>5.0</v>
      </c>
      <c r="K160" s="133" t="s">
        <v>706</v>
      </c>
      <c r="L160" s="132">
        <v>4.0</v>
      </c>
      <c r="M160" s="132">
        <v>16.0</v>
      </c>
      <c r="N160" s="130" t="s">
        <v>703</v>
      </c>
      <c r="O160" s="132">
        <v>68.0</v>
      </c>
      <c r="P160" s="132">
        <v>10.0</v>
      </c>
      <c r="Q160" s="130" t="s">
        <v>703</v>
      </c>
      <c r="R160" s="132">
        <v>53.0</v>
      </c>
      <c r="S160" s="132">
        <v>40.0</v>
      </c>
      <c r="T160" s="130" t="s">
        <v>703</v>
      </c>
      <c r="U160" s="132">
        <v>32.0</v>
      </c>
      <c r="V160" s="130">
        <v>50.0</v>
      </c>
      <c r="W160" s="130" t="s">
        <v>703</v>
      </c>
      <c r="X160" s="132">
        <v>3.0</v>
      </c>
      <c r="Y160" s="132">
        <v>85.0</v>
      </c>
      <c r="Z160" s="130" t="s">
        <v>703</v>
      </c>
      <c r="AA160" s="132">
        <v>27.0</v>
      </c>
      <c r="AB160" s="132">
        <v>1.6</v>
      </c>
      <c r="AC160" s="131" t="s">
        <v>703</v>
      </c>
      <c r="AD160" s="130" t="s">
        <v>133</v>
      </c>
      <c r="AE160" s="131" t="s">
        <v>133</v>
      </c>
      <c r="AF160" s="130" t="s">
        <v>133</v>
      </c>
      <c r="AG160" s="131" t="s">
        <v>133</v>
      </c>
      <c r="AH160" s="134">
        <v>5.0</v>
      </c>
      <c r="AI160" s="135" t="s">
        <v>704</v>
      </c>
      <c r="AJ160" s="134">
        <v>4.0</v>
      </c>
      <c r="AK160" s="135" t="s">
        <v>704</v>
      </c>
    </row>
    <row r="161" ht="15.75" customHeight="1">
      <c r="A161" s="130" t="s">
        <v>553</v>
      </c>
      <c r="B161" s="54" t="s">
        <v>175</v>
      </c>
      <c r="C161" s="141">
        <v>39.0</v>
      </c>
      <c r="D161" s="132">
        <v>25.0</v>
      </c>
      <c r="E161" s="133" t="s">
        <v>703</v>
      </c>
      <c r="F161" s="132">
        <v>73.0</v>
      </c>
      <c r="G161" s="132">
        <v>30.0</v>
      </c>
      <c r="H161" s="131" t="s">
        <v>703</v>
      </c>
      <c r="I161" s="130">
        <v>8.0</v>
      </c>
      <c r="J161" s="130">
        <v>51.0</v>
      </c>
      <c r="K161" s="131" t="s">
        <v>703</v>
      </c>
      <c r="L161" s="132">
        <v>6.0</v>
      </c>
      <c r="M161" s="132">
        <v>51.0</v>
      </c>
      <c r="N161" s="130" t="s">
        <v>703</v>
      </c>
      <c r="O161" s="132">
        <v>89.0</v>
      </c>
      <c r="P161" s="132">
        <v>40.0</v>
      </c>
      <c r="Q161" s="130" t="s">
        <v>703</v>
      </c>
      <c r="R161" s="132">
        <v>68.0</v>
      </c>
      <c r="S161" s="132">
        <v>70.0</v>
      </c>
      <c r="T161" s="130" t="s">
        <v>703</v>
      </c>
      <c r="U161" s="132">
        <v>41.0</v>
      </c>
      <c r="V161" s="132">
        <v>70.0</v>
      </c>
      <c r="W161" s="130" t="s">
        <v>703</v>
      </c>
      <c r="X161" s="132">
        <v>3.0</v>
      </c>
      <c r="Y161" s="132">
        <v>80.0</v>
      </c>
      <c r="Z161" s="130" t="s">
        <v>703</v>
      </c>
      <c r="AA161" s="132">
        <v>26.0</v>
      </c>
      <c r="AB161" s="132">
        <v>0.5</v>
      </c>
      <c r="AC161" s="131" t="s">
        <v>703</v>
      </c>
      <c r="AD161" s="130" t="s">
        <v>133</v>
      </c>
      <c r="AE161" s="131" t="s">
        <v>133</v>
      </c>
      <c r="AF161" s="130" t="s">
        <v>133</v>
      </c>
      <c r="AG161" s="131" t="s">
        <v>133</v>
      </c>
      <c r="AH161" s="134">
        <v>6.0</v>
      </c>
      <c r="AI161" s="135" t="s">
        <v>708</v>
      </c>
      <c r="AJ161" s="134">
        <v>7.0</v>
      </c>
      <c r="AK161" s="135" t="s">
        <v>708</v>
      </c>
    </row>
    <row r="162" ht="15.75" customHeight="1">
      <c r="A162" s="130" t="s">
        <v>555</v>
      </c>
      <c r="B162" s="54" t="s">
        <v>175</v>
      </c>
      <c r="C162" s="138">
        <v>30.0</v>
      </c>
      <c r="D162" s="132">
        <v>40.0</v>
      </c>
      <c r="E162" s="133" t="s">
        <v>703</v>
      </c>
      <c r="F162" s="132">
        <v>97.0</v>
      </c>
      <c r="G162" s="130">
        <v>20.0</v>
      </c>
      <c r="H162" s="131" t="s">
        <v>703</v>
      </c>
      <c r="I162" s="132">
        <v>5.0</v>
      </c>
      <c r="J162" s="132">
        <v>16.0</v>
      </c>
      <c r="K162" s="131" t="s">
        <v>703</v>
      </c>
      <c r="L162" s="132">
        <v>5.0</v>
      </c>
      <c r="M162" s="132">
        <v>53.0</v>
      </c>
      <c r="N162" s="132" t="s">
        <v>703</v>
      </c>
      <c r="O162" s="132">
        <v>78.0</v>
      </c>
      <c r="P162" s="132">
        <v>5.0</v>
      </c>
      <c r="Q162" s="132" t="s">
        <v>706</v>
      </c>
      <c r="R162" s="132">
        <v>44.0</v>
      </c>
      <c r="S162" s="132">
        <v>0.0</v>
      </c>
      <c r="T162" s="132" t="s">
        <v>706</v>
      </c>
      <c r="U162" s="132">
        <v>30.0</v>
      </c>
      <c r="V162" s="132">
        <v>5.0</v>
      </c>
      <c r="W162" s="132" t="s">
        <v>706</v>
      </c>
      <c r="X162" s="132">
        <v>2.0</v>
      </c>
      <c r="Y162" s="132">
        <v>50.0</v>
      </c>
      <c r="Z162" s="130" t="s">
        <v>703</v>
      </c>
      <c r="AA162" s="130">
        <v>25.0</v>
      </c>
      <c r="AB162" s="132">
        <v>-0.09</v>
      </c>
      <c r="AC162" s="131" t="s">
        <v>703</v>
      </c>
      <c r="AD162" s="130" t="s">
        <v>133</v>
      </c>
      <c r="AE162" s="131" t="s">
        <v>133</v>
      </c>
      <c r="AF162" s="130" t="s">
        <v>133</v>
      </c>
      <c r="AG162" s="131" t="s">
        <v>133</v>
      </c>
      <c r="AH162" s="134">
        <v>12.0</v>
      </c>
      <c r="AI162" s="135" t="s">
        <v>707</v>
      </c>
      <c r="AJ162" s="134">
        <v>11.0</v>
      </c>
      <c r="AK162" s="135" t="s">
        <v>707</v>
      </c>
    </row>
    <row r="163" ht="15.75" customHeight="1">
      <c r="A163" s="130" t="s">
        <v>557</v>
      </c>
      <c r="B163" s="134" t="s">
        <v>175</v>
      </c>
      <c r="C163" s="141">
        <v>30.0</v>
      </c>
      <c r="D163" s="134">
        <v>40.0</v>
      </c>
      <c r="E163" s="133" t="s">
        <v>703</v>
      </c>
      <c r="F163" s="134">
        <v>49.0</v>
      </c>
      <c r="G163" s="134">
        <v>70.0</v>
      </c>
      <c r="H163" s="133" t="s">
        <v>703</v>
      </c>
      <c r="I163" s="134">
        <v>6.0</v>
      </c>
      <c r="J163" s="134">
        <v>17.0</v>
      </c>
      <c r="K163" s="133" t="s">
        <v>703</v>
      </c>
      <c r="L163" s="132">
        <v>7.0</v>
      </c>
      <c r="M163" s="132">
        <v>71.0</v>
      </c>
      <c r="N163" s="132" t="s">
        <v>703</v>
      </c>
      <c r="O163" s="132">
        <v>91.0</v>
      </c>
      <c r="P163" s="134">
        <v>30.0</v>
      </c>
      <c r="Q163" s="132" t="s">
        <v>703</v>
      </c>
      <c r="R163" s="132">
        <v>53.0</v>
      </c>
      <c r="S163" s="134">
        <v>10.0</v>
      </c>
      <c r="T163" s="132" t="s">
        <v>709</v>
      </c>
      <c r="U163" s="132">
        <v>33.0</v>
      </c>
      <c r="V163" s="134">
        <v>15.0</v>
      </c>
      <c r="W163" s="132" t="s">
        <v>703</v>
      </c>
      <c r="X163" s="132">
        <v>0.0</v>
      </c>
      <c r="Y163" s="132">
        <v>40.0</v>
      </c>
      <c r="Z163" s="132" t="s">
        <v>703</v>
      </c>
      <c r="AA163" s="132">
        <v>29.0</v>
      </c>
      <c r="AB163" s="132">
        <v>1.1</v>
      </c>
      <c r="AC163" s="133" t="s">
        <v>703</v>
      </c>
      <c r="AD163" s="130" t="s">
        <v>133</v>
      </c>
      <c r="AE163" s="131" t="s">
        <v>133</v>
      </c>
      <c r="AF163" s="130" t="s">
        <v>133</v>
      </c>
      <c r="AG163" s="131" t="s">
        <v>133</v>
      </c>
      <c r="AH163" s="134">
        <v>7.0</v>
      </c>
      <c r="AI163" s="135" t="s">
        <v>708</v>
      </c>
      <c r="AJ163" s="134">
        <v>7.0</v>
      </c>
      <c r="AK163" s="135" t="s">
        <v>708</v>
      </c>
    </row>
    <row r="164" ht="15.75" customHeight="1">
      <c r="A164" s="140" t="s">
        <v>559</v>
      </c>
      <c r="B164" s="122" t="s">
        <v>129</v>
      </c>
      <c r="C164" s="141">
        <v>77.0</v>
      </c>
      <c r="D164" s="134">
        <v>6.0</v>
      </c>
      <c r="E164" s="133" t="s">
        <v>706</v>
      </c>
      <c r="F164" s="134">
        <v>127.0</v>
      </c>
      <c r="G164" s="134">
        <v>10.0</v>
      </c>
      <c r="H164" s="133" t="s">
        <v>709</v>
      </c>
      <c r="I164" s="134">
        <v>9.0</v>
      </c>
      <c r="J164" s="134">
        <v>67.0</v>
      </c>
      <c r="K164" s="133" t="s">
        <v>703</v>
      </c>
      <c r="L164" s="132">
        <v>8.0</v>
      </c>
      <c r="M164" s="132">
        <v>81.0</v>
      </c>
      <c r="N164" s="132" t="s">
        <v>703</v>
      </c>
      <c r="O164" s="132">
        <v>93.0</v>
      </c>
      <c r="P164" s="132">
        <v>40.0</v>
      </c>
      <c r="Q164" s="132" t="s">
        <v>703</v>
      </c>
      <c r="R164" s="132">
        <v>60.0</v>
      </c>
      <c r="S164" s="132">
        <v>30.0</v>
      </c>
      <c r="T164" s="132" t="s">
        <v>703</v>
      </c>
      <c r="U164" s="132">
        <v>39.0</v>
      </c>
      <c r="V164" s="132">
        <v>50.0</v>
      </c>
      <c r="W164" s="132" t="s">
        <v>703</v>
      </c>
      <c r="X164" s="132">
        <v>3.0</v>
      </c>
      <c r="Y164" s="132">
        <v>70.0</v>
      </c>
      <c r="Z164" s="132" t="s">
        <v>703</v>
      </c>
      <c r="AA164" s="132">
        <v>26.0</v>
      </c>
      <c r="AB164" s="132">
        <v>-0.09</v>
      </c>
      <c r="AC164" s="133" t="s">
        <v>703</v>
      </c>
      <c r="AD164" s="130" t="s">
        <v>133</v>
      </c>
      <c r="AE164" s="131" t="s">
        <v>133</v>
      </c>
      <c r="AF164" s="130" t="s">
        <v>133</v>
      </c>
      <c r="AG164" s="131" t="s">
        <v>133</v>
      </c>
      <c r="AH164" s="134">
        <v>3.0</v>
      </c>
      <c r="AI164" s="135" t="s">
        <v>704</v>
      </c>
      <c r="AJ164" s="134">
        <v>5.0</v>
      </c>
      <c r="AK164" s="135" t="s">
        <v>708</v>
      </c>
    </row>
    <row r="165" ht="15.75" customHeight="1">
      <c r="A165" s="140" t="s">
        <v>561</v>
      </c>
      <c r="B165" s="134" t="s">
        <v>175</v>
      </c>
      <c r="C165" s="141">
        <v>46.0</v>
      </c>
      <c r="D165" s="134">
        <v>10.0</v>
      </c>
      <c r="E165" s="133" t="s">
        <v>709</v>
      </c>
      <c r="F165" s="134">
        <v>39.0</v>
      </c>
      <c r="G165" s="134">
        <v>95.0</v>
      </c>
      <c r="H165" s="133" t="s">
        <v>703</v>
      </c>
      <c r="I165" s="134">
        <v>8.0</v>
      </c>
      <c r="J165" s="134">
        <v>50.0</v>
      </c>
      <c r="K165" s="133" t="s">
        <v>706</v>
      </c>
      <c r="L165" s="132">
        <v>5.0</v>
      </c>
      <c r="M165" s="132">
        <v>27.0</v>
      </c>
      <c r="N165" s="132" t="s">
        <v>703</v>
      </c>
      <c r="O165" s="132">
        <v>106.0</v>
      </c>
      <c r="P165" s="132">
        <v>70.0</v>
      </c>
      <c r="Q165" s="132" t="s">
        <v>703</v>
      </c>
      <c r="R165" s="132">
        <v>77.0</v>
      </c>
      <c r="S165" s="132">
        <v>70.0</v>
      </c>
      <c r="T165" s="132" t="s">
        <v>703</v>
      </c>
      <c r="U165" s="132">
        <v>39.0</v>
      </c>
      <c r="V165" s="132">
        <v>40.0</v>
      </c>
      <c r="W165" s="132" t="s">
        <v>703</v>
      </c>
      <c r="X165" s="132">
        <v>-5.0</v>
      </c>
      <c r="Y165" s="132">
        <v>20.0</v>
      </c>
      <c r="Z165" s="132" t="s">
        <v>703</v>
      </c>
      <c r="AA165" s="132">
        <v>29.0</v>
      </c>
      <c r="AB165" s="132">
        <v>1.1</v>
      </c>
      <c r="AC165" s="133" t="s">
        <v>703</v>
      </c>
      <c r="AD165" s="130" t="s">
        <v>133</v>
      </c>
      <c r="AE165" s="131" t="s">
        <v>133</v>
      </c>
      <c r="AF165" s="130" t="s">
        <v>133</v>
      </c>
      <c r="AG165" s="131" t="s">
        <v>133</v>
      </c>
      <c r="AH165" s="134">
        <v>8.0</v>
      </c>
      <c r="AI165" s="135" t="s">
        <v>708</v>
      </c>
      <c r="AJ165" s="134">
        <v>6.0</v>
      </c>
      <c r="AK165" s="135" t="s">
        <v>704</v>
      </c>
    </row>
    <row r="166" ht="15.75" customHeight="1">
      <c r="A166" s="140" t="s">
        <v>563</v>
      </c>
      <c r="B166" s="122" t="s">
        <v>129</v>
      </c>
      <c r="C166" s="141">
        <v>39.0</v>
      </c>
      <c r="D166" s="134">
        <v>70.0</v>
      </c>
      <c r="E166" s="133" t="s">
        <v>703</v>
      </c>
      <c r="F166" s="134">
        <v>106.0</v>
      </c>
      <c r="G166" s="134">
        <v>80.0</v>
      </c>
      <c r="H166" s="133" t="s">
        <v>703</v>
      </c>
      <c r="I166" s="134">
        <v>6.0</v>
      </c>
      <c r="J166" s="134">
        <v>18.0</v>
      </c>
      <c r="K166" s="133" t="s">
        <v>703</v>
      </c>
      <c r="L166" s="132">
        <v>6.0</v>
      </c>
      <c r="M166" s="132">
        <v>18.0</v>
      </c>
      <c r="N166" s="132" t="s">
        <v>703</v>
      </c>
      <c r="O166" s="132">
        <v>80.0</v>
      </c>
      <c r="P166" s="132">
        <v>20.0</v>
      </c>
      <c r="Q166" s="132" t="s">
        <v>709</v>
      </c>
      <c r="R166" s="132">
        <v>51.0</v>
      </c>
      <c r="S166" s="132">
        <v>20.0</v>
      </c>
      <c r="T166" s="132" t="s">
        <v>703</v>
      </c>
      <c r="U166" s="132">
        <v>39.0</v>
      </c>
      <c r="V166" s="132">
        <v>70.0</v>
      </c>
      <c r="W166" s="132" t="s">
        <v>703</v>
      </c>
      <c r="X166" s="132">
        <v>8.0</v>
      </c>
      <c r="Y166" s="132">
        <v>95.0</v>
      </c>
      <c r="Z166" s="132" t="s">
        <v>703</v>
      </c>
      <c r="AA166" s="132">
        <v>21.0</v>
      </c>
      <c r="AB166" s="132">
        <v>-0.05</v>
      </c>
      <c r="AC166" s="133" t="s">
        <v>703</v>
      </c>
      <c r="AD166" s="130" t="s">
        <v>133</v>
      </c>
      <c r="AE166" s="131" t="s">
        <v>133</v>
      </c>
      <c r="AF166" s="130" t="s">
        <v>133</v>
      </c>
      <c r="AG166" s="131" t="s">
        <v>133</v>
      </c>
      <c r="AH166" s="134">
        <v>1.0</v>
      </c>
      <c r="AI166" s="135" t="s">
        <v>704</v>
      </c>
      <c r="AJ166" s="134">
        <v>0.0</v>
      </c>
      <c r="AK166" s="135" t="s">
        <v>704</v>
      </c>
    </row>
    <row r="167" ht="15.75" customHeight="1">
      <c r="A167" s="140" t="s">
        <v>564</v>
      </c>
      <c r="B167" s="134" t="s">
        <v>175</v>
      </c>
      <c r="C167" s="141">
        <v>21.0</v>
      </c>
      <c r="D167" s="134">
        <v>95.0</v>
      </c>
      <c r="E167" s="133" t="s">
        <v>703</v>
      </c>
      <c r="F167" s="134">
        <v>60.0</v>
      </c>
      <c r="G167" s="134">
        <v>90.0</v>
      </c>
      <c r="H167" s="133" t="s">
        <v>703</v>
      </c>
      <c r="I167" s="134">
        <v>8.0</v>
      </c>
      <c r="J167" s="134">
        <v>51.0</v>
      </c>
      <c r="K167" s="133" t="s">
        <v>703</v>
      </c>
      <c r="L167" s="132">
        <v>8.0</v>
      </c>
      <c r="M167" s="132">
        <v>85.0</v>
      </c>
      <c r="N167" s="132" t="s">
        <v>703</v>
      </c>
      <c r="O167" s="132">
        <v>91.0</v>
      </c>
      <c r="P167" s="132">
        <v>40.0</v>
      </c>
      <c r="Q167" s="132" t="s">
        <v>703</v>
      </c>
      <c r="R167" s="132">
        <v>58.0</v>
      </c>
      <c r="S167" s="132">
        <v>20.0</v>
      </c>
      <c r="T167" s="132" t="s">
        <v>703</v>
      </c>
      <c r="U167" s="132">
        <v>31.0</v>
      </c>
      <c r="V167" s="132">
        <v>20.0</v>
      </c>
      <c r="W167" s="132" t="s">
        <v>703</v>
      </c>
      <c r="X167" s="132">
        <v>-4.0</v>
      </c>
      <c r="Y167" s="132">
        <v>30.0</v>
      </c>
      <c r="Z167" s="132" t="s">
        <v>703</v>
      </c>
      <c r="AA167" s="132">
        <v>27.0</v>
      </c>
      <c r="AB167" s="132">
        <v>0.5</v>
      </c>
      <c r="AC167" s="133" t="s">
        <v>703</v>
      </c>
      <c r="AD167" s="130" t="s">
        <v>133</v>
      </c>
      <c r="AE167" s="131" t="s">
        <v>133</v>
      </c>
      <c r="AF167" s="130" t="s">
        <v>133</v>
      </c>
      <c r="AG167" s="131" t="s">
        <v>133</v>
      </c>
      <c r="AH167" s="134">
        <v>3.0</v>
      </c>
      <c r="AI167" s="135" t="s">
        <v>704</v>
      </c>
      <c r="AJ167" s="134">
        <v>3.0</v>
      </c>
      <c r="AK167" s="135" t="s">
        <v>704</v>
      </c>
    </row>
    <row r="168" ht="15.75" customHeight="1">
      <c r="A168" s="140" t="s">
        <v>567</v>
      </c>
      <c r="B168" s="89" t="s">
        <v>716</v>
      </c>
      <c r="C168" s="141">
        <v>46.0</v>
      </c>
      <c r="D168" s="134">
        <v>10.0</v>
      </c>
      <c r="E168" s="133" t="s">
        <v>703</v>
      </c>
      <c r="F168" s="134">
        <v>87.0</v>
      </c>
      <c r="G168" s="134">
        <v>40.0</v>
      </c>
      <c r="H168" s="133" t="s">
        <v>703</v>
      </c>
      <c r="I168" s="134">
        <v>7.0</v>
      </c>
      <c r="J168" s="134">
        <v>35.0</v>
      </c>
      <c r="K168" s="133" t="s">
        <v>703</v>
      </c>
      <c r="L168" s="132">
        <v>5.0</v>
      </c>
      <c r="M168" s="132">
        <v>31.0</v>
      </c>
      <c r="N168" s="132" t="s">
        <v>703</v>
      </c>
      <c r="O168" s="132">
        <v>94.0</v>
      </c>
      <c r="P168" s="132">
        <v>70.0</v>
      </c>
      <c r="Q168" s="132" t="s">
        <v>703</v>
      </c>
      <c r="R168" s="132">
        <v>67.0</v>
      </c>
      <c r="S168" s="132">
        <v>70.0</v>
      </c>
      <c r="T168" s="132" t="s">
        <v>703</v>
      </c>
      <c r="U168" s="132">
        <v>21.0</v>
      </c>
      <c r="V168" s="132">
        <v>15.0</v>
      </c>
      <c r="W168" s="132" t="s">
        <v>703</v>
      </c>
      <c r="X168" s="132">
        <v>-18.0</v>
      </c>
      <c r="Y168" s="132">
        <v>0.0</v>
      </c>
      <c r="Z168" s="132" t="s">
        <v>706</v>
      </c>
      <c r="AA168" s="132">
        <v>27.0</v>
      </c>
      <c r="AB168" s="132">
        <v>1.6</v>
      </c>
      <c r="AC168" s="133" t="s">
        <v>703</v>
      </c>
      <c r="AD168" s="130" t="s">
        <v>133</v>
      </c>
      <c r="AE168" s="131" t="s">
        <v>133</v>
      </c>
      <c r="AF168" s="130" t="s">
        <v>133</v>
      </c>
      <c r="AG168" s="131" t="s">
        <v>133</v>
      </c>
      <c r="AH168" s="134">
        <v>6.0</v>
      </c>
      <c r="AI168" s="135" t="s">
        <v>708</v>
      </c>
      <c r="AJ168" s="134">
        <v>8.0</v>
      </c>
      <c r="AK168" s="135" t="s">
        <v>708</v>
      </c>
    </row>
    <row r="169" ht="15.75" customHeight="1">
      <c r="A169" s="130" t="s">
        <v>570</v>
      </c>
      <c r="B169" s="104" t="s">
        <v>129</v>
      </c>
      <c r="C169" s="141">
        <v>54.0</v>
      </c>
      <c r="D169" s="134">
        <v>10.0</v>
      </c>
      <c r="E169" s="133" t="s">
        <v>703</v>
      </c>
      <c r="F169" s="134">
        <v>115.0</v>
      </c>
      <c r="G169" s="134">
        <v>15.0</v>
      </c>
      <c r="H169" s="133" t="s">
        <v>703</v>
      </c>
      <c r="I169" s="134">
        <v>6.0</v>
      </c>
      <c r="J169" s="134">
        <v>18.0</v>
      </c>
      <c r="K169" s="133" t="s">
        <v>703</v>
      </c>
      <c r="L169" s="132">
        <v>4.0</v>
      </c>
      <c r="M169" s="132">
        <v>16.0</v>
      </c>
      <c r="N169" s="132" t="s">
        <v>703</v>
      </c>
      <c r="O169" s="132">
        <v>87.0</v>
      </c>
      <c r="P169" s="132">
        <v>50.0</v>
      </c>
      <c r="Q169" s="132" t="s">
        <v>703</v>
      </c>
      <c r="R169" s="132">
        <v>70.0</v>
      </c>
      <c r="S169" s="132">
        <v>80.0</v>
      </c>
      <c r="T169" s="132" t="s">
        <v>703</v>
      </c>
      <c r="U169" s="132">
        <v>42.0</v>
      </c>
      <c r="V169" s="132">
        <v>90.0</v>
      </c>
      <c r="W169" s="132" t="s">
        <v>703</v>
      </c>
      <c r="X169" s="132">
        <v>3.0</v>
      </c>
      <c r="Y169" s="132">
        <v>85.0</v>
      </c>
      <c r="Z169" s="132" t="s">
        <v>703</v>
      </c>
      <c r="AA169" s="132">
        <v>24.0</v>
      </c>
      <c r="AB169" s="132">
        <v>-0.2</v>
      </c>
      <c r="AC169" s="133" t="s">
        <v>703</v>
      </c>
      <c r="AD169" s="130" t="s">
        <v>133</v>
      </c>
      <c r="AE169" s="131" t="s">
        <v>133</v>
      </c>
      <c r="AF169" s="130" t="s">
        <v>133</v>
      </c>
      <c r="AG169" s="131" t="s">
        <v>133</v>
      </c>
      <c r="AH169" s="134">
        <v>19.0</v>
      </c>
      <c r="AI169" s="135" t="s">
        <v>711</v>
      </c>
      <c r="AJ169" s="134">
        <v>13.0</v>
      </c>
      <c r="AK169" s="135" t="s">
        <v>707</v>
      </c>
    </row>
    <row r="170" ht="15.75" customHeight="1">
      <c r="A170" s="130" t="s">
        <v>571</v>
      </c>
      <c r="B170" s="127" t="s">
        <v>175</v>
      </c>
      <c r="C170" s="141">
        <v>32.0</v>
      </c>
      <c r="D170" s="134">
        <v>55.0</v>
      </c>
      <c r="E170" s="133" t="s">
        <v>703</v>
      </c>
      <c r="F170" s="134">
        <v>58.0</v>
      </c>
      <c r="G170" s="134">
        <v>95.0</v>
      </c>
      <c r="H170" s="133" t="s">
        <v>703</v>
      </c>
      <c r="I170" s="134">
        <v>2.0</v>
      </c>
      <c r="J170" s="134">
        <v>0.0</v>
      </c>
      <c r="K170" s="133" t="s">
        <v>706</v>
      </c>
      <c r="L170" s="132">
        <v>4.0</v>
      </c>
      <c r="M170" s="132">
        <v>12.0</v>
      </c>
      <c r="N170" s="132" t="s">
        <v>703</v>
      </c>
      <c r="O170" s="132">
        <v>111.0</v>
      </c>
      <c r="P170" s="132">
        <v>90.0</v>
      </c>
      <c r="Q170" s="132" t="s">
        <v>703</v>
      </c>
      <c r="R170" s="132">
        <v>63.0</v>
      </c>
      <c r="S170" s="132">
        <v>60.0</v>
      </c>
      <c r="T170" s="132" t="s">
        <v>703</v>
      </c>
      <c r="U170" s="132">
        <v>30.0</v>
      </c>
      <c r="V170" s="132">
        <v>30.0</v>
      </c>
      <c r="W170" s="132" t="s">
        <v>703</v>
      </c>
      <c r="X170" s="132">
        <v>-10.0</v>
      </c>
      <c r="Y170" s="132">
        <v>15.0</v>
      </c>
      <c r="Z170" s="132" t="s">
        <v>703</v>
      </c>
      <c r="AA170" s="132">
        <v>25.0</v>
      </c>
      <c r="AB170" s="132">
        <v>0.2</v>
      </c>
      <c r="AC170" s="133" t="s">
        <v>703</v>
      </c>
      <c r="AD170" s="130" t="s">
        <v>133</v>
      </c>
      <c r="AE170" s="131" t="s">
        <v>133</v>
      </c>
      <c r="AF170" s="130" t="s">
        <v>133</v>
      </c>
      <c r="AG170" s="131" t="s">
        <v>133</v>
      </c>
      <c r="AH170" s="134">
        <v>22.0</v>
      </c>
      <c r="AI170" s="135" t="s">
        <v>711</v>
      </c>
      <c r="AJ170" s="134">
        <v>21.0</v>
      </c>
      <c r="AK170" s="135" t="s">
        <v>711</v>
      </c>
    </row>
    <row r="171" ht="15.75" customHeight="1">
      <c r="A171" s="130" t="s">
        <v>573</v>
      </c>
      <c r="B171" s="127" t="s">
        <v>129</v>
      </c>
      <c r="C171" s="141">
        <v>55.0</v>
      </c>
      <c r="D171" s="134">
        <v>40.0</v>
      </c>
      <c r="E171" s="133" t="s">
        <v>703</v>
      </c>
      <c r="F171" s="134">
        <v>177.0</v>
      </c>
      <c r="G171" s="134">
        <v>25.0</v>
      </c>
      <c r="H171" s="133" t="s">
        <v>703</v>
      </c>
      <c r="I171" s="134">
        <v>4.0</v>
      </c>
      <c r="J171" s="134">
        <v>0.0</v>
      </c>
      <c r="K171" s="133" t="s">
        <v>706</v>
      </c>
      <c r="L171" s="132">
        <v>3.0</v>
      </c>
      <c r="M171" s="132">
        <v>7.0</v>
      </c>
      <c r="N171" s="132" t="s">
        <v>706</v>
      </c>
      <c r="O171" s="132">
        <v>62.0</v>
      </c>
      <c r="P171" s="134">
        <v>0.0</v>
      </c>
      <c r="Q171" s="132" t="s">
        <v>706</v>
      </c>
      <c r="R171" s="132">
        <v>36.0</v>
      </c>
      <c r="S171" s="134">
        <v>0.0</v>
      </c>
      <c r="T171" s="132" t="s">
        <v>706</v>
      </c>
      <c r="U171" s="132">
        <v>16.0</v>
      </c>
      <c r="V171" s="134">
        <v>0.0</v>
      </c>
      <c r="W171" s="132" t="s">
        <v>706</v>
      </c>
      <c r="X171" s="132">
        <v>-6.0</v>
      </c>
      <c r="Y171" s="132">
        <v>30.0</v>
      </c>
      <c r="Z171" s="132" t="s">
        <v>703</v>
      </c>
      <c r="AA171" s="132">
        <v>20.0</v>
      </c>
      <c r="AB171" s="132">
        <v>-0.3</v>
      </c>
      <c r="AC171" s="133" t="s">
        <v>703</v>
      </c>
      <c r="AD171" s="130" t="s">
        <v>133</v>
      </c>
      <c r="AE171" s="131" t="s">
        <v>133</v>
      </c>
      <c r="AF171" s="130" t="s">
        <v>133</v>
      </c>
      <c r="AG171" s="131" t="s">
        <v>133</v>
      </c>
      <c r="AH171" s="134">
        <v>3.0</v>
      </c>
      <c r="AI171" s="135" t="s">
        <v>704</v>
      </c>
      <c r="AJ171" s="134">
        <v>4.0</v>
      </c>
      <c r="AK171" s="135" t="s">
        <v>704</v>
      </c>
    </row>
    <row r="172" ht="15.75" customHeight="1">
      <c r="A172" s="130" t="s">
        <v>576</v>
      </c>
      <c r="B172" s="127" t="s">
        <v>175</v>
      </c>
      <c r="C172" s="141">
        <v>38.0</v>
      </c>
      <c r="D172" s="134">
        <v>35.0</v>
      </c>
      <c r="E172" s="133" t="s">
        <v>703</v>
      </c>
      <c r="F172" s="134">
        <v>85.0</v>
      </c>
      <c r="G172" s="134">
        <v>45.0</v>
      </c>
      <c r="H172" s="133" t="s">
        <v>703</v>
      </c>
      <c r="I172" s="134">
        <v>5.0</v>
      </c>
      <c r="J172" s="134">
        <v>5.0</v>
      </c>
      <c r="K172" s="133" t="s">
        <v>706</v>
      </c>
      <c r="L172" s="132">
        <v>4.0</v>
      </c>
      <c r="M172" s="132">
        <v>16.0</v>
      </c>
      <c r="N172" s="132" t="s">
        <v>703</v>
      </c>
      <c r="O172" s="132">
        <v>116.0</v>
      </c>
      <c r="P172" s="132">
        <v>95.0</v>
      </c>
      <c r="Q172" s="132" t="s">
        <v>703</v>
      </c>
      <c r="R172" s="132">
        <v>74.0</v>
      </c>
      <c r="S172" s="132">
        <v>70.0</v>
      </c>
      <c r="T172" s="132" t="s">
        <v>703</v>
      </c>
      <c r="U172" s="132">
        <v>41.0</v>
      </c>
      <c r="V172" s="132">
        <v>60.0</v>
      </c>
      <c r="W172" s="132" t="s">
        <v>703</v>
      </c>
      <c r="X172" s="132">
        <v>-4.0</v>
      </c>
      <c r="Y172" s="132">
        <v>30.0</v>
      </c>
      <c r="Z172" s="132" t="s">
        <v>703</v>
      </c>
      <c r="AA172" s="132">
        <v>25.0</v>
      </c>
      <c r="AB172" s="132">
        <v>0.2</v>
      </c>
      <c r="AC172" s="133" t="s">
        <v>703</v>
      </c>
      <c r="AD172" s="130" t="s">
        <v>133</v>
      </c>
      <c r="AE172" s="131" t="s">
        <v>133</v>
      </c>
      <c r="AF172" s="130" t="s">
        <v>133</v>
      </c>
      <c r="AG172" s="131" t="s">
        <v>133</v>
      </c>
      <c r="AH172" s="134">
        <v>10.0</v>
      </c>
      <c r="AI172" s="135" t="s">
        <v>707</v>
      </c>
      <c r="AJ172" s="134">
        <v>21.0</v>
      </c>
      <c r="AK172" s="135" t="s">
        <v>711</v>
      </c>
    </row>
    <row r="173" ht="15.75" customHeight="1">
      <c r="A173" s="130" t="s">
        <v>580</v>
      </c>
      <c r="B173" s="127" t="s">
        <v>175</v>
      </c>
      <c r="C173" s="141">
        <v>35.0</v>
      </c>
      <c r="D173" s="134">
        <v>45.0</v>
      </c>
      <c r="E173" s="133" t="s">
        <v>703</v>
      </c>
      <c r="F173" s="134">
        <v>108.0</v>
      </c>
      <c r="G173" s="134">
        <v>15.0</v>
      </c>
      <c r="H173" s="133" t="s">
        <v>703</v>
      </c>
      <c r="I173" s="134">
        <v>4.0</v>
      </c>
      <c r="J173" s="134">
        <v>0.0</v>
      </c>
      <c r="K173" s="133" t="s">
        <v>706</v>
      </c>
      <c r="L173" s="132">
        <v>4.0</v>
      </c>
      <c r="M173" s="132">
        <v>12.0</v>
      </c>
      <c r="N173" s="132" t="s">
        <v>703</v>
      </c>
      <c r="O173" s="132">
        <v>89.0</v>
      </c>
      <c r="P173" s="132">
        <v>40.0</v>
      </c>
      <c r="Q173" s="132" t="s">
        <v>703</v>
      </c>
      <c r="R173" s="132">
        <v>60.0</v>
      </c>
      <c r="S173" s="132">
        <v>40.0</v>
      </c>
      <c r="T173" s="132" t="s">
        <v>703</v>
      </c>
      <c r="U173" s="132">
        <v>36.0</v>
      </c>
      <c r="V173" s="132">
        <v>60.0</v>
      </c>
      <c r="W173" s="132" t="s">
        <v>703</v>
      </c>
      <c r="X173" s="132">
        <v>0.0</v>
      </c>
      <c r="Y173" s="132">
        <v>60.0</v>
      </c>
      <c r="Z173" s="132" t="s">
        <v>703</v>
      </c>
      <c r="AA173" s="132">
        <v>30.0</v>
      </c>
      <c r="AB173" s="132">
        <v>1.4</v>
      </c>
      <c r="AC173" s="133" t="s">
        <v>703</v>
      </c>
      <c r="AD173" s="130" t="s">
        <v>133</v>
      </c>
      <c r="AE173" s="131" t="s">
        <v>133</v>
      </c>
      <c r="AF173" s="130" t="s">
        <v>133</v>
      </c>
      <c r="AG173" s="131" t="s">
        <v>133</v>
      </c>
      <c r="AH173" s="134">
        <v>6.0</v>
      </c>
      <c r="AI173" s="135" t="s">
        <v>708</v>
      </c>
      <c r="AJ173" s="134">
        <v>4.0</v>
      </c>
      <c r="AK173" s="135" t="s">
        <v>704</v>
      </c>
    </row>
    <row r="174" ht="15.75" customHeight="1">
      <c r="A174" s="130" t="s">
        <v>582</v>
      </c>
      <c r="B174" s="127" t="s">
        <v>175</v>
      </c>
      <c r="C174" s="141">
        <v>24.0</v>
      </c>
      <c r="D174" s="134">
        <v>90.0</v>
      </c>
      <c r="E174" s="133" t="s">
        <v>703</v>
      </c>
      <c r="F174" s="134">
        <v>65.0</v>
      </c>
      <c r="G174" s="134">
        <v>75.0</v>
      </c>
      <c r="H174" s="133" t="s">
        <v>703</v>
      </c>
      <c r="I174" s="134">
        <v>8.0</v>
      </c>
      <c r="J174" s="134">
        <v>51.0</v>
      </c>
      <c r="K174" s="133" t="s">
        <v>706</v>
      </c>
      <c r="L174" s="132">
        <v>4.0</v>
      </c>
      <c r="M174" s="132">
        <v>16.0</v>
      </c>
      <c r="N174" s="132" t="s">
        <v>703</v>
      </c>
      <c r="O174" s="132">
        <v>113.0</v>
      </c>
      <c r="P174" s="132">
        <v>90.0</v>
      </c>
      <c r="Q174" s="132" t="s">
        <v>703</v>
      </c>
      <c r="R174" s="132">
        <v>71.0</v>
      </c>
      <c r="S174" s="132">
        <v>60.0</v>
      </c>
      <c r="T174" s="132" t="s">
        <v>703</v>
      </c>
      <c r="U174" s="132">
        <v>42.0</v>
      </c>
      <c r="V174" s="132">
        <v>70.0</v>
      </c>
      <c r="W174" s="132" t="s">
        <v>703</v>
      </c>
      <c r="X174" s="132">
        <v>-1.0</v>
      </c>
      <c r="Y174" s="132">
        <v>50.0</v>
      </c>
      <c r="Z174" s="132" t="s">
        <v>703</v>
      </c>
      <c r="AA174" s="132">
        <v>27.0</v>
      </c>
      <c r="AB174" s="132">
        <v>0.8</v>
      </c>
      <c r="AC174" s="133" t="s">
        <v>703</v>
      </c>
      <c r="AD174" s="130" t="s">
        <v>133</v>
      </c>
      <c r="AE174" s="131" t="s">
        <v>133</v>
      </c>
      <c r="AF174" s="130" t="s">
        <v>133</v>
      </c>
      <c r="AG174" s="131" t="s">
        <v>133</v>
      </c>
      <c r="AH174" s="134">
        <v>6.0</v>
      </c>
      <c r="AI174" s="135" t="s">
        <v>708</v>
      </c>
      <c r="AJ174" s="134">
        <v>5.0</v>
      </c>
      <c r="AK174" s="135" t="s">
        <v>708</v>
      </c>
    </row>
    <row r="175" ht="15.75" customHeight="1">
      <c r="A175" s="130" t="s">
        <v>584</v>
      </c>
      <c r="B175" s="127" t="s">
        <v>175</v>
      </c>
      <c r="C175" s="141">
        <v>37.0</v>
      </c>
      <c r="D175" s="134">
        <v>40.0</v>
      </c>
      <c r="E175" s="133" t="s">
        <v>703</v>
      </c>
      <c r="F175" s="134">
        <v>91.0</v>
      </c>
      <c r="G175" s="134">
        <v>40.0</v>
      </c>
      <c r="H175" s="133" t="s">
        <v>703</v>
      </c>
      <c r="I175" s="134">
        <v>3.0</v>
      </c>
      <c r="J175" s="134">
        <v>0.0</v>
      </c>
      <c r="K175" s="133" t="s">
        <v>706</v>
      </c>
      <c r="L175" s="132">
        <v>4.0</v>
      </c>
      <c r="M175" s="132">
        <v>12.0</v>
      </c>
      <c r="N175" s="132" t="s">
        <v>703</v>
      </c>
      <c r="O175" s="132">
        <v>78.0</v>
      </c>
      <c r="P175" s="132">
        <v>10.0</v>
      </c>
      <c r="Q175" s="132" t="s">
        <v>709</v>
      </c>
      <c r="R175" s="132">
        <v>57.0</v>
      </c>
      <c r="S175" s="132">
        <v>15.0</v>
      </c>
      <c r="T175" s="132" t="s">
        <v>703</v>
      </c>
      <c r="U175" s="132">
        <v>32.0</v>
      </c>
      <c r="V175" s="132">
        <v>15.0</v>
      </c>
      <c r="W175" s="132" t="s">
        <v>703</v>
      </c>
      <c r="X175" s="132">
        <v>-1.0</v>
      </c>
      <c r="Y175" s="132">
        <v>40.0</v>
      </c>
      <c r="Z175" s="132" t="s">
        <v>703</v>
      </c>
      <c r="AA175" s="132">
        <v>25.0</v>
      </c>
      <c r="AB175" s="132">
        <v>0.2</v>
      </c>
      <c r="AC175" s="133" t="s">
        <v>703</v>
      </c>
      <c r="AD175" s="130" t="s">
        <v>133</v>
      </c>
      <c r="AE175" s="131" t="s">
        <v>133</v>
      </c>
      <c r="AF175" s="130" t="s">
        <v>133</v>
      </c>
      <c r="AG175" s="131" t="s">
        <v>133</v>
      </c>
      <c r="AH175" s="134">
        <v>20.0</v>
      </c>
      <c r="AI175" s="135" t="s">
        <v>711</v>
      </c>
      <c r="AJ175" s="134">
        <v>18.0</v>
      </c>
      <c r="AK175" s="135" t="s">
        <v>711</v>
      </c>
    </row>
    <row r="176" ht="15.75" customHeight="1">
      <c r="A176" s="130" t="s">
        <v>588</v>
      </c>
      <c r="B176" s="127" t="s">
        <v>175</v>
      </c>
      <c r="C176" s="141">
        <v>48.0</v>
      </c>
      <c r="D176" s="134">
        <v>30.0</v>
      </c>
      <c r="E176" s="133" t="s">
        <v>703</v>
      </c>
      <c r="F176" s="134">
        <v>116.0</v>
      </c>
      <c r="G176" s="134">
        <v>30.0</v>
      </c>
      <c r="H176" s="133" t="s">
        <v>703</v>
      </c>
      <c r="I176" s="134">
        <v>6.0</v>
      </c>
      <c r="J176" s="134">
        <v>17.0</v>
      </c>
      <c r="K176" s="133" t="s">
        <v>703</v>
      </c>
      <c r="L176" s="132">
        <v>5.0</v>
      </c>
      <c r="M176" s="132">
        <v>29.0</v>
      </c>
      <c r="N176" s="132" t="s">
        <v>703</v>
      </c>
      <c r="O176" s="132">
        <v>75.0</v>
      </c>
      <c r="P176" s="132">
        <v>10.0</v>
      </c>
      <c r="Q176" s="132" t="s">
        <v>709</v>
      </c>
      <c r="R176" s="132">
        <v>54.0</v>
      </c>
      <c r="S176" s="132">
        <v>30.0</v>
      </c>
      <c r="T176" s="132" t="s">
        <v>703</v>
      </c>
      <c r="U176" s="132">
        <v>25.0</v>
      </c>
      <c r="V176" s="132">
        <v>15.0</v>
      </c>
      <c r="W176" s="132" t="s">
        <v>703</v>
      </c>
      <c r="X176" s="132">
        <v>-6.0</v>
      </c>
      <c r="Y176" s="132">
        <v>30.0</v>
      </c>
      <c r="Z176" s="132" t="s">
        <v>703</v>
      </c>
      <c r="AA176" s="132">
        <v>26.0</v>
      </c>
      <c r="AB176" s="132">
        <v>1.3</v>
      </c>
      <c r="AC176" s="133" t="s">
        <v>703</v>
      </c>
      <c r="AD176" s="130" t="s">
        <v>133</v>
      </c>
      <c r="AE176" s="131" t="s">
        <v>133</v>
      </c>
      <c r="AF176" s="130" t="s">
        <v>133</v>
      </c>
      <c r="AG176" s="131" t="s">
        <v>133</v>
      </c>
      <c r="AH176" s="134">
        <v>11.0</v>
      </c>
      <c r="AI176" s="135" t="s">
        <v>707</v>
      </c>
      <c r="AJ176" s="134">
        <v>19.0</v>
      </c>
      <c r="AK176" s="135" t="s">
        <v>711</v>
      </c>
    </row>
    <row r="177" ht="15.75" customHeight="1">
      <c r="A177" s="130" t="s">
        <v>592</v>
      </c>
      <c r="B177" s="127" t="s">
        <v>129</v>
      </c>
      <c r="C177" s="141">
        <v>36.0</v>
      </c>
      <c r="D177" s="134">
        <v>25.0</v>
      </c>
      <c r="E177" s="133" t="s">
        <v>703</v>
      </c>
      <c r="F177" s="134">
        <v>77.0</v>
      </c>
      <c r="G177" s="134">
        <v>25.0</v>
      </c>
      <c r="H177" s="133" t="s">
        <v>703</v>
      </c>
      <c r="I177" s="134">
        <v>8.0</v>
      </c>
      <c r="J177" s="134">
        <v>51.0</v>
      </c>
      <c r="K177" s="133" t="s">
        <v>703</v>
      </c>
      <c r="L177" s="132">
        <v>5.0</v>
      </c>
      <c r="M177" s="132">
        <v>29.0</v>
      </c>
      <c r="N177" s="132" t="s">
        <v>703</v>
      </c>
      <c r="O177" s="132">
        <v>104.0</v>
      </c>
      <c r="P177" s="132">
        <v>70.0</v>
      </c>
      <c r="Q177" s="132" t="s">
        <v>703</v>
      </c>
      <c r="R177" s="132">
        <v>49.0</v>
      </c>
      <c r="S177" s="132">
        <v>5.0</v>
      </c>
      <c r="T177" s="132" t="s">
        <v>706</v>
      </c>
      <c r="U177" s="132">
        <v>37.0</v>
      </c>
      <c r="V177" s="132">
        <v>30.0</v>
      </c>
      <c r="W177" s="132" t="s">
        <v>703</v>
      </c>
      <c r="X177" s="132">
        <v>4.0</v>
      </c>
      <c r="Y177" s="132">
        <v>70.0</v>
      </c>
      <c r="Z177" s="132" t="s">
        <v>703</v>
      </c>
      <c r="AA177" s="132">
        <v>27.0</v>
      </c>
      <c r="AB177" s="132">
        <v>0.5</v>
      </c>
      <c r="AC177" s="133" t="s">
        <v>703</v>
      </c>
      <c r="AD177" s="130" t="s">
        <v>133</v>
      </c>
      <c r="AE177" s="131" t="s">
        <v>133</v>
      </c>
      <c r="AF177" s="130" t="s">
        <v>133</v>
      </c>
      <c r="AG177" s="131" t="s">
        <v>133</v>
      </c>
      <c r="AH177" s="134">
        <v>6.0</v>
      </c>
      <c r="AI177" s="135" t="s">
        <v>708</v>
      </c>
      <c r="AJ177" s="134">
        <v>14.0</v>
      </c>
      <c r="AK177" s="135" t="s">
        <v>707</v>
      </c>
    </row>
    <row r="178" ht="15.75" customHeight="1">
      <c r="A178" s="130" t="s">
        <v>595</v>
      </c>
      <c r="B178" s="127" t="s">
        <v>129</v>
      </c>
      <c r="C178" s="141">
        <v>18.0</v>
      </c>
      <c r="D178" s="132">
        <v>95.0</v>
      </c>
      <c r="E178" s="131" t="s">
        <v>703</v>
      </c>
      <c r="F178" s="132">
        <v>51.0</v>
      </c>
      <c r="G178" s="132">
        <v>95.0</v>
      </c>
      <c r="H178" s="133" t="s">
        <v>703</v>
      </c>
      <c r="I178" s="132">
        <v>6.0</v>
      </c>
      <c r="J178" s="132">
        <v>17.0</v>
      </c>
      <c r="K178" s="133" t="s">
        <v>703</v>
      </c>
      <c r="L178" s="132">
        <v>5.0</v>
      </c>
      <c r="M178" s="132">
        <v>29.0</v>
      </c>
      <c r="N178" s="132" t="s">
        <v>703</v>
      </c>
      <c r="O178" s="132">
        <v>88.0</v>
      </c>
      <c r="P178" s="132">
        <v>30.0</v>
      </c>
      <c r="Q178" s="132" t="s">
        <v>703</v>
      </c>
      <c r="R178" s="132">
        <v>59.0</v>
      </c>
      <c r="S178" s="132">
        <v>20.0</v>
      </c>
      <c r="T178" s="132" t="s">
        <v>703</v>
      </c>
      <c r="U178" s="132">
        <v>32.0</v>
      </c>
      <c r="V178" s="132">
        <v>20.0</v>
      </c>
      <c r="W178" s="130" t="s">
        <v>703</v>
      </c>
      <c r="X178" s="132">
        <v>-3.0</v>
      </c>
      <c r="Y178" s="132">
        <v>30.0</v>
      </c>
      <c r="Z178" s="130" t="s">
        <v>703</v>
      </c>
      <c r="AA178" s="132">
        <v>27.0</v>
      </c>
      <c r="AB178" s="132">
        <v>0.8</v>
      </c>
      <c r="AC178" s="131" t="s">
        <v>703</v>
      </c>
      <c r="AD178" s="130" t="s">
        <v>133</v>
      </c>
      <c r="AE178" s="131" t="s">
        <v>133</v>
      </c>
      <c r="AF178" s="130" t="s">
        <v>133</v>
      </c>
      <c r="AG178" s="131" t="s">
        <v>133</v>
      </c>
      <c r="AH178" s="134">
        <v>8.0</v>
      </c>
      <c r="AI178" s="135" t="s">
        <v>708</v>
      </c>
      <c r="AJ178" s="134">
        <v>5.0</v>
      </c>
      <c r="AK178" s="135" t="s">
        <v>708</v>
      </c>
    </row>
    <row r="179" ht="15.75" customHeight="1">
      <c r="A179" s="142" t="s">
        <v>597</v>
      </c>
      <c r="B179" s="127" t="s">
        <v>129</v>
      </c>
      <c r="C179" s="141">
        <v>36.0</v>
      </c>
      <c r="D179" s="132">
        <v>25.0</v>
      </c>
      <c r="E179" s="131" t="s">
        <v>703</v>
      </c>
      <c r="F179" s="132">
        <v>75.0</v>
      </c>
      <c r="G179" s="132">
        <v>25.0</v>
      </c>
      <c r="H179" s="131" t="s">
        <v>703</v>
      </c>
      <c r="I179" s="132">
        <v>7.0</v>
      </c>
      <c r="J179" s="132">
        <v>28.0</v>
      </c>
      <c r="K179" s="131" t="s">
        <v>703</v>
      </c>
      <c r="L179" s="132">
        <v>5.0</v>
      </c>
      <c r="M179" s="132">
        <v>29.0</v>
      </c>
      <c r="N179" s="130" t="s">
        <v>703</v>
      </c>
      <c r="O179" s="132">
        <v>88.0</v>
      </c>
      <c r="P179" s="132">
        <v>20.0</v>
      </c>
      <c r="Q179" s="130" t="s">
        <v>703</v>
      </c>
      <c r="R179" s="132">
        <v>64.0</v>
      </c>
      <c r="S179" s="130">
        <v>30.0</v>
      </c>
      <c r="T179" s="130" t="s">
        <v>703</v>
      </c>
      <c r="U179" s="132">
        <v>41.0</v>
      </c>
      <c r="V179" s="132">
        <v>40.0</v>
      </c>
      <c r="W179" s="130" t="s">
        <v>703</v>
      </c>
      <c r="X179" s="132">
        <v>4.0</v>
      </c>
      <c r="Y179" s="130">
        <v>60.0</v>
      </c>
      <c r="Z179" s="130" t="s">
        <v>703</v>
      </c>
      <c r="AA179" s="132">
        <v>23.0</v>
      </c>
      <c r="AB179" s="132">
        <v>-0.7</v>
      </c>
      <c r="AC179" s="131" t="s">
        <v>703</v>
      </c>
      <c r="AD179" s="130" t="s">
        <v>133</v>
      </c>
      <c r="AE179" s="131" t="s">
        <v>133</v>
      </c>
      <c r="AF179" s="130" t="s">
        <v>133</v>
      </c>
      <c r="AG179" s="131" t="s">
        <v>133</v>
      </c>
      <c r="AH179" s="134">
        <v>3.0</v>
      </c>
      <c r="AI179" s="135" t="s">
        <v>704</v>
      </c>
      <c r="AJ179" s="134">
        <v>4.0</v>
      </c>
      <c r="AK179" s="135" t="s">
        <v>704</v>
      </c>
    </row>
    <row r="180" ht="15.75" customHeight="1">
      <c r="A180" s="142" t="s">
        <v>598</v>
      </c>
      <c r="B180" s="127" t="s">
        <v>129</v>
      </c>
      <c r="C180" s="141">
        <v>34.0</v>
      </c>
      <c r="D180" s="132">
        <v>50.0</v>
      </c>
      <c r="E180" s="131" t="s">
        <v>703</v>
      </c>
      <c r="F180" s="132">
        <v>75.0</v>
      </c>
      <c r="G180" s="132">
        <v>60.0</v>
      </c>
      <c r="H180" s="131" t="s">
        <v>703</v>
      </c>
      <c r="I180" s="132">
        <v>6.0</v>
      </c>
      <c r="J180" s="132">
        <v>18.0</v>
      </c>
      <c r="K180" s="131" t="s">
        <v>703</v>
      </c>
      <c r="L180" s="132">
        <v>6.0</v>
      </c>
      <c r="M180" s="132">
        <v>48.0</v>
      </c>
      <c r="N180" s="130" t="s">
        <v>703</v>
      </c>
      <c r="O180" s="132">
        <v>85.0</v>
      </c>
      <c r="P180" s="132">
        <v>40.0</v>
      </c>
      <c r="Q180" s="130" t="s">
        <v>703</v>
      </c>
      <c r="R180" s="130">
        <v>61.0</v>
      </c>
      <c r="S180" s="132">
        <v>30.0</v>
      </c>
      <c r="T180" s="130" t="s">
        <v>703</v>
      </c>
      <c r="U180" s="132">
        <v>44.0</v>
      </c>
      <c r="V180" s="132">
        <v>90.0</v>
      </c>
      <c r="W180" s="130" t="s">
        <v>703</v>
      </c>
      <c r="X180" s="132">
        <v>9.0</v>
      </c>
      <c r="Y180" s="132">
        <v>95.0</v>
      </c>
      <c r="Z180" s="130" t="s">
        <v>703</v>
      </c>
      <c r="AA180" s="132">
        <v>27.0</v>
      </c>
      <c r="AB180" s="132">
        <v>0.8</v>
      </c>
      <c r="AC180" s="131" t="s">
        <v>703</v>
      </c>
      <c r="AD180" s="130" t="s">
        <v>133</v>
      </c>
      <c r="AE180" s="131" t="s">
        <v>133</v>
      </c>
      <c r="AF180" s="130" t="s">
        <v>133</v>
      </c>
      <c r="AG180" s="131" t="s">
        <v>133</v>
      </c>
      <c r="AH180" s="134">
        <v>8.0</v>
      </c>
      <c r="AI180" s="135" t="s">
        <v>708</v>
      </c>
      <c r="AJ180" s="134">
        <v>6.0</v>
      </c>
      <c r="AK180" s="135" t="s">
        <v>708</v>
      </c>
    </row>
    <row r="181" ht="15.75" customHeight="1">
      <c r="A181" s="142" t="s">
        <v>601</v>
      </c>
      <c r="B181" s="127" t="s">
        <v>129</v>
      </c>
      <c r="C181" s="141">
        <v>26.0</v>
      </c>
      <c r="D181" s="134">
        <v>80.0</v>
      </c>
      <c r="E181" s="133" t="s">
        <v>703</v>
      </c>
      <c r="F181" s="134">
        <v>61.0</v>
      </c>
      <c r="G181" s="134">
        <v>80.0</v>
      </c>
      <c r="H181" s="133" t="s">
        <v>703</v>
      </c>
      <c r="I181" s="134">
        <v>9.0</v>
      </c>
      <c r="J181" s="134">
        <v>70.0</v>
      </c>
      <c r="K181" s="133" t="s">
        <v>703</v>
      </c>
      <c r="L181" s="132">
        <v>8.0</v>
      </c>
      <c r="M181" s="132">
        <v>85.0</v>
      </c>
      <c r="N181" s="132" t="s">
        <v>703</v>
      </c>
      <c r="O181" s="132">
        <v>113.0</v>
      </c>
      <c r="P181" s="132">
        <v>95.0</v>
      </c>
      <c r="Q181" s="132" t="s">
        <v>703</v>
      </c>
      <c r="R181" s="132">
        <v>91.0</v>
      </c>
      <c r="S181" s="132">
        <v>95.0</v>
      </c>
      <c r="T181" s="132" t="s">
        <v>703</v>
      </c>
      <c r="U181" s="132">
        <v>57.0</v>
      </c>
      <c r="V181" s="132">
        <v>95.0</v>
      </c>
      <c r="W181" s="132" t="s">
        <v>703</v>
      </c>
      <c r="X181" s="132">
        <v>7.0</v>
      </c>
      <c r="Y181" s="132">
        <v>95.0</v>
      </c>
      <c r="Z181" s="132" t="s">
        <v>703</v>
      </c>
      <c r="AA181" s="132">
        <v>29.0</v>
      </c>
      <c r="AB181" s="132">
        <v>1.5</v>
      </c>
      <c r="AC181" s="133" t="s">
        <v>703</v>
      </c>
      <c r="AD181" s="130" t="s">
        <v>133</v>
      </c>
      <c r="AE181" s="131" t="s">
        <v>133</v>
      </c>
      <c r="AF181" s="130" t="s">
        <v>133</v>
      </c>
      <c r="AG181" s="131" t="s">
        <v>133</v>
      </c>
      <c r="AH181" s="134">
        <v>2.0</v>
      </c>
      <c r="AI181" s="135" t="s">
        <v>704</v>
      </c>
      <c r="AJ181" s="134">
        <v>4.0</v>
      </c>
      <c r="AK181" s="135" t="s">
        <v>704</v>
      </c>
    </row>
    <row r="182" ht="15.75" customHeight="1">
      <c r="A182" s="142" t="s">
        <v>604</v>
      </c>
      <c r="B182" s="127" t="s">
        <v>129</v>
      </c>
      <c r="C182" s="141">
        <v>21.0</v>
      </c>
      <c r="D182" s="134">
        <v>95.0</v>
      </c>
      <c r="E182" s="133" t="s">
        <v>703</v>
      </c>
      <c r="F182" s="134">
        <v>56.0</v>
      </c>
      <c r="G182" s="134">
        <v>95.0</v>
      </c>
      <c r="H182" s="133" t="s">
        <v>703</v>
      </c>
      <c r="I182" s="134">
        <v>6.0</v>
      </c>
      <c r="J182" s="134">
        <v>17.0</v>
      </c>
      <c r="K182" s="133" t="s">
        <v>703</v>
      </c>
      <c r="L182" s="132">
        <v>7.0</v>
      </c>
      <c r="M182" s="132">
        <v>71.0</v>
      </c>
      <c r="N182" s="132" t="s">
        <v>703</v>
      </c>
      <c r="O182" s="132">
        <v>77.0</v>
      </c>
      <c r="P182" s="132">
        <v>10.0</v>
      </c>
      <c r="Q182" s="132" t="s">
        <v>709</v>
      </c>
      <c r="R182" s="132">
        <v>67.0</v>
      </c>
      <c r="S182" s="132">
        <v>40.0</v>
      </c>
      <c r="T182" s="132" t="s">
        <v>703</v>
      </c>
      <c r="U182" s="132">
        <v>43.0</v>
      </c>
      <c r="V182" s="132">
        <v>60.0</v>
      </c>
      <c r="W182" s="132" t="s">
        <v>703</v>
      </c>
      <c r="X182" s="132">
        <v>7.0</v>
      </c>
      <c r="Y182" s="132">
        <v>80.0</v>
      </c>
      <c r="Z182" s="132" t="s">
        <v>703</v>
      </c>
      <c r="AA182" s="132">
        <v>29.0</v>
      </c>
      <c r="AB182" s="132">
        <v>1.1</v>
      </c>
      <c r="AC182" s="133" t="s">
        <v>703</v>
      </c>
      <c r="AD182" s="130" t="s">
        <v>133</v>
      </c>
      <c r="AE182" s="131" t="s">
        <v>133</v>
      </c>
      <c r="AF182" s="130" t="s">
        <v>133</v>
      </c>
      <c r="AG182" s="131" t="s">
        <v>133</v>
      </c>
      <c r="AH182" s="134">
        <v>0.0</v>
      </c>
      <c r="AI182" s="135" t="s">
        <v>704</v>
      </c>
      <c r="AJ182" s="134">
        <v>1.0</v>
      </c>
      <c r="AK182" s="135" t="s">
        <v>704</v>
      </c>
    </row>
    <row r="183" ht="15.75" customHeight="1">
      <c r="A183" s="142" t="s">
        <v>606</v>
      </c>
      <c r="B183" s="127" t="s">
        <v>129</v>
      </c>
      <c r="C183" s="141">
        <v>27.0</v>
      </c>
      <c r="D183" s="134">
        <v>55.0</v>
      </c>
      <c r="E183" s="133" t="s">
        <v>703</v>
      </c>
      <c r="F183" s="134">
        <v>72.0</v>
      </c>
      <c r="G183" s="134">
        <v>30.0</v>
      </c>
      <c r="H183" s="133" t="s">
        <v>703</v>
      </c>
      <c r="I183" s="134">
        <v>6.0</v>
      </c>
      <c r="J183" s="134">
        <v>17.0</v>
      </c>
      <c r="K183" s="133" t="s">
        <v>703</v>
      </c>
      <c r="L183" s="132">
        <v>4.0</v>
      </c>
      <c r="M183" s="132">
        <v>12.0</v>
      </c>
      <c r="N183" s="132" t="s">
        <v>703</v>
      </c>
      <c r="O183" s="132">
        <v>119.0</v>
      </c>
      <c r="P183" s="132">
        <v>90.0</v>
      </c>
      <c r="Q183" s="132" t="s">
        <v>703</v>
      </c>
      <c r="R183" s="132">
        <v>58.0</v>
      </c>
      <c r="S183" s="132">
        <v>15.0</v>
      </c>
      <c r="T183" s="132" t="s">
        <v>703</v>
      </c>
      <c r="U183" s="132">
        <v>35.0</v>
      </c>
      <c r="V183" s="132">
        <v>20.0</v>
      </c>
      <c r="W183" s="132" t="s">
        <v>703</v>
      </c>
      <c r="X183" s="132">
        <v>-4.0</v>
      </c>
      <c r="Y183" s="132">
        <v>20.0</v>
      </c>
      <c r="Z183" s="132" t="s">
        <v>703</v>
      </c>
      <c r="AA183" s="132">
        <v>26.0</v>
      </c>
      <c r="AB183" s="132">
        <v>0.5</v>
      </c>
      <c r="AC183" s="133" t="s">
        <v>703</v>
      </c>
      <c r="AD183" s="130" t="s">
        <v>133</v>
      </c>
      <c r="AE183" s="131" t="s">
        <v>133</v>
      </c>
      <c r="AF183" s="130" t="s">
        <v>133</v>
      </c>
      <c r="AG183" s="131" t="s">
        <v>133</v>
      </c>
      <c r="AH183" s="134">
        <v>6.0</v>
      </c>
      <c r="AI183" s="135" t="s">
        <v>708</v>
      </c>
      <c r="AJ183" s="134">
        <v>7.0</v>
      </c>
      <c r="AK183" s="135" t="s">
        <v>708</v>
      </c>
    </row>
    <row r="184" ht="15.75" customHeight="1">
      <c r="A184" s="142" t="s">
        <v>607</v>
      </c>
      <c r="B184" s="127" t="s">
        <v>129</v>
      </c>
      <c r="C184" s="141">
        <v>24.0</v>
      </c>
      <c r="D184" s="134">
        <v>70.0</v>
      </c>
      <c r="E184" s="133" t="s">
        <v>703</v>
      </c>
      <c r="F184" s="134">
        <v>52.0</v>
      </c>
      <c r="G184" s="134">
        <v>65.0</v>
      </c>
      <c r="H184" s="133" t="s">
        <v>703</v>
      </c>
      <c r="I184" s="134">
        <v>8.0</v>
      </c>
      <c r="J184" s="134">
        <v>51.0</v>
      </c>
      <c r="K184" s="133" t="s">
        <v>703</v>
      </c>
      <c r="L184" s="132">
        <v>8.0</v>
      </c>
      <c r="M184" s="132">
        <v>81.0</v>
      </c>
      <c r="N184" s="132" t="s">
        <v>703</v>
      </c>
      <c r="O184" s="132">
        <v>87.0</v>
      </c>
      <c r="P184" s="132">
        <v>20.0</v>
      </c>
      <c r="Q184" s="132" t="s">
        <v>703</v>
      </c>
      <c r="R184" s="132">
        <v>62.0</v>
      </c>
      <c r="S184" s="132">
        <v>30.0</v>
      </c>
      <c r="T184" s="132" t="s">
        <v>703</v>
      </c>
      <c r="U184" s="132">
        <v>36.0</v>
      </c>
      <c r="V184" s="132">
        <v>20.0</v>
      </c>
      <c r="W184" s="132" t="s">
        <v>703</v>
      </c>
      <c r="X184" s="132">
        <v>0.0</v>
      </c>
      <c r="Y184" s="132">
        <v>40.0</v>
      </c>
      <c r="Z184" s="132" t="s">
        <v>703</v>
      </c>
      <c r="AA184" s="132">
        <v>28.0</v>
      </c>
      <c r="AB184" s="132">
        <v>0.8</v>
      </c>
      <c r="AC184" s="133" t="s">
        <v>703</v>
      </c>
      <c r="AD184" s="130" t="s">
        <v>133</v>
      </c>
      <c r="AE184" s="131" t="s">
        <v>133</v>
      </c>
      <c r="AF184" s="130" t="s">
        <v>133</v>
      </c>
      <c r="AG184" s="131" t="s">
        <v>133</v>
      </c>
      <c r="AH184" s="134">
        <v>6.0</v>
      </c>
      <c r="AI184" s="135" t="s">
        <v>708</v>
      </c>
      <c r="AJ184" s="134">
        <v>9.0</v>
      </c>
      <c r="AK184" s="135" t="s">
        <v>708</v>
      </c>
    </row>
    <row r="185" ht="15.75" customHeight="1">
      <c r="A185" s="142" t="s">
        <v>609</v>
      </c>
      <c r="B185" s="127" t="s">
        <v>129</v>
      </c>
      <c r="C185" s="141">
        <v>67.0</v>
      </c>
      <c r="D185" s="132">
        <v>35.0</v>
      </c>
      <c r="E185" s="131" t="s">
        <v>703</v>
      </c>
      <c r="F185" s="132">
        <v>172.0</v>
      </c>
      <c r="G185" s="132">
        <v>25.0</v>
      </c>
      <c r="H185" s="133" t="s">
        <v>703</v>
      </c>
      <c r="I185" s="132">
        <v>7.0</v>
      </c>
      <c r="J185" s="132">
        <v>52.0</v>
      </c>
      <c r="K185" s="133" t="s">
        <v>703</v>
      </c>
      <c r="L185" s="132">
        <v>5.0</v>
      </c>
      <c r="M185" s="132">
        <v>30.0</v>
      </c>
      <c r="N185" s="132" t="s">
        <v>703</v>
      </c>
      <c r="O185" s="132">
        <v>96.0</v>
      </c>
      <c r="P185" s="132">
        <v>60.0</v>
      </c>
      <c r="Q185" s="132" t="s">
        <v>703</v>
      </c>
      <c r="R185" s="132">
        <v>72.0</v>
      </c>
      <c r="S185" s="132">
        <v>70.0</v>
      </c>
      <c r="T185" s="132" t="s">
        <v>703</v>
      </c>
      <c r="U185" s="132">
        <v>33.0</v>
      </c>
      <c r="V185" s="132">
        <v>40.0</v>
      </c>
      <c r="W185" s="130" t="s">
        <v>703</v>
      </c>
      <c r="X185" s="132">
        <v>-8.0</v>
      </c>
      <c r="Y185" s="132">
        <v>20.0</v>
      </c>
      <c r="Z185" s="130" t="s">
        <v>703</v>
      </c>
      <c r="AA185" s="132">
        <v>30.0</v>
      </c>
      <c r="AB185" s="132">
        <v>1.4</v>
      </c>
      <c r="AC185" s="131" t="s">
        <v>703</v>
      </c>
      <c r="AD185" s="130" t="s">
        <v>133</v>
      </c>
      <c r="AE185" s="131" t="s">
        <v>133</v>
      </c>
      <c r="AF185" s="130" t="s">
        <v>133</v>
      </c>
      <c r="AG185" s="131" t="s">
        <v>133</v>
      </c>
      <c r="AH185" s="134">
        <v>5.0</v>
      </c>
      <c r="AI185" s="135" t="s">
        <v>704</v>
      </c>
      <c r="AJ185" s="134">
        <v>1.0</v>
      </c>
      <c r="AK185" s="135" t="s">
        <v>704</v>
      </c>
    </row>
    <row r="186" ht="15.75" customHeight="1">
      <c r="A186" s="142" t="s">
        <v>610</v>
      </c>
      <c r="B186" s="127" t="s">
        <v>175</v>
      </c>
      <c r="C186" s="141">
        <v>36.0</v>
      </c>
      <c r="D186" s="130">
        <v>45.0</v>
      </c>
      <c r="E186" s="131" t="s">
        <v>703</v>
      </c>
      <c r="F186" s="130">
        <v>89.0</v>
      </c>
      <c r="G186" s="130">
        <v>40.0</v>
      </c>
      <c r="H186" s="131" t="s">
        <v>703</v>
      </c>
      <c r="I186" s="130">
        <v>6.0</v>
      </c>
      <c r="J186" s="130">
        <v>18.0</v>
      </c>
      <c r="K186" s="131" t="s">
        <v>703</v>
      </c>
      <c r="L186" s="130">
        <v>5.0</v>
      </c>
      <c r="M186" s="130">
        <v>31.0</v>
      </c>
      <c r="N186" s="130" t="s">
        <v>703</v>
      </c>
      <c r="O186" s="130">
        <v>54.0</v>
      </c>
      <c r="P186" s="130">
        <v>0.0</v>
      </c>
      <c r="Q186" s="130" t="s">
        <v>706</v>
      </c>
      <c r="R186" s="130">
        <v>59.0</v>
      </c>
      <c r="S186" s="130">
        <v>30.0</v>
      </c>
      <c r="T186" s="130" t="s">
        <v>703</v>
      </c>
      <c r="U186" s="130">
        <v>36.0</v>
      </c>
      <c r="V186" s="130">
        <v>30.0</v>
      </c>
      <c r="W186" s="130" t="s">
        <v>703</v>
      </c>
      <c r="X186" s="130">
        <v>8.0</v>
      </c>
      <c r="Y186" s="130">
        <v>90.0</v>
      </c>
      <c r="Z186" s="130" t="s">
        <v>703</v>
      </c>
      <c r="AA186" s="130">
        <v>29.0</v>
      </c>
      <c r="AB186" s="130">
        <v>1.1</v>
      </c>
      <c r="AC186" s="131" t="s">
        <v>703</v>
      </c>
      <c r="AD186" s="130" t="s">
        <v>133</v>
      </c>
      <c r="AE186" s="131" t="s">
        <v>133</v>
      </c>
      <c r="AF186" s="130" t="s">
        <v>133</v>
      </c>
      <c r="AG186" s="131" t="s">
        <v>133</v>
      </c>
      <c r="AH186" s="134">
        <v>16.0</v>
      </c>
      <c r="AI186" s="135" t="s">
        <v>711</v>
      </c>
      <c r="AJ186" s="134">
        <v>13.0</v>
      </c>
      <c r="AK186" s="135" t="s">
        <v>707</v>
      </c>
    </row>
    <row r="187" ht="15.75" customHeight="1">
      <c r="A187" s="142" t="s">
        <v>613</v>
      </c>
      <c r="B187" s="127" t="s">
        <v>175</v>
      </c>
      <c r="C187" s="141">
        <v>41.0</v>
      </c>
      <c r="D187" s="130">
        <v>20.0</v>
      </c>
      <c r="E187" s="131" t="s">
        <v>703</v>
      </c>
      <c r="F187" s="130">
        <v>67.0</v>
      </c>
      <c r="G187" s="130">
        <v>75.0</v>
      </c>
      <c r="H187" s="131" t="s">
        <v>703</v>
      </c>
      <c r="I187" s="130">
        <v>9.0</v>
      </c>
      <c r="J187" s="130">
        <v>70.0</v>
      </c>
      <c r="K187" s="131" t="s">
        <v>703</v>
      </c>
      <c r="L187" s="130">
        <v>7.0</v>
      </c>
      <c r="M187" s="130">
        <v>72.0</v>
      </c>
      <c r="N187" s="130" t="s">
        <v>703</v>
      </c>
      <c r="O187" s="130">
        <v>84.0</v>
      </c>
      <c r="P187" s="130">
        <v>20.0</v>
      </c>
      <c r="Q187" s="130" t="s">
        <v>703</v>
      </c>
      <c r="R187" s="130">
        <v>64.0</v>
      </c>
      <c r="S187" s="130">
        <v>40.0</v>
      </c>
      <c r="T187" s="130" t="s">
        <v>703</v>
      </c>
      <c r="U187" s="130">
        <v>40.0</v>
      </c>
      <c r="V187" s="130">
        <v>50.0</v>
      </c>
      <c r="W187" s="130" t="s">
        <v>703</v>
      </c>
      <c r="X187" s="130">
        <v>4.0</v>
      </c>
      <c r="Y187" s="130">
        <v>70.0</v>
      </c>
      <c r="Z187" s="130" t="s">
        <v>703</v>
      </c>
      <c r="AA187" s="130">
        <v>30.0</v>
      </c>
      <c r="AB187" s="130">
        <v>1.4</v>
      </c>
      <c r="AC187" s="131" t="s">
        <v>703</v>
      </c>
      <c r="AD187" s="130" t="s">
        <v>133</v>
      </c>
      <c r="AE187" s="131" t="s">
        <v>133</v>
      </c>
      <c r="AF187" s="130" t="s">
        <v>133</v>
      </c>
      <c r="AG187" s="131" t="s">
        <v>133</v>
      </c>
      <c r="AH187" s="134">
        <v>10.0</v>
      </c>
      <c r="AI187" s="135" t="s">
        <v>707</v>
      </c>
      <c r="AJ187" s="134">
        <v>7.0</v>
      </c>
      <c r="AK187" s="135" t="s">
        <v>708</v>
      </c>
    </row>
    <row r="188" ht="15.75" customHeight="1">
      <c r="A188" s="134" t="s">
        <v>618</v>
      </c>
      <c r="B188" s="134" t="s">
        <v>129</v>
      </c>
      <c r="C188" s="141">
        <v>37.0</v>
      </c>
      <c r="D188" s="134">
        <v>25.0</v>
      </c>
      <c r="E188" s="131" t="s">
        <v>703</v>
      </c>
      <c r="F188" s="134">
        <v>54.0</v>
      </c>
      <c r="G188" s="134">
        <v>65.0</v>
      </c>
      <c r="H188" s="131" t="s">
        <v>703</v>
      </c>
      <c r="I188" s="134">
        <v>9.0</v>
      </c>
      <c r="J188" s="134">
        <v>67.0</v>
      </c>
      <c r="K188" s="131" t="s">
        <v>703</v>
      </c>
      <c r="L188" s="134">
        <v>8.0</v>
      </c>
      <c r="M188" s="134">
        <v>81.0</v>
      </c>
      <c r="N188" s="130" t="s">
        <v>703</v>
      </c>
      <c r="O188" s="134">
        <v>129.0</v>
      </c>
      <c r="P188" s="134">
        <v>95.0</v>
      </c>
      <c r="Q188" s="130" t="s">
        <v>703</v>
      </c>
      <c r="R188" s="134">
        <v>76.0</v>
      </c>
      <c r="S188" s="134">
        <v>85.0</v>
      </c>
      <c r="T188" s="130" t="s">
        <v>703</v>
      </c>
      <c r="U188" s="134">
        <v>50.0</v>
      </c>
      <c r="V188" s="134">
        <v>95.0</v>
      </c>
      <c r="W188" s="130" t="s">
        <v>703</v>
      </c>
      <c r="X188" s="134">
        <v>2.0</v>
      </c>
      <c r="Y188" s="134">
        <v>70.0</v>
      </c>
      <c r="Z188" s="130" t="s">
        <v>703</v>
      </c>
      <c r="AA188" s="134">
        <v>26.0</v>
      </c>
      <c r="AB188" s="134">
        <v>0.5</v>
      </c>
      <c r="AC188" s="130" t="s">
        <v>703</v>
      </c>
      <c r="AD188" s="130" t="s">
        <v>133</v>
      </c>
      <c r="AE188" s="131" t="s">
        <v>133</v>
      </c>
      <c r="AF188" s="130" t="s">
        <v>133</v>
      </c>
      <c r="AG188" s="131" t="s">
        <v>133</v>
      </c>
      <c r="AH188" s="134">
        <v>2.0</v>
      </c>
      <c r="AI188" s="135" t="s">
        <v>704</v>
      </c>
      <c r="AJ188" s="134">
        <v>2.0</v>
      </c>
      <c r="AK188" s="135" t="s">
        <v>704</v>
      </c>
    </row>
    <row r="189" ht="15.75" customHeight="1">
      <c r="A189" s="134" t="s">
        <v>623</v>
      </c>
      <c r="B189" s="134" t="s">
        <v>175</v>
      </c>
      <c r="C189" s="141">
        <v>32.0</v>
      </c>
      <c r="D189" s="134">
        <v>30.0</v>
      </c>
      <c r="E189" s="131" t="s">
        <v>703</v>
      </c>
      <c r="F189" s="134">
        <v>79.0</v>
      </c>
      <c r="G189" s="134">
        <v>30.0</v>
      </c>
      <c r="H189" s="131" t="s">
        <v>703</v>
      </c>
      <c r="I189" s="134">
        <v>6.0</v>
      </c>
      <c r="J189" s="134">
        <v>14.0</v>
      </c>
      <c r="K189" s="131" t="s">
        <v>703</v>
      </c>
      <c r="L189" s="134">
        <v>4.0</v>
      </c>
      <c r="M189" s="134">
        <v>11.0</v>
      </c>
      <c r="N189" s="132" t="s">
        <v>709</v>
      </c>
      <c r="O189" s="134">
        <v>91.0</v>
      </c>
      <c r="P189" s="134">
        <v>20.0</v>
      </c>
      <c r="Q189" s="130" t="s">
        <v>703</v>
      </c>
      <c r="R189" s="134">
        <v>67.0</v>
      </c>
      <c r="S189" s="134">
        <v>30.0</v>
      </c>
      <c r="T189" s="130" t="s">
        <v>703</v>
      </c>
      <c r="U189" s="134">
        <v>43.0</v>
      </c>
      <c r="V189" s="134">
        <v>40.0</v>
      </c>
      <c r="W189" s="130" t="s">
        <v>703</v>
      </c>
      <c r="X189" s="134">
        <v>5.0</v>
      </c>
      <c r="Y189" s="134">
        <v>60.0</v>
      </c>
      <c r="Z189" s="130" t="s">
        <v>703</v>
      </c>
      <c r="AA189" s="134">
        <v>26.0</v>
      </c>
      <c r="AB189" s="134">
        <v>0.2</v>
      </c>
      <c r="AC189" s="130" t="s">
        <v>703</v>
      </c>
      <c r="AD189" s="130" t="s">
        <v>133</v>
      </c>
      <c r="AE189" s="131" t="s">
        <v>133</v>
      </c>
      <c r="AF189" s="130" t="s">
        <v>133</v>
      </c>
      <c r="AG189" s="131" t="s">
        <v>133</v>
      </c>
      <c r="AH189" s="134">
        <v>21.0</v>
      </c>
      <c r="AI189" s="135" t="s">
        <v>711</v>
      </c>
      <c r="AJ189" s="134">
        <v>18.0</v>
      </c>
      <c r="AK189" s="135" t="s">
        <v>711</v>
      </c>
    </row>
    <row r="190" ht="15.75" customHeight="1">
      <c r="A190" s="134" t="s">
        <v>626</v>
      </c>
      <c r="B190" s="134" t="s">
        <v>129</v>
      </c>
      <c r="C190" s="141">
        <v>27.0</v>
      </c>
      <c r="D190" s="134">
        <v>80.0</v>
      </c>
      <c r="E190" s="143" t="s">
        <v>703</v>
      </c>
      <c r="F190" s="134">
        <v>70.0</v>
      </c>
      <c r="G190" s="134">
        <v>70.0</v>
      </c>
      <c r="H190" s="143" t="s">
        <v>703</v>
      </c>
      <c r="I190" s="134">
        <v>7.0</v>
      </c>
      <c r="J190" s="134">
        <v>28.0</v>
      </c>
      <c r="K190" s="143" t="s">
        <v>703</v>
      </c>
      <c r="L190" s="134">
        <v>6.0</v>
      </c>
      <c r="M190" s="134">
        <v>51.0</v>
      </c>
      <c r="N190" s="134" t="s">
        <v>703</v>
      </c>
      <c r="O190" s="134">
        <v>89.0</v>
      </c>
      <c r="P190" s="134">
        <v>40.0</v>
      </c>
      <c r="Q190" s="134" t="s">
        <v>703</v>
      </c>
      <c r="R190" s="134">
        <v>66.0</v>
      </c>
      <c r="S190" s="134">
        <v>60.0</v>
      </c>
      <c r="T190" s="134" t="s">
        <v>703</v>
      </c>
      <c r="U190" s="134">
        <v>43.0</v>
      </c>
      <c r="V190" s="134">
        <v>80.0</v>
      </c>
      <c r="W190" s="134" t="s">
        <v>703</v>
      </c>
      <c r="X190" s="134">
        <v>5.0</v>
      </c>
      <c r="Y190" s="134">
        <v>85.0</v>
      </c>
      <c r="Z190" s="134" t="s">
        <v>703</v>
      </c>
      <c r="AA190" s="134">
        <v>28.0</v>
      </c>
      <c r="AB190" s="134">
        <v>1.2</v>
      </c>
      <c r="AC190" s="134" t="s">
        <v>703</v>
      </c>
      <c r="AD190" s="130" t="s">
        <v>133</v>
      </c>
      <c r="AE190" s="131" t="s">
        <v>133</v>
      </c>
      <c r="AF190" s="130" t="s">
        <v>133</v>
      </c>
      <c r="AG190" s="131" t="s">
        <v>133</v>
      </c>
      <c r="AH190" s="134">
        <v>0.0</v>
      </c>
      <c r="AI190" s="135" t="s">
        <v>704</v>
      </c>
      <c r="AJ190" s="134">
        <v>5.0</v>
      </c>
      <c r="AK190" s="135" t="s">
        <v>708</v>
      </c>
    </row>
    <row r="191" ht="15.75" customHeight="1">
      <c r="A191" s="134" t="s">
        <v>628</v>
      </c>
      <c r="B191" s="134" t="s">
        <v>175</v>
      </c>
      <c r="C191" s="141">
        <v>48.0</v>
      </c>
      <c r="D191" s="134">
        <v>10.0</v>
      </c>
      <c r="E191" s="131" t="s">
        <v>703</v>
      </c>
      <c r="F191" s="134">
        <v>77.0</v>
      </c>
      <c r="G191" s="134">
        <v>25.0</v>
      </c>
      <c r="H191" s="131" t="s">
        <v>703</v>
      </c>
      <c r="I191" s="134">
        <v>5.0</v>
      </c>
      <c r="J191" s="134">
        <v>3.0</v>
      </c>
      <c r="K191" s="133" t="s">
        <v>706</v>
      </c>
      <c r="L191" s="134">
        <v>3.0</v>
      </c>
      <c r="M191" s="134">
        <v>3.0</v>
      </c>
      <c r="N191" s="132" t="s">
        <v>706</v>
      </c>
      <c r="O191" s="134">
        <v>92.0</v>
      </c>
      <c r="P191" s="134">
        <v>30.0</v>
      </c>
      <c r="Q191" s="130" t="s">
        <v>703</v>
      </c>
      <c r="R191" s="134">
        <v>70.0</v>
      </c>
      <c r="S191" s="134">
        <v>50.0</v>
      </c>
      <c r="T191" s="130" t="s">
        <v>703</v>
      </c>
      <c r="U191" s="134">
        <v>47.0</v>
      </c>
      <c r="V191" s="134">
        <v>70.0</v>
      </c>
      <c r="W191" s="130" t="s">
        <v>703</v>
      </c>
      <c r="X191" s="134">
        <v>8.0</v>
      </c>
      <c r="Y191" s="134">
        <v>85.0</v>
      </c>
      <c r="Z191" s="130" t="s">
        <v>703</v>
      </c>
      <c r="AA191" s="134">
        <v>28.0</v>
      </c>
      <c r="AB191" s="134">
        <v>0.8</v>
      </c>
      <c r="AC191" s="130" t="s">
        <v>703</v>
      </c>
      <c r="AD191" s="130" t="s">
        <v>133</v>
      </c>
      <c r="AE191" s="131" t="s">
        <v>133</v>
      </c>
      <c r="AF191" s="130" t="s">
        <v>133</v>
      </c>
      <c r="AG191" s="131" t="s">
        <v>133</v>
      </c>
      <c r="AH191" s="134">
        <v>11.0</v>
      </c>
      <c r="AI191" s="135" t="s">
        <v>707</v>
      </c>
      <c r="AJ191" s="134">
        <v>5.0</v>
      </c>
      <c r="AK191" s="135" t="s">
        <v>708</v>
      </c>
    </row>
    <row r="192" ht="15.75" customHeight="1">
      <c r="A192" s="134" t="s">
        <v>629</v>
      </c>
      <c r="B192" s="134" t="s">
        <v>175</v>
      </c>
      <c r="C192" s="141">
        <v>31.0</v>
      </c>
      <c r="D192" s="134">
        <v>65.0</v>
      </c>
      <c r="E192" s="131" t="s">
        <v>703</v>
      </c>
      <c r="F192" s="134">
        <v>83.0</v>
      </c>
      <c r="G192" s="134">
        <v>45.0</v>
      </c>
      <c r="H192" s="131" t="s">
        <v>703</v>
      </c>
      <c r="I192" s="134">
        <v>10.0</v>
      </c>
      <c r="J192" s="134">
        <v>81.0</v>
      </c>
      <c r="K192" s="133" t="s">
        <v>703</v>
      </c>
      <c r="L192" s="134">
        <v>7.0</v>
      </c>
      <c r="M192" s="134">
        <v>71.0</v>
      </c>
      <c r="N192" s="132" t="s">
        <v>703</v>
      </c>
      <c r="O192" s="134">
        <v>101.0</v>
      </c>
      <c r="P192" s="134">
        <v>70.0</v>
      </c>
      <c r="Q192" s="130" t="s">
        <v>703</v>
      </c>
      <c r="R192" s="134">
        <v>53.0</v>
      </c>
      <c r="S192" s="134">
        <v>20.0</v>
      </c>
      <c r="T192" s="130" t="s">
        <v>703</v>
      </c>
      <c r="U192" s="134">
        <v>35.0</v>
      </c>
      <c r="V192" s="134">
        <v>50.0</v>
      </c>
      <c r="W192" s="130" t="s">
        <v>703</v>
      </c>
      <c r="X192" s="134">
        <v>0.0</v>
      </c>
      <c r="Y192" s="134">
        <v>60.0</v>
      </c>
      <c r="Z192" s="130" t="s">
        <v>703</v>
      </c>
      <c r="AA192" s="134">
        <v>26.0</v>
      </c>
      <c r="AB192" s="134">
        <v>0.5</v>
      </c>
      <c r="AC192" s="130" t="s">
        <v>703</v>
      </c>
      <c r="AD192" s="130" t="s">
        <v>133</v>
      </c>
      <c r="AE192" s="131" t="s">
        <v>133</v>
      </c>
      <c r="AF192" s="130" t="s">
        <v>133</v>
      </c>
      <c r="AG192" s="131" t="s">
        <v>133</v>
      </c>
      <c r="AH192" s="134">
        <v>3.0</v>
      </c>
      <c r="AI192" s="135" t="s">
        <v>704</v>
      </c>
      <c r="AJ192" s="134">
        <v>1.0</v>
      </c>
      <c r="AK192" s="135" t="s">
        <v>704</v>
      </c>
    </row>
    <row r="193" ht="15.75" customHeight="1">
      <c r="A193" s="134" t="s">
        <v>631</v>
      </c>
      <c r="B193" s="134" t="s">
        <v>175</v>
      </c>
      <c r="C193" s="141">
        <v>34.0</v>
      </c>
      <c r="D193" s="134">
        <v>50.0</v>
      </c>
      <c r="E193" s="133" t="s">
        <v>703</v>
      </c>
      <c r="F193" s="134">
        <v>72.0</v>
      </c>
      <c r="G193" s="134">
        <v>70.0</v>
      </c>
      <c r="H193" s="133" t="s">
        <v>703</v>
      </c>
      <c r="I193" s="134">
        <v>6.0</v>
      </c>
      <c r="J193" s="134">
        <v>17.0</v>
      </c>
      <c r="K193" s="133" t="s">
        <v>706</v>
      </c>
      <c r="L193" s="132">
        <v>4.0</v>
      </c>
      <c r="M193" s="132">
        <v>12.0</v>
      </c>
      <c r="N193" s="132" t="s">
        <v>703</v>
      </c>
      <c r="O193" s="132">
        <v>87.0</v>
      </c>
      <c r="P193" s="132">
        <v>30.0</v>
      </c>
      <c r="Q193" s="132" t="s">
        <v>703</v>
      </c>
      <c r="R193" s="132">
        <v>69.0</v>
      </c>
      <c r="S193" s="132">
        <v>50.0</v>
      </c>
      <c r="T193" s="132" t="s">
        <v>703</v>
      </c>
      <c r="U193" s="132">
        <v>39.0</v>
      </c>
      <c r="V193" s="132">
        <v>50.0</v>
      </c>
      <c r="W193" s="132" t="s">
        <v>703</v>
      </c>
      <c r="X193" s="132">
        <v>1.0</v>
      </c>
      <c r="Y193" s="132">
        <v>50.0</v>
      </c>
      <c r="Z193" s="132" t="s">
        <v>703</v>
      </c>
      <c r="AA193" s="132">
        <v>27.0</v>
      </c>
      <c r="AB193" s="132">
        <v>0.5</v>
      </c>
      <c r="AC193" s="133" t="s">
        <v>703</v>
      </c>
      <c r="AD193" s="130" t="s">
        <v>133</v>
      </c>
      <c r="AE193" s="131" t="s">
        <v>133</v>
      </c>
      <c r="AF193" s="130" t="s">
        <v>133</v>
      </c>
      <c r="AG193" s="131" t="s">
        <v>133</v>
      </c>
      <c r="AH193" s="134">
        <v>21.0</v>
      </c>
      <c r="AI193" s="135" t="s">
        <v>711</v>
      </c>
      <c r="AJ193" s="134">
        <v>15.0</v>
      </c>
      <c r="AK193" s="135" t="s">
        <v>711</v>
      </c>
    </row>
    <row r="194" ht="15.75" customHeight="1">
      <c r="A194" s="89" t="s">
        <v>632</v>
      </c>
      <c r="B194" s="134" t="s">
        <v>175</v>
      </c>
      <c r="C194" s="141">
        <v>37.0</v>
      </c>
      <c r="D194" s="134">
        <v>25.0</v>
      </c>
      <c r="E194" s="131" t="s">
        <v>703</v>
      </c>
      <c r="F194" s="134">
        <v>83.0</v>
      </c>
      <c r="G194" s="134">
        <v>25.0</v>
      </c>
      <c r="H194" s="131" t="s">
        <v>703</v>
      </c>
      <c r="I194" s="134">
        <v>6.0</v>
      </c>
      <c r="J194" s="134">
        <v>16.0</v>
      </c>
      <c r="K194" s="131" t="s">
        <v>703</v>
      </c>
      <c r="L194" s="134">
        <v>7.0</v>
      </c>
      <c r="M194" s="134">
        <v>70.0</v>
      </c>
      <c r="N194" s="130" t="s">
        <v>703</v>
      </c>
      <c r="O194" s="134">
        <v>76.0</v>
      </c>
      <c r="P194" s="134">
        <v>5.0</v>
      </c>
      <c r="Q194" s="132" t="s">
        <v>706</v>
      </c>
      <c r="R194" s="134">
        <v>63.0</v>
      </c>
      <c r="S194" s="134">
        <v>20.0</v>
      </c>
      <c r="T194" s="130" t="s">
        <v>703</v>
      </c>
      <c r="U194" s="134">
        <v>42.0</v>
      </c>
      <c r="V194" s="134">
        <v>40.0</v>
      </c>
      <c r="W194" s="130" t="s">
        <v>703</v>
      </c>
      <c r="X194" s="134">
        <v>8.0</v>
      </c>
      <c r="Y194" s="134">
        <v>80.0</v>
      </c>
      <c r="Z194" s="130" t="s">
        <v>703</v>
      </c>
      <c r="AA194" s="134">
        <v>29.0</v>
      </c>
      <c r="AB194" s="134">
        <v>1.5</v>
      </c>
      <c r="AC194" s="130" t="s">
        <v>703</v>
      </c>
      <c r="AD194" s="130" t="s">
        <v>133</v>
      </c>
      <c r="AE194" s="131" t="s">
        <v>133</v>
      </c>
      <c r="AF194" s="130" t="s">
        <v>133</v>
      </c>
      <c r="AG194" s="131" t="s">
        <v>133</v>
      </c>
      <c r="AH194" s="134">
        <v>10.0</v>
      </c>
      <c r="AI194" s="135" t="s">
        <v>707</v>
      </c>
      <c r="AJ194" s="134">
        <v>10.0</v>
      </c>
      <c r="AK194" s="135" t="s">
        <v>707</v>
      </c>
    </row>
    <row r="195" ht="15.75" customHeight="1">
      <c r="A195" s="89" t="s">
        <v>636</v>
      </c>
      <c r="B195" s="134" t="s">
        <v>175</v>
      </c>
      <c r="C195" s="38">
        <v>46.0</v>
      </c>
      <c r="D195" s="122">
        <v>10.0</v>
      </c>
      <c r="E195" s="123" t="s">
        <v>703</v>
      </c>
      <c r="F195" s="122">
        <v>119.0</v>
      </c>
      <c r="G195" s="122">
        <v>10.0</v>
      </c>
      <c r="H195" s="123" t="s">
        <v>703</v>
      </c>
      <c r="I195" s="122">
        <v>5.0</v>
      </c>
      <c r="J195" s="122">
        <v>3.0</v>
      </c>
      <c r="K195" s="123" t="s">
        <v>706</v>
      </c>
      <c r="L195" s="122">
        <v>3.0</v>
      </c>
      <c r="M195" s="122">
        <v>3.0</v>
      </c>
      <c r="N195" s="122" t="s">
        <v>706</v>
      </c>
      <c r="O195" s="122">
        <v>89.0</v>
      </c>
      <c r="P195" s="122">
        <v>20.0</v>
      </c>
      <c r="Q195" s="122" t="s">
        <v>703</v>
      </c>
      <c r="R195" s="122">
        <v>64.0</v>
      </c>
      <c r="S195" s="122">
        <v>30.0</v>
      </c>
      <c r="T195" s="122" t="s">
        <v>703</v>
      </c>
      <c r="U195" s="122">
        <v>41.0</v>
      </c>
      <c r="V195" s="122">
        <v>40.0</v>
      </c>
      <c r="W195" s="122" t="s">
        <v>703</v>
      </c>
      <c r="X195" s="122">
        <v>4.0</v>
      </c>
      <c r="Y195" s="122">
        <v>60.0</v>
      </c>
      <c r="Z195" s="122" t="s">
        <v>703</v>
      </c>
      <c r="AA195" s="122">
        <v>23.0</v>
      </c>
      <c r="AB195" s="122">
        <v>-0.7</v>
      </c>
      <c r="AC195" s="122" t="s">
        <v>703</v>
      </c>
      <c r="AD195" s="130" t="s">
        <v>133</v>
      </c>
      <c r="AE195" s="131" t="s">
        <v>133</v>
      </c>
      <c r="AF195" s="130" t="s">
        <v>133</v>
      </c>
      <c r="AG195" s="131" t="s">
        <v>133</v>
      </c>
      <c r="AH195" s="122">
        <v>13.0</v>
      </c>
      <c r="AI195" s="123" t="s">
        <v>707</v>
      </c>
      <c r="AJ195" s="122">
        <v>10.0</v>
      </c>
      <c r="AK195" s="123" t="s">
        <v>707</v>
      </c>
    </row>
    <row r="196" ht="15.75" customHeight="1">
      <c r="A196" s="89" t="s">
        <v>637</v>
      </c>
      <c r="B196" s="127" t="s">
        <v>175</v>
      </c>
      <c r="C196" s="144">
        <v>33.0</v>
      </c>
      <c r="D196" s="145">
        <v>35.0</v>
      </c>
      <c r="E196" s="146" t="s">
        <v>703</v>
      </c>
      <c r="F196" s="145">
        <v>62.0</v>
      </c>
      <c r="G196" s="145">
        <v>40.0</v>
      </c>
      <c r="H196" s="146" t="s">
        <v>703</v>
      </c>
      <c r="I196" s="145">
        <v>9.0</v>
      </c>
      <c r="J196" s="145">
        <v>67.0</v>
      </c>
      <c r="K196" s="146" t="s">
        <v>703</v>
      </c>
      <c r="L196" s="145">
        <v>7.0</v>
      </c>
      <c r="M196" s="145">
        <v>71.0</v>
      </c>
      <c r="N196" s="104" t="s">
        <v>703</v>
      </c>
      <c r="O196" s="145">
        <v>105.0</v>
      </c>
      <c r="P196" s="145">
        <v>85.0</v>
      </c>
      <c r="Q196" s="104" t="s">
        <v>703</v>
      </c>
      <c r="R196" s="145">
        <v>65.0</v>
      </c>
      <c r="S196" s="145">
        <v>60.0</v>
      </c>
      <c r="T196" s="104" t="s">
        <v>703</v>
      </c>
      <c r="U196" s="145">
        <v>41.0</v>
      </c>
      <c r="V196" s="145">
        <v>70.0</v>
      </c>
      <c r="W196" s="104" t="s">
        <v>703</v>
      </c>
      <c r="X196" s="145">
        <v>-1.0</v>
      </c>
      <c r="Y196" s="145">
        <v>60.0</v>
      </c>
      <c r="Z196" s="104" t="s">
        <v>703</v>
      </c>
      <c r="AA196" s="145">
        <v>26.0</v>
      </c>
      <c r="AB196" s="145">
        <v>0.5</v>
      </c>
      <c r="AC196" s="104" t="s">
        <v>703</v>
      </c>
      <c r="AD196" s="130" t="s">
        <v>133</v>
      </c>
      <c r="AE196" s="131" t="s">
        <v>133</v>
      </c>
      <c r="AF196" s="130" t="s">
        <v>133</v>
      </c>
      <c r="AG196" s="131" t="s">
        <v>133</v>
      </c>
      <c r="AH196" s="145">
        <v>7.0</v>
      </c>
      <c r="AI196" s="135" t="s">
        <v>708</v>
      </c>
      <c r="AJ196" s="145">
        <v>5.0</v>
      </c>
      <c r="AK196" s="147" t="s">
        <v>708</v>
      </c>
    </row>
    <row r="197" ht="15.75" customHeight="1">
      <c r="A197" s="89" t="s">
        <v>638</v>
      </c>
      <c r="B197" s="127" t="s">
        <v>175</v>
      </c>
      <c r="C197" s="144">
        <v>32.0</v>
      </c>
      <c r="D197" s="145">
        <v>55.0</v>
      </c>
      <c r="E197" s="146" t="s">
        <v>703</v>
      </c>
      <c r="F197" s="145">
        <v>70.0</v>
      </c>
      <c r="G197" s="145">
        <v>70.0</v>
      </c>
      <c r="H197" s="146" t="s">
        <v>703</v>
      </c>
      <c r="I197" s="128">
        <v>7.0</v>
      </c>
      <c r="J197" s="128">
        <v>35.0</v>
      </c>
      <c r="K197" s="146" t="s">
        <v>703</v>
      </c>
      <c r="L197" s="145">
        <v>7.0</v>
      </c>
      <c r="M197" s="145">
        <v>72.0</v>
      </c>
      <c r="N197" s="104" t="s">
        <v>703</v>
      </c>
      <c r="O197" s="145">
        <v>86.0</v>
      </c>
      <c r="P197" s="145">
        <v>30.0</v>
      </c>
      <c r="Q197" s="104" t="s">
        <v>703</v>
      </c>
      <c r="R197" s="145">
        <v>65.0</v>
      </c>
      <c r="S197" s="145">
        <v>40.0</v>
      </c>
      <c r="T197" s="104" t="s">
        <v>703</v>
      </c>
      <c r="U197" s="145">
        <v>47.0</v>
      </c>
      <c r="V197" s="145">
        <v>85.0</v>
      </c>
      <c r="W197" s="104" t="s">
        <v>703</v>
      </c>
      <c r="X197" s="145">
        <v>10.0</v>
      </c>
      <c r="Y197" s="145">
        <v>90.0</v>
      </c>
      <c r="Z197" s="104" t="s">
        <v>703</v>
      </c>
      <c r="AA197" s="145">
        <v>30.0</v>
      </c>
      <c r="AB197" s="145">
        <v>1.4</v>
      </c>
      <c r="AC197" s="104" t="s">
        <v>703</v>
      </c>
      <c r="AD197" s="130" t="s">
        <v>133</v>
      </c>
      <c r="AE197" s="131" t="s">
        <v>133</v>
      </c>
      <c r="AF197" s="130" t="s">
        <v>133</v>
      </c>
      <c r="AG197" s="131" t="s">
        <v>133</v>
      </c>
      <c r="AH197" s="145">
        <v>0.0</v>
      </c>
      <c r="AI197" s="147" t="s">
        <v>704</v>
      </c>
      <c r="AJ197" s="145">
        <v>0.0</v>
      </c>
      <c r="AK197" s="147" t="s">
        <v>704</v>
      </c>
    </row>
    <row r="198" ht="15.75" customHeight="1">
      <c r="A198" s="89" t="s">
        <v>641</v>
      </c>
      <c r="B198" s="127" t="s">
        <v>175</v>
      </c>
      <c r="C198" s="144">
        <v>22.0</v>
      </c>
      <c r="D198" s="145">
        <v>80.0</v>
      </c>
      <c r="E198" s="146" t="s">
        <v>703</v>
      </c>
      <c r="F198" s="145">
        <v>47.0</v>
      </c>
      <c r="G198" s="145">
        <v>75.0</v>
      </c>
      <c r="H198" s="146" t="s">
        <v>703</v>
      </c>
      <c r="I198" s="145">
        <v>9.0</v>
      </c>
      <c r="J198" s="145">
        <v>67.0</v>
      </c>
      <c r="K198" s="123" t="s">
        <v>703</v>
      </c>
      <c r="L198" s="128">
        <v>6.0</v>
      </c>
      <c r="M198" s="128">
        <v>51.0</v>
      </c>
      <c r="N198" s="104" t="s">
        <v>703</v>
      </c>
      <c r="O198" s="145">
        <v>91.0</v>
      </c>
      <c r="P198" s="145">
        <v>30.0</v>
      </c>
      <c r="Q198" s="104" t="s">
        <v>703</v>
      </c>
      <c r="R198" s="145">
        <v>57.0</v>
      </c>
      <c r="S198" s="145">
        <v>15.0</v>
      </c>
      <c r="T198" s="104" t="s">
        <v>703</v>
      </c>
      <c r="U198" s="145">
        <v>32.0</v>
      </c>
      <c r="V198" s="145">
        <v>15.0</v>
      </c>
      <c r="W198" s="104" t="s">
        <v>703</v>
      </c>
      <c r="X198" s="145">
        <v>-3.0</v>
      </c>
      <c r="Y198" s="145">
        <v>30.0</v>
      </c>
      <c r="Z198" s="104" t="s">
        <v>703</v>
      </c>
      <c r="AA198" s="145">
        <v>29.0</v>
      </c>
      <c r="AB198" s="145">
        <v>1.1</v>
      </c>
      <c r="AC198" s="104" t="s">
        <v>703</v>
      </c>
      <c r="AD198" s="130" t="s">
        <v>133</v>
      </c>
      <c r="AE198" s="131" t="s">
        <v>133</v>
      </c>
      <c r="AF198" s="130" t="s">
        <v>133</v>
      </c>
      <c r="AG198" s="131" t="s">
        <v>133</v>
      </c>
      <c r="AH198" s="145">
        <v>0.0</v>
      </c>
      <c r="AI198" s="135" t="s">
        <v>704</v>
      </c>
      <c r="AJ198" s="145">
        <v>1.0</v>
      </c>
      <c r="AK198" s="135" t="s">
        <v>704</v>
      </c>
    </row>
    <row r="199" ht="15.75" customHeight="1">
      <c r="A199" s="89" t="s">
        <v>643</v>
      </c>
      <c r="B199" s="127" t="s">
        <v>175</v>
      </c>
      <c r="C199" s="144">
        <v>27.0</v>
      </c>
      <c r="D199" s="145">
        <v>55.0</v>
      </c>
      <c r="E199" s="123" t="s">
        <v>703</v>
      </c>
      <c r="F199" s="145">
        <v>60.0</v>
      </c>
      <c r="G199" s="145">
        <v>45.0</v>
      </c>
      <c r="H199" s="146" t="s">
        <v>703</v>
      </c>
      <c r="I199" s="145">
        <v>8.0</v>
      </c>
      <c r="J199" s="145">
        <v>50.0</v>
      </c>
      <c r="K199" s="146" t="s">
        <v>703</v>
      </c>
      <c r="L199" s="145">
        <v>5.0</v>
      </c>
      <c r="M199" s="145">
        <v>27.0</v>
      </c>
      <c r="N199" s="122" t="s">
        <v>703</v>
      </c>
      <c r="O199" s="145">
        <v>126.0</v>
      </c>
      <c r="P199" s="145">
        <v>95.0</v>
      </c>
      <c r="Q199" s="104" t="s">
        <v>703</v>
      </c>
      <c r="R199" s="145">
        <v>78.0</v>
      </c>
      <c r="S199" s="145">
        <v>70.0</v>
      </c>
      <c r="T199" s="104" t="s">
        <v>703</v>
      </c>
      <c r="U199" s="145">
        <v>36.0</v>
      </c>
      <c r="V199" s="145">
        <v>15.0</v>
      </c>
      <c r="W199" s="104" t="s">
        <v>703</v>
      </c>
      <c r="X199" s="145">
        <v>-12.0</v>
      </c>
      <c r="Y199" s="145">
        <v>5.0</v>
      </c>
      <c r="Z199" s="122" t="s">
        <v>706</v>
      </c>
      <c r="AA199" s="128">
        <v>25.0</v>
      </c>
      <c r="AB199" s="145">
        <v>-0.09</v>
      </c>
      <c r="AC199" s="146" t="s">
        <v>703</v>
      </c>
      <c r="AD199" s="130" t="s">
        <v>133</v>
      </c>
      <c r="AE199" s="131" t="s">
        <v>133</v>
      </c>
      <c r="AF199" s="130" t="s">
        <v>133</v>
      </c>
      <c r="AG199" s="131" t="s">
        <v>133</v>
      </c>
      <c r="AH199" s="132">
        <v>12.0</v>
      </c>
      <c r="AI199" s="147" t="s">
        <v>707</v>
      </c>
      <c r="AJ199" s="132">
        <v>14.0</v>
      </c>
      <c r="AK199" s="147" t="s">
        <v>707</v>
      </c>
    </row>
    <row r="200" ht="15.75" customHeight="1">
      <c r="A200" s="89" t="s">
        <v>647</v>
      </c>
      <c r="B200" s="127" t="s">
        <v>175</v>
      </c>
      <c r="C200" s="144">
        <v>27.0</v>
      </c>
      <c r="D200" s="145">
        <v>55.0</v>
      </c>
      <c r="E200" s="146" t="s">
        <v>703</v>
      </c>
      <c r="F200" s="145">
        <v>38.0</v>
      </c>
      <c r="G200" s="145">
        <v>70.0</v>
      </c>
      <c r="H200" s="146" t="s">
        <v>703</v>
      </c>
      <c r="I200" s="145">
        <v>7.0</v>
      </c>
      <c r="J200" s="145">
        <v>20.0</v>
      </c>
      <c r="K200" s="146" t="s">
        <v>703</v>
      </c>
      <c r="L200" s="145">
        <v>6.0</v>
      </c>
      <c r="M200" s="145">
        <v>47.0</v>
      </c>
      <c r="N200" s="104" t="s">
        <v>703</v>
      </c>
      <c r="O200" s="145">
        <v>94.0</v>
      </c>
      <c r="P200" s="145">
        <v>40.0</v>
      </c>
      <c r="Q200" s="122" t="s">
        <v>703</v>
      </c>
      <c r="R200" s="145">
        <v>67.0</v>
      </c>
      <c r="S200" s="145">
        <v>50.0</v>
      </c>
      <c r="T200" s="122" t="s">
        <v>703</v>
      </c>
      <c r="U200" s="145">
        <v>46.0</v>
      </c>
      <c r="V200" s="145">
        <v>80.0</v>
      </c>
      <c r="W200" s="104" t="s">
        <v>703</v>
      </c>
      <c r="X200" s="145">
        <v>7.0</v>
      </c>
      <c r="Y200" s="145">
        <v>85.0</v>
      </c>
      <c r="Z200" s="104" t="s">
        <v>703</v>
      </c>
      <c r="AA200" s="145">
        <v>28.0</v>
      </c>
      <c r="AB200" s="145">
        <v>1.2</v>
      </c>
      <c r="AC200" s="146" t="s">
        <v>703</v>
      </c>
      <c r="AD200" s="130" t="s">
        <v>133</v>
      </c>
      <c r="AE200" s="131" t="s">
        <v>133</v>
      </c>
      <c r="AF200" s="130" t="s">
        <v>133</v>
      </c>
      <c r="AG200" s="131" t="s">
        <v>133</v>
      </c>
      <c r="AH200" s="145">
        <v>16.0</v>
      </c>
      <c r="AI200" s="135" t="s">
        <v>711</v>
      </c>
      <c r="AJ200" s="145">
        <v>12.0</v>
      </c>
      <c r="AK200" s="135" t="s">
        <v>707</v>
      </c>
    </row>
    <row r="201" ht="15.75" customHeight="1">
      <c r="A201" s="89" t="s">
        <v>648</v>
      </c>
      <c r="B201" s="134" t="s">
        <v>175</v>
      </c>
      <c r="C201" s="141">
        <v>35.0</v>
      </c>
      <c r="D201" s="134">
        <v>25.0</v>
      </c>
      <c r="E201" s="131" t="s">
        <v>703</v>
      </c>
      <c r="F201" s="134">
        <v>58.0</v>
      </c>
      <c r="G201" s="134">
        <v>50.0</v>
      </c>
      <c r="H201" s="131" t="s">
        <v>703</v>
      </c>
      <c r="I201" s="134">
        <v>9.0</v>
      </c>
      <c r="J201" s="134">
        <v>64.0</v>
      </c>
      <c r="K201" s="131" t="s">
        <v>703</v>
      </c>
      <c r="L201" s="134">
        <v>8.0</v>
      </c>
      <c r="M201" s="134">
        <v>77.0</v>
      </c>
      <c r="N201" s="130" t="s">
        <v>703</v>
      </c>
      <c r="O201" s="134">
        <v>110.0</v>
      </c>
      <c r="P201" s="134">
        <v>80.0</v>
      </c>
      <c r="Q201" s="130" t="s">
        <v>703</v>
      </c>
      <c r="R201" s="134">
        <v>69.0</v>
      </c>
      <c r="S201" s="134">
        <v>40.0</v>
      </c>
      <c r="T201" s="130" t="s">
        <v>703</v>
      </c>
      <c r="U201" s="134">
        <v>42.0</v>
      </c>
      <c r="V201" s="134">
        <v>40.0</v>
      </c>
      <c r="W201" s="130" t="s">
        <v>703</v>
      </c>
      <c r="X201" s="134">
        <v>0.0</v>
      </c>
      <c r="Y201" s="134">
        <v>40.0</v>
      </c>
      <c r="Z201" s="130" t="s">
        <v>703</v>
      </c>
      <c r="AA201" s="134">
        <v>29.0</v>
      </c>
      <c r="AB201" s="134">
        <v>1.0</v>
      </c>
      <c r="AC201" s="130" t="s">
        <v>703</v>
      </c>
      <c r="AD201" s="130" t="s">
        <v>133</v>
      </c>
      <c r="AE201" s="131" t="s">
        <v>133</v>
      </c>
      <c r="AF201" s="130" t="s">
        <v>133</v>
      </c>
      <c r="AG201" s="131" t="s">
        <v>133</v>
      </c>
      <c r="AH201" s="134">
        <v>5.0</v>
      </c>
      <c r="AI201" s="135" t="s">
        <v>704</v>
      </c>
      <c r="AJ201" s="134">
        <v>17.0</v>
      </c>
      <c r="AK201" s="135" t="s">
        <v>711</v>
      </c>
    </row>
    <row r="202" ht="15.75" customHeight="1">
      <c r="A202" s="89" t="s">
        <v>650</v>
      </c>
      <c r="B202" s="134" t="s">
        <v>175</v>
      </c>
      <c r="C202" s="38">
        <v>37.0</v>
      </c>
      <c r="D202" s="122">
        <v>25.0</v>
      </c>
      <c r="E202" s="123" t="s">
        <v>703</v>
      </c>
      <c r="F202" s="122">
        <v>60.0</v>
      </c>
      <c r="G202" s="122">
        <v>45.0</v>
      </c>
      <c r="H202" s="123" t="s">
        <v>703</v>
      </c>
      <c r="I202" s="122">
        <v>7.0</v>
      </c>
      <c r="J202" s="122">
        <v>22.0</v>
      </c>
      <c r="K202" s="123" t="s">
        <v>703</v>
      </c>
      <c r="L202" s="122">
        <v>5.0</v>
      </c>
      <c r="M202" s="122">
        <v>27.0</v>
      </c>
      <c r="N202" s="122" t="s">
        <v>703</v>
      </c>
      <c r="O202" s="122">
        <v>94.0</v>
      </c>
      <c r="P202" s="122">
        <v>40.0</v>
      </c>
      <c r="Q202" s="122" t="s">
        <v>703</v>
      </c>
      <c r="R202" s="122">
        <v>70.0</v>
      </c>
      <c r="S202" s="122">
        <v>40.0</v>
      </c>
      <c r="T202" s="122" t="s">
        <v>703</v>
      </c>
      <c r="U202" s="122">
        <v>30.0</v>
      </c>
      <c r="V202" s="122">
        <v>5.0</v>
      </c>
      <c r="W202" s="122" t="s">
        <v>706</v>
      </c>
      <c r="X202" s="122">
        <v>-10.0</v>
      </c>
      <c r="Y202" s="122">
        <v>5.0</v>
      </c>
      <c r="Z202" s="122" t="s">
        <v>706</v>
      </c>
      <c r="AA202" s="122">
        <v>24.0</v>
      </c>
      <c r="AB202" s="122">
        <v>-0.2</v>
      </c>
      <c r="AC202" s="122" t="s">
        <v>703</v>
      </c>
      <c r="AD202" s="130" t="s">
        <v>133</v>
      </c>
      <c r="AE202" s="131" t="s">
        <v>133</v>
      </c>
      <c r="AF202" s="130" t="s">
        <v>133</v>
      </c>
      <c r="AG202" s="131" t="s">
        <v>133</v>
      </c>
      <c r="AH202" s="122">
        <v>18.0</v>
      </c>
      <c r="AI202" s="123" t="s">
        <v>711</v>
      </c>
      <c r="AJ202" s="122">
        <v>16.0</v>
      </c>
      <c r="AK202" s="123" t="s">
        <v>711</v>
      </c>
    </row>
    <row r="203" ht="15.75" customHeight="1">
      <c r="A203" s="89" t="s">
        <v>652</v>
      </c>
      <c r="B203" s="134" t="s">
        <v>175</v>
      </c>
      <c r="C203" s="38">
        <v>40.0</v>
      </c>
      <c r="D203" s="122">
        <v>30.0</v>
      </c>
      <c r="E203" s="123" t="s">
        <v>703</v>
      </c>
      <c r="F203" s="122">
        <v>95.0</v>
      </c>
      <c r="G203" s="122">
        <v>30.0</v>
      </c>
      <c r="H203" s="123" t="s">
        <v>703</v>
      </c>
      <c r="I203" s="122">
        <v>2.0</v>
      </c>
      <c r="J203" s="122">
        <v>0.0</v>
      </c>
      <c r="K203" s="123" t="s">
        <v>706</v>
      </c>
      <c r="L203" s="122">
        <v>5.0</v>
      </c>
      <c r="M203" s="122">
        <v>29.0</v>
      </c>
      <c r="N203" s="122" t="s">
        <v>703</v>
      </c>
      <c r="O203" s="122">
        <v>71.0</v>
      </c>
      <c r="P203" s="122">
        <v>0.0</v>
      </c>
      <c r="Q203" s="122" t="s">
        <v>706</v>
      </c>
      <c r="R203" s="122">
        <v>61.0</v>
      </c>
      <c r="S203" s="122">
        <v>30.0</v>
      </c>
      <c r="T203" s="122" t="s">
        <v>703</v>
      </c>
      <c r="U203" s="122">
        <v>43.0</v>
      </c>
      <c r="V203" s="122">
        <v>60.0</v>
      </c>
      <c r="W203" s="122" t="s">
        <v>703</v>
      </c>
      <c r="X203" s="122">
        <v>11.0</v>
      </c>
      <c r="Y203" s="122">
        <v>95.0</v>
      </c>
      <c r="Z203" s="122" t="s">
        <v>703</v>
      </c>
      <c r="AA203" s="122">
        <v>28.0</v>
      </c>
      <c r="AB203" s="122">
        <v>0.7</v>
      </c>
      <c r="AC203" s="122" t="s">
        <v>703</v>
      </c>
      <c r="AD203" s="130" t="s">
        <v>133</v>
      </c>
      <c r="AE203" s="131" t="s">
        <v>133</v>
      </c>
      <c r="AF203" s="130" t="s">
        <v>133</v>
      </c>
      <c r="AG203" s="131" t="s">
        <v>133</v>
      </c>
      <c r="AH203" s="122">
        <v>4.0</v>
      </c>
      <c r="AI203" s="123" t="s">
        <v>704</v>
      </c>
      <c r="AJ203" s="122">
        <v>12.0</v>
      </c>
      <c r="AK203" s="123" t="s">
        <v>707</v>
      </c>
    </row>
    <row r="204" ht="15.75" customHeight="1">
      <c r="A204" s="89" t="s">
        <v>656</v>
      </c>
      <c r="B204" s="134" t="s">
        <v>175</v>
      </c>
      <c r="C204" s="38">
        <v>37.0</v>
      </c>
      <c r="D204" s="122">
        <v>40.0</v>
      </c>
      <c r="E204" s="123" t="s">
        <v>703</v>
      </c>
      <c r="F204" s="122">
        <v>118.0</v>
      </c>
      <c r="G204" s="122">
        <v>10.0</v>
      </c>
      <c r="H204" s="123" t="s">
        <v>709</v>
      </c>
      <c r="I204" s="122">
        <v>8.0</v>
      </c>
      <c r="J204" s="122">
        <v>51.0</v>
      </c>
      <c r="K204" s="123" t="s">
        <v>703</v>
      </c>
      <c r="L204" s="122">
        <v>4.0</v>
      </c>
      <c r="M204" s="122">
        <v>16.0</v>
      </c>
      <c r="N204" s="122" t="s">
        <v>703</v>
      </c>
      <c r="O204" s="122">
        <v>82.0</v>
      </c>
      <c r="P204" s="122">
        <v>20.0</v>
      </c>
      <c r="Q204" s="122" t="s">
        <v>703</v>
      </c>
      <c r="R204" s="122">
        <v>63.0</v>
      </c>
      <c r="S204" s="122">
        <v>40.0</v>
      </c>
      <c r="T204" s="122" t="s">
        <v>703</v>
      </c>
      <c r="U204" s="122">
        <v>22.0</v>
      </c>
      <c r="V204" s="122">
        <v>0.0</v>
      </c>
      <c r="W204" s="122" t="s">
        <v>706</v>
      </c>
      <c r="X204" s="122">
        <v>-13.0</v>
      </c>
      <c r="Y204" s="122">
        <v>5.0</v>
      </c>
      <c r="Z204" s="122" t="s">
        <v>706</v>
      </c>
      <c r="AA204" s="122">
        <v>23.0</v>
      </c>
      <c r="AB204" s="122">
        <v>-0.7</v>
      </c>
      <c r="AC204" s="122" t="s">
        <v>703</v>
      </c>
      <c r="AD204" s="130" t="s">
        <v>133</v>
      </c>
      <c r="AE204" s="131" t="s">
        <v>133</v>
      </c>
      <c r="AF204" s="130" t="s">
        <v>133</v>
      </c>
      <c r="AG204" s="131" t="s">
        <v>133</v>
      </c>
      <c r="AH204" s="122">
        <v>7.0</v>
      </c>
      <c r="AI204" s="123" t="s">
        <v>708</v>
      </c>
      <c r="AJ204" s="122">
        <v>4.0</v>
      </c>
      <c r="AK204" s="123" t="s">
        <v>704</v>
      </c>
    </row>
    <row r="205" ht="15.75" customHeight="1">
      <c r="A205" s="89" t="s">
        <v>659</v>
      </c>
      <c r="B205" s="134" t="s">
        <v>175</v>
      </c>
      <c r="C205" s="38">
        <v>34.0</v>
      </c>
      <c r="D205" s="122">
        <v>50.0</v>
      </c>
      <c r="E205" s="123" t="s">
        <v>703</v>
      </c>
      <c r="F205" s="122">
        <v>70.0</v>
      </c>
      <c r="G205" s="122">
        <v>70.0</v>
      </c>
      <c r="H205" s="123" t="s">
        <v>703</v>
      </c>
      <c r="I205" s="122">
        <v>9.0</v>
      </c>
      <c r="J205" s="122">
        <v>70.0</v>
      </c>
      <c r="K205" s="123" t="s">
        <v>703</v>
      </c>
      <c r="L205" s="122">
        <v>4.0</v>
      </c>
      <c r="M205" s="122">
        <v>16.0</v>
      </c>
      <c r="N205" s="122" t="s">
        <v>703</v>
      </c>
      <c r="O205" s="122">
        <v>78.0</v>
      </c>
      <c r="P205" s="122">
        <v>10.0</v>
      </c>
      <c r="Q205" s="122" t="s">
        <v>709</v>
      </c>
      <c r="R205" s="122">
        <v>52.0</v>
      </c>
      <c r="S205" s="122">
        <v>10.0</v>
      </c>
      <c r="T205" s="122" t="s">
        <v>709</v>
      </c>
      <c r="U205" s="122">
        <v>25.0</v>
      </c>
      <c r="V205" s="122">
        <v>5.0</v>
      </c>
      <c r="W205" s="122" t="s">
        <v>706</v>
      </c>
      <c r="X205" s="122">
        <v>-6.0</v>
      </c>
      <c r="Y205" s="122">
        <v>20.0</v>
      </c>
      <c r="Z205" s="122" t="s">
        <v>703</v>
      </c>
      <c r="AA205" s="122">
        <v>28.0</v>
      </c>
      <c r="AB205" s="122">
        <v>0.7</v>
      </c>
      <c r="AC205" s="122" t="s">
        <v>703</v>
      </c>
      <c r="AD205" s="130" t="s">
        <v>133</v>
      </c>
      <c r="AE205" s="131" t="s">
        <v>133</v>
      </c>
      <c r="AF205" s="130" t="s">
        <v>133</v>
      </c>
      <c r="AG205" s="131" t="s">
        <v>133</v>
      </c>
      <c r="AH205" s="122">
        <v>9.0</v>
      </c>
      <c r="AI205" s="123" t="s">
        <v>707</v>
      </c>
      <c r="AJ205" s="122">
        <v>14.0</v>
      </c>
      <c r="AK205" s="123" t="s">
        <v>707</v>
      </c>
    </row>
    <row r="206" ht="15.75" customHeight="1">
      <c r="A206" s="89" t="s">
        <v>662</v>
      </c>
      <c r="B206" s="134" t="s">
        <v>175</v>
      </c>
      <c r="C206" s="38">
        <v>34.0</v>
      </c>
      <c r="D206" s="122">
        <v>30.0</v>
      </c>
      <c r="E206" s="123" t="s">
        <v>703</v>
      </c>
      <c r="F206" s="122">
        <v>109.0</v>
      </c>
      <c r="G206" s="122">
        <v>10.0</v>
      </c>
      <c r="H206" s="123" t="s">
        <v>709</v>
      </c>
      <c r="I206" s="122">
        <v>7.0</v>
      </c>
      <c r="J206" s="122">
        <v>22.0</v>
      </c>
      <c r="K206" s="123" t="s">
        <v>703</v>
      </c>
      <c r="L206" s="122">
        <v>4.0</v>
      </c>
      <c r="M206" s="122">
        <v>9.0</v>
      </c>
      <c r="N206" s="122" t="s">
        <v>709</v>
      </c>
      <c r="O206" s="122">
        <v>104.0</v>
      </c>
      <c r="P206" s="122">
        <v>60.0</v>
      </c>
      <c r="Q206" s="122" t="s">
        <v>703</v>
      </c>
      <c r="R206" s="122">
        <v>69.0</v>
      </c>
      <c r="S206" s="122">
        <v>40.0</v>
      </c>
      <c r="T206" s="122" t="s">
        <v>703</v>
      </c>
      <c r="U206" s="122">
        <v>41.0</v>
      </c>
      <c r="V206" s="122">
        <v>40.0</v>
      </c>
      <c r="W206" s="122" t="s">
        <v>703</v>
      </c>
      <c r="X206" s="122">
        <v>0.0</v>
      </c>
      <c r="Y206" s="122">
        <v>40.0</v>
      </c>
      <c r="Z206" s="122" t="s">
        <v>703</v>
      </c>
      <c r="AA206" s="122">
        <v>26.0</v>
      </c>
      <c r="AB206" s="122">
        <v>0.2</v>
      </c>
      <c r="AC206" s="122" t="s">
        <v>703</v>
      </c>
      <c r="AD206" s="130" t="s">
        <v>133</v>
      </c>
      <c r="AE206" s="131" t="s">
        <v>133</v>
      </c>
      <c r="AF206" s="130" t="s">
        <v>133</v>
      </c>
      <c r="AG206" s="131" t="s">
        <v>133</v>
      </c>
      <c r="AH206" s="122">
        <v>8.0</v>
      </c>
      <c r="AI206" s="123" t="s">
        <v>708</v>
      </c>
      <c r="AJ206" s="122">
        <v>8.0</v>
      </c>
      <c r="AK206" s="123" t="s">
        <v>708</v>
      </c>
    </row>
    <row r="207" ht="15.75" customHeight="1">
      <c r="A207" s="89" t="s">
        <v>664</v>
      </c>
      <c r="B207" s="134" t="s">
        <v>129</v>
      </c>
      <c r="C207" s="38">
        <v>19.0</v>
      </c>
      <c r="D207" s="122">
        <v>90.0</v>
      </c>
      <c r="E207" s="123" t="s">
        <v>703</v>
      </c>
      <c r="F207" s="122">
        <v>38.0</v>
      </c>
      <c r="G207" s="122">
        <v>95.0</v>
      </c>
      <c r="H207" s="123" t="s">
        <v>703</v>
      </c>
      <c r="I207" s="122">
        <v>11.0</v>
      </c>
      <c r="J207" s="122">
        <v>81.0</v>
      </c>
      <c r="K207" s="123" t="s">
        <v>703</v>
      </c>
      <c r="L207" s="122">
        <v>6.0</v>
      </c>
      <c r="M207" s="122">
        <v>51.0</v>
      </c>
      <c r="N207" s="122" t="s">
        <v>703</v>
      </c>
      <c r="O207" s="122">
        <v>116.0</v>
      </c>
      <c r="P207" s="122">
        <v>90.0</v>
      </c>
      <c r="Q207" s="122" t="s">
        <v>703</v>
      </c>
      <c r="R207" s="122">
        <v>78.0</v>
      </c>
      <c r="S207" s="122">
        <v>70.0</v>
      </c>
      <c r="T207" s="122" t="s">
        <v>703</v>
      </c>
      <c r="U207" s="122">
        <v>37.0</v>
      </c>
      <c r="V207" s="122">
        <v>30.0</v>
      </c>
      <c r="W207" s="122" t="s">
        <v>703</v>
      </c>
      <c r="X207" s="122">
        <v>-9.0</v>
      </c>
      <c r="Y207" s="122">
        <v>10.0</v>
      </c>
      <c r="Z207" s="122" t="s">
        <v>709</v>
      </c>
      <c r="AA207" s="122">
        <v>26.0</v>
      </c>
      <c r="AB207" s="122">
        <v>0.2</v>
      </c>
      <c r="AC207" s="122" t="s">
        <v>703</v>
      </c>
      <c r="AD207" s="130" t="s">
        <v>133</v>
      </c>
      <c r="AE207" s="131" t="s">
        <v>133</v>
      </c>
      <c r="AF207" s="130" t="s">
        <v>133</v>
      </c>
      <c r="AG207" s="131" t="s">
        <v>133</v>
      </c>
      <c r="AH207" s="122">
        <v>0.0</v>
      </c>
      <c r="AI207" s="123" t="s">
        <v>704</v>
      </c>
      <c r="AJ207" s="122">
        <v>1.0</v>
      </c>
      <c r="AK207" s="123" t="s">
        <v>704</v>
      </c>
    </row>
    <row r="208" ht="15.75" customHeight="1">
      <c r="A208" s="89" t="s">
        <v>665</v>
      </c>
      <c r="B208" s="134" t="s">
        <v>129</v>
      </c>
      <c r="C208" s="38">
        <v>34.0</v>
      </c>
      <c r="D208" s="122">
        <v>80.0</v>
      </c>
      <c r="E208" s="123" t="s">
        <v>703</v>
      </c>
      <c r="F208" s="122">
        <v>72.0</v>
      </c>
      <c r="G208" s="122">
        <v>90.0</v>
      </c>
      <c r="H208" s="123" t="s">
        <v>703</v>
      </c>
      <c r="I208" s="122">
        <v>5.0</v>
      </c>
      <c r="J208" s="122">
        <v>12.0</v>
      </c>
      <c r="K208" s="123" t="s">
        <v>703</v>
      </c>
      <c r="L208" s="122">
        <v>4.0</v>
      </c>
      <c r="M208" s="122">
        <v>26.0</v>
      </c>
      <c r="N208" s="122" t="s">
        <v>703</v>
      </c>
      <c r="O208" s="122">
        <v>93.0</v>
      </c>
      <c r="P208" s="122">
        <v>70.0</v>
      </c>
      <c r="Q208" s="122" t="s">
        <v>703</v>
      </c>
      <c r="R208" s="122">
        <v>61.0</v>
      </c>
      <c r="S208" s="122">
        <v>60.0</v>
      </c>
      <c r="T208" s="122" t="s">
        <v>703</v>
      </c>
      <c r="U208" s="122">
        <v>37.0</v>
      </c>
      <c r="V208" s="122">
        <v>80.0</v>
      </c>
      <c r="W208" s="122" t="s">
        <v>703</v>
      </c>
      <c r="X208" s="122">
        <v>0.0</v>
      </c>
      <c r="Y208" s="122">
        <v>70.0</v>
      </c>
      <c r="Z208" s="122" t="s">
        <v>703</v>
      </c>
      <c r="AA208" s="122">
        <v>26.0</v>
      </c>
      <c r="AB208" s="122">
        <v>0.5</v>
      </c>
      <c r="AC208" s="122" t="s">
        <v>703</v>
      </c>
      <c r="AD208" s="130" t="s">
        <v>133</v>
      </c>
      <c r="AE208" s="131" t="s">
        <v>133</v>
      </c>
      <c r="AF208" s="130" t="s">
        <v>133</v>
      </c>
      <c r="AG208" s="131" t="s">
        <v>133</v>
      </c>
      <c r="AH208" s="122">
        <v>5.0</v>
      </c>
      <c r="AI208" s="123" t="s">
        <v>704</v>
      </c>
      <c r="AJ208" s="122">
        <v>6.0</v>
      </c>
      <c r="AK208" s="123" t="s">
        <v>708</v>
      </c>
    </row>
    <row r="209" ht="15.75" customHeight="1">
      <c r="A209" s="89" t="s">
        <v>666</v>
      </c>
      <c r="B209" s="54" t="s">
        <v>175</v>
      </c>
      <c r="C209" s="138">
        <v>27.0</v>
      </c>
      <c r="D209" s="132">
        <v>55.0</v>
      </c>
      <c r="E209" s="131" t="s">
        <v>703</v>
      </c>
      <c r="F209" s="132">
        <v>77.0</v>
      </c>
      <c r="G209" s="132">
        <v>25.0</v>
      </c>
      <c r="H209" s="131" t="s">
        <v>703</v>
      </c>
      <c r="I209" s="130">
        <v>6.0</v>
      </c>
      <c r="J209" s="132">
        <v>16.0</v>
      </c>
      <c r="K209" s="131" t="s">
        <v>703</v>
      </c>
      <c r="L209" s="132">
        <v>6.0</v>
      </c>
      <c r="M209" s="132">
        <v>53.0</v>
      </c>
      <c r="N209" s="130" t="s">
        <v>703</v>
      </c>
      <c r="O209" s="132">
        <v>100.0</v>
      </c>
      <c r="P209" s="130">
        <v>50.0</v>
      </c>
      <c r="Q209" s="130" t="s">
        <v>703</v>
      </c>
      <c r="R209" s="132">
        <v>72.0</v>
      </c>
      <c r="S209" s="132">
        <v>50.0</v>
      </c>
      <c r="T209" s="130" t="s">
        <v>703</v>
      </c>
      <c r="U209" s="132">
        <v>37.0</v>
      </c>
      <c r="V209" s="132">
        <v>20.0</v>
      </c>
      <c r="W209" s="130" t="s">
        <v>703</v>
      </c>
      <c r="X209" s="132">
        <v>-5.0</v>
      </c>
      <c r="Y209" s="132">
        <v>15.0</v>
      </c>
      <c r="Z209" s="130" t="s">
        <v>703</v>
      </c>
      <c r="AA209" s="132">
        <v>23.0</v>
      </c>
      <c r="AB209" s="132">
        <v>-0.7</v>
      </c>
      <c r="AC209" s="130" t="s">
        <v>703</v>
      </c>
      <c r="AD209" s="130" t="s">
        <v>133</v>
      </c>
      <c r="AE209" s="131" t="s">
        <v>133</v>
      </c>
      <c r="AF209" s="130" t="s">
        <v>133</v>
      </c>
      <c r="AG209" s="131" t="s">
        <v>133</v>
      </c>
      <c r="AH209" s="132">
        <v>3.0</v>
      </c>
      <c r="AI209" s="133" t="s">
        <v>704</v>
      </c>
      <c r="AJ209" s="132">
        <v>9.0</v>
      </c>
      <c r="AK209" s="133" t="s">
        <v>708</v>
      </c>
    </row>
    <row r="210" ht="15.75" customHeight="1">
      <c r="A210" s="84" t="s">
        <v>671</v>
      </c>
      <c r="B210" s="127" t="s">
        <v>175</v>
      </c>
      <c r="C210" s="144">
        <v>19.0</v>
      </c>
      <c r="D210" s="145">
        <v>90.0</v>
      </c>
      <c r="E210" s="146" t="s">
        <v>703</v>
      </c>
      <c r="F210" s="145">
        <v>44.0</v>
      </c>
      <c r="G210" s="145">
        <v>85.0</v>
      </c>
      <c r="H210" s="146" t="s">
        <v>703</v>
      </c>
      <c r="I210" s="145">
        <v>9.0</v>
      </c>
      <c r="J210" s="145">
        <v>67.0</v>
      </c>
      <c r="K210" s="146" t="s">
        <v>703</v>
      </c>
      <c r="L210" s="145">
        <v>7.0</v>
      </c>
      <c r="M210" s="145">
        <v>71.0</v>
      </c>
      <c r="N210" s="104" t="s">
        <v>703</v>
      </c>
      <c r="O210" s="145">
        <v>87.0</v>
      </c>
      <c r="P210" s="145">
        <v>30.0</v>
      </c>
      <c r="Q210" s="104" t="s">
        <v>703</v>
      </c>
      <c r="R210" s="145">
        <v>66.0</v>
      </c>
      <c r="S210" s="145">
        <v>60.0</v>
      </c>
      <c r="T210" s="104" t="s">
        <v>703</v>
      </c>
      <c r="U210" s="145">
        <v>55.0</v>
      </c>
      <c r="V210" s="145">
        <v>95.0</v>
      </c>
      <c r="W210" s="104" t="s">
        <v>703</v>
      </c>
      <c r="X210" s="145">
        <v>18.0</v>
      </c>
      <c r="Y210" s="145">
        <v>95.0</v>
      </c>
      <c r="Z210" s="104" t="s">
        <v>703</v>
      </c>
      <c r="AA210" s="145">
        <v>28.0</v>
      </c>
      <c r="AB210" s="145">
        <v>1.2</v>
      </c>
      <c r="AC210" s="146" t="s">
        <v>703</v>
      </c>
      <c r="AD210" s="130" t="s">
        <v>133</v>
      </c>
      <c r="AE210" s="131" t="s">
        <v>133</v>
      </c>
      <c r="AF210" s="130" t="s">
        <v>133</v>
      </c>
      <c r="AG210" s="131" t="s">
        <v>133</v>
      </c>
      <c r="AH210" s="132">
        <v>11.0</v>
      </c>
      <c r="AI210" s="133" t="s">
        <v>707</v>
      </c>
      <c r="AJ210" s="132">
        <v>15.0</v>
      </c>
      <c r="AK210" s="133" t="s">
        <v>711</v>
      </c>
    </row>
    <row r="211" ht="15.75" customHeight="1">
      <c r="A211" s="89" t="s">
        <v>673</v>
      </c>
      <c r="B211" s="122" t="s">
        <v>129</v>
      </c>
      <c r="C211" s="138">
        <v>24.0</v>
      </c>
      <c r="D211" s="132">
        <v>70.0</v>
      </c>
      <c r="E211" s="131" t="s">
        <v>703</v>
      </c>
      <c r="F211" s="132">
        <v>143.0</v>
      </c>
      <c r="G211" s="132">
        <v>6.0</v>
      </c>
      <c r="H211" s="133" t="s">
        <v>706</v>
      </c>
      <c r="I211" s="132">
        <v>6.0</v>
      </c>
      <c r="J211" s="132">
        <v>17.0</v>
      </c>
      <c r="K211" s="131" t="s">
        <v>703</v>
      </c>
      <c r="L211" s="132">
        <v>4.0</v>
      </c>
      <c r="M211" s="132">
        <v>12.0</v>
      </c>
      <c r="N211" s="132" t="s">
        <v>703</v>
      </c>
      <c r="O211" s="132">
        <v>78.0</v>
      </c>
      <c r="P211" s="132">
        <v>15.0</v>
      </c>
      <c r="Q211" s="132" t="s">
        <v>703</v>
      </c>
      <c r="R211" s="132">
        <v>61.0</v>
      </c>
      <c r="S211" s="132">
        <v>40.0</v>
      </c>
      <c r="T211" s="132" t="s">
        <v>703</v>
      </c>
      <c r="U211" s="132">
        <v>19.0</v>
      </c>
      <c r="V211" s="122">
        <v>0.0</v>
      </c>
      <c r="W211" s="132" t="s">
        <v>706</v>
      </c>
      <c r="X211" s="132">
        <v>-15.0</v>
      </c>
      <c r="Y211" s="104" t="s">
        <v>705</v>
      </c>
      <c r="Z211" s="132" t="s">
        <v>706</v>
      </c>
      <c r="AA211" s="132">
        <v>22.0</v>
      </c>
      <c r="AB211" s="132">
        <v>-0.8</v>
      </c>
      <c r="AC211" s="133" t="s">
        <v>703</v>
      </c>
      <c r="AD211" s="130" t="s">
        <v>133</v>
      </c>
      <c r="AE211" s="131" t="s">
        <v>133</v>
      </c>
      <c r="AF211" s="130" t="s">
        <v>133</v>
      </c>
      <c r="AG211" s="131" t="s">
        <v>133</v>
      </c>
      <c r="AH211" s="134">
        <v>2.0</v>
      </c>
      <c r="AI211" s="135" t="s">
        <v>704</v>
      </c>
      <c r="AJ211" s="134">
        <v>3.0</v>
      </c>
      <c r="AK211" s="135" t="s">
        <v>704</v>
      </c>
    </row>
    <row r="212" ht="15.75" customHeight="1">
      <c r="A212" s="89" t="s">
        <v>675</v>
      </c>
      <c r="B212" s="134" t="s">
        <v>175</v>
      </c>
      <c r="C212" s="38">
        <v>25.0</v>
      </c>
      <c r="D212" s="122">
        <v>85.0</v>
      </c>
      <c r="E212" s="123" t="s">
        <v>703</v>
      </c>
      <c r="F212" s="122">
        <v>164.0</v>
      </c>
      <c r="G212" s="122">
        <v>6.0</v>
      </c>
      <c r="H212" s="123" t="s">
        <v>706</v>
      </c>
      <c r="I212" s="122">
        <v>7.0</v>
      </c>
      <c r="J212" s="122">
        <v>35.0</v>
      </c>
      <c r="K212" s="123" t="s">
        <v>703</v>
      </c>
      <c r="L212" s="122">
        <v>5.0</v>
      </c>
      <c r="M212" s="122">
        <v>31.0</v>
      </c>
      <c r="N212" s="122" t="s">
        <v>703</v>
      </c>
      <c r="O212" s="122">
        <v>89.0</v>
      </c>
      <c r="P212" s="122">
        <v>30.0</v>
      </c>
      <c r="Q212" s="122" t="s">
        <v>703</v>
      </c>
      <c r="R212" s="122">
        <v>45.0</v>
      </c>
      <c r="S212" s="122">
        <v>5.0</v>
      </c>
      <c r="T212" s="122" t="s">
        <v>706</v>
      </c>
      <c r="U212" s="122">
        <v>29.0</v>
      </c>
      <c r="V212" s="122">
        <v>15.0</v>
      </c>
      <c r="W212" s="122" t="s">
        <v>703</v>
      </c>
      <c r="X212" s="122">
        <v>0.0</v>
      </c>
      <c r="Y212" s="122">
        <v>50.0</v>
      </c>
      <c r="Z212" s="122" t="s">
        <v>703</v>
      </c>
      <c r="AA212" s="122">
        <v>27.0</v>
      </c>
      <c r="AB212" s="122">
        <v>0.5</v>
      </c>
      <c r="AC212" s="122" t="s">
        <v>703</v>
      </c>
      <c r="AD212" s="130" t="s">
        <v>133</v>
      </c>
      <c r="AE212" s="131" t="s">
        <v>133</v>
      </c>
      <c r="AF212" s="130" t="s">
        <v>133</v>
      </c>
      <c r="AG212" s="131" t="s">
        <v>133</v>
      </c>
      <c r="AH212" s="122">
        <v>9.0</v>
      </c>
      <c r="AI212" s="123" t="s">
        <v>707</v>
      </c>
      <c r="AJ212" s="122">
        <v>6.0</v>
      </c>
      <c r="AK212" s="123" t="s">
        <v>708</v>
      </c>
    </row>
    <row r="213" ht="15.75" customHeight="1">
      <c r="A213" s="89" t="s">
        <v>677</v>
      </c>
      <c r="B213" s="134" t="s">
        <v>129</v>
      </c>
      <c r="C213" s="38">
        <v>45.0</v>
      </c>
      <c r="D213" s="122">
        <v>15.0</v>
      </c>
      <c r="E213" s="123" t="s">
        <v>703</v>
      </c>
      <c r="F213" s="122">
        <v>90.0</v>
      </c>
      <c r="G213" s="122">
        <v>40.0</v>
      </c>
      <c r="H213" s="123" t="s">
        <v>703</v>
      </c>
      <c r="I213" s="122">
        <v>7.0</v>
      </c>
      <c r="J213" s="122">
        <v>28.0</v>
      </c>
      <c r="K213" s="123" t="s">
        <v>703</v>
      </c>
      <c r="L213" s="122">
        <v>6.0</v>
      </c>
      <c r="M213" s="122">
        <v>51.0</v>
      </c>
      <c r="N213" s="122" t="s">
        <v>703</v>
      </c>
      <c r="O213" s="122">
        <v>87.0</v>
      </c>
      <c r="P213" s="122">
        <v>20.0</v>
      </c>
      <c r="Q213" s="122" t="s">
        <v>703</v>
      </c>
      <c r="R213" s="122">
        <v>65.0</v>
      </c>
      <c r="S213" s="122">
        <v>40.0</v>
      </c>
      <c r="T213" s="122" t="s">
        <v>703</v>
      </c>
      <c r="U213" s="122">
        <v>28.0</v>
      </c>
      <c r="V213" s="122">
        <v>10.0</v>
      </c>
      <c r="W213" s="122" t="s">
        <v>709</v>
      </c>
      <c r="X213" s="122">
        <v>-9.0</v>
      </c>
      <c r="Y213" s="122">
        <v>10.0</v>
      </c>
      <c r="Z213" s="122" t="s">
        <v>709</v>
      </c>
      <c r="AA213" s="122">
        <v>27.0</v>
      </c>
      <c r="AB213" s="122">
        <v>0.5</v>
      </c>
      <c r="AC213" s="122" t="s">
        <v>703</v>
      </c>
      <c r="AD213" s="130" t="s">
        <v>133</v>
      </c>
      <c r="AE213" s="131" t="s">
        <v>133</v>
      </c>
      <c r="AF213" s="130" t="s">
        <v>133</v>
      </c>
      <c r="AG213" s="131" t="s">
        <v>133</v>
      </c>
      <c r="AH213" s="122">
        <v>0.0</v>
      </c>
      <c r="AI213" s="123" t="s">
        <v>704</v>
      </c>
      <c r="AJ213" s="122">
        <v>1.0</v>
      </c>
      <c r="AK213" s="123" t="s">
        <v>704</v>
      </c>
    </row>
    <row r="214" ht="15.75" customHeight="1">
      <c r="A214" s="89" t="s">
        <v>679</v>
      </c>
      <c r="B214" s="127" t="s">
        <v>175</v>
      </c>
      <c r="C214" s="144">
        <v>49.0</v>
      </c>
      <c r="D214" s="145">
        <v>35.0</v>
      </c>
      <c r="E214" s="146" t="s">
        <v>703</v>
      </c>
      <c r="F214" s="145">
        <v>164.0</v>
      </c>
      <c r="G214" s="145">
        <v>10.0</v>
      </c>
      <c r="H214" s="123" t="s">
        <v>709</v>
      </c>
      <c r="I214" s="145">
        <v>4.0</v>
      </c>
      <c r="J214" s="145">
        <v>0.0</v>
      </c>
      <c r="K214" s="123" t="s">
        <v>706</v>
      </c>
      <c r="L214" s="145">
        <v>2.0</v>
      </c>
      <c r="M214" s="145">
        <v>0.0</v>
      </c>
      <c r="N214" s="122" t="s">
        <v>706</v>
      </c>
      <c r="O214" s="145">
        <v>96.0</v>
      </c>
      <c r="P214" s="122">
        <v>60.0</v>
      </c>
      <c r="Q214" s="122" t="s">
        <v>703</v>
      </c>
      <c r="R214" s="145">
        <v>40.0</v>
      </c>
      <c r="S214" s="145">
        <v>0.0</v>
      </c>
      <c r="T214" s="122" t="s">
        <v>706</v>
      </c>
      <c r="U214" s="145">
        <v>12.0</v>
      </c>
      <c r="V214" s="145">
        <v>0.0</v>
      </c>
      <c r="W214" s="122" t="s">
        <v>706</v>
      </c>
      <c r="X214" s="145">
        <v>-16.0</v>
      </c>
      <c r="Y214" s="145">
        <v>0.0</v>
      </c>
      <c r="Z214" s="122" t="s">
        <v>706</v>
      </c>
      <c r="AA214" s="145">
        <v>20.0</v>
      </c>
      <c r="AB214" s="145">
        <v>-1.5</v>
      </c>
      <c r="AC214" s="122" t="s">
        <v>709</v>
      </c>
      <c r="AD214" s="130" t="s">
        <v>133</v>
      </c>
      <c r="AE214" s="131" t="s">
        <v>133</v>
      </c>
      <c r="AF214" s="130" t="s">
        <v>133</v>
      </c>
      <c r="AG214" s="131" t="s">
        <v>133</v>
      </c>
      <c r="AH214" s="132">
        <v>7.0</v>
      </c>
      <c r="AI214" s="123" t="s">
        <v>708</v>
      </c>
      <c r="AJ214" s="132">
        <v>6.0</v>
      </c>
      <c r="AK214" s="123" t="s">
        <v>708</v>
      </c>
    </row>
    <row r="215" ht="15.75" customHeight="1">
      <c r="A215" s="89" t="s">
        <v>681</v>
      </c>
      <c r="B215" s="127" t="s">
        <v>175</v>
      </c>
      <c r="C215" s="144">
        <v>24.0</v>
      </c>
      <c r="D215" s="145">
        <v>95.0</v>
      </c>
      <c r="E215" s="146" t="s">
        <v>703</v>
      </c>
      <c r="F215" s="145">
        <v>78.0</v>
      </c>
      <c r="G215" s="145">
        <v>65.0</v>
      </c>
      <c r="H215" s="146" t="s">
        <v>703</v>
      </c>
      <c r="I215" s="145">
        <v>6.0</v>
      </c>
      <c r="J215" s="145">
        <v>16.0</v>
      </c>
      <c r="K215" s="146" t="s">
        <v>703</v>
      </c>
      <c r="L215" s="128">
        <v>7.0</v>
      </c>
      <c r="M215" s="128">
        <v>70.0</v>
      </c>
      <c r="N215" s="104" t="s">
        <v>703</v>
      </c>
      <c r="O215" s="145">
        <v>93.0</v>
      </c>
      <c r="P215" s="145">
        <v>50.0</v>
      </c>
      <c r="Q215" s="104" t="s">
        <v>703</v>
      </c>
      <c r="R215" s="145">
        <v>59.0</v>
      </c>
      <c r="S215" s="145">
        <v>40.0</v>
      </c>
      <c r="T215" s="104" t="s">
        <v>703</v>
      </c>
      <c r="U215" s="145">
        <v>33.0</v>
      </c>
      <c r="V215" s="145">
        <v>40.0</v>
      </c>
      <c r="W215" s="104" t="s">
        <v>703</v>
      </c>
      <c r="X215" s="145">
        <v>-3.0</v>
      </c>
      <c r="Y215" s="145">
        <v>40.0</v>
      </c>
      <c r="Z215" s="104" t="s">
        <v>703</v>
      </c>
      <c r="AA215" s="145">
        <v>29.0</v>
      </c>
      <c r="AB215" s="145">
        <v>2.2</v>
      </c>
      <c r="AC215" s="104" t="s">
        <v>703</v>
      </c>
      <c r="AD215" s="130" t="s">
        <v>133</v>
      </c>
      <c r="AE215" s="131" t="s">
        <v>133</v>
      </c>
      <c r="AF215" s="130" t="s">
        <v>133</v>
      </c>
      <c r="AG215" s="131" t="s">
        <v>133</v>
      </c>
      <c r="AH215" s="132">
        <v>13.0</v>
      </c>
      <c r="AI215" s="123" t="s">
        <v>707</v>
      </c>
      <c r="AJ215" s="132">
        <v>12.0</v>
      </c>
      <c r="AK215" s="123" t="s">
        <v>707</v>
      </c>
    </row>
    <row r="216" ht="15.75" customHeight="1">
      <c r="A216" s="89" t="s">
        <v>682</v>
      </c>
      <c r="B216" s="127" t="s">
        <v>175</v>
      </c>
      <c r="C216" s="144">
        <v>31.0</v>
      </c>
      <c r="D216" s="145">
        <v>35.0</v>
      </c>
      <c r="E216" s="146" t="s">
        <v>703</v>
      </c>
      <c r="F216" s="145">
        <v>86.0</v>
      </c>
      <c r="G216" s="145">
        <v>25.0</v>
      </c>
      <c r="H216" s="146" t="s">
        <v>703</v>
      </c>
      <c r="I216" s="145">
        <v>7.0</v>
      </c>
      <c r="J216" s="145">
        <v>22.0</v>
      </c>
      <c r="K216" s="123" t="s">
        <v>703</v>
      </c>
      <c r="L216" s="145">
        <v>6.0</v>
      </c>
      <c r="M216" s="145">
        <v>53.0</v>
      </c>
      <c r="N216" s="104" t="s">
        <v>703</v>
      </c>
      <c r="O216" s="145">
        <v>84.0</v>
      </c>
      <c r="P216" s="145">
        <v>20.0</v>
      </c>
      <c r="Q216" s="104" t="s">
        <v>703</v>
      </c>
      <c r="R216" s="145">
        <v>57.0</v>
      </c>
      <c r="S216" s="145">
        <v>30.0</v>
      </c>
      <c r="T216" s="122" t="s">
        <v>703</v>
      </c>
      <c r="U216" s="145">
        <v>40.0</v>
      </c>
      <c r="V216" s="122">
        <v>60.0</v>
      </c>
      <c r="W216" s="122" t="s">
        <v>703</v>
      </c>
      <c r="X216" s="145">
        <v>6.0</v>
      </c>
      <c r="Y216" s="122">
        <v>85.0</v>
      </c>
      <c r="Z216" s="122" t="s">
        <v>703</v>
      </c>
      <c r="AA216" s="145">
        <v>29.0</v>
      </c>
      <c r="AB216" s="145">
        <v>1.5</v>
      </c>
      <c r="AC216" s="104" t="s">
        <v>703</v>
      </c>
      <c r="AD216" s="130" t="s">
        <v>133</v>
      </c>
      <c r="AE216" s="131" t="s">
        <v>133</v>
      </c>
      <c r="AF216" s="130" t="s">
        <v>133</v>
      </c>
      <c r="AG216" s="131" t="s">
        <v>133</v>
      </c>
      <c r="AH216" s="132">
        <v>10.0</v>
      </c>
      <c r="AI216" s="123" t="s">
        <v>707</v>
      </c>
      <c r="AJ216" s="132">
        <v>10.0</v>
      </c>
      <c r="AK216" s="123" t="s">
        <v>707</v>
      </c>
    </row>
    <row r="217" ht="15.75" customHeight="1">
      <c r="C217" s="148"/>
      <c r="E217" s="149"/>
      <c r="H217" s="149"/>
      <c r="K217" s="149"/>
      <c r="AE217" s="149"/>
      <c r="AG217" s="149"/>
      <c r="AI217" s="149"/>
      <c r="AK217" s="149"/>
    </row>
    <row r="218" ht="15.75" customHeight="1">
      <c r="C218" s="148"/>
      <c r="E218" s="149"/>
      <c r="H218" s="149"/>
      <c r="K218" s="149"/>
      <c r="AE218" s="149"/>
      <c r="AG218" s="149"/>
      <c r="AI218" s="149"/>
      <c r="AK218" s="149"/>
    </row>
    <row r="219" ht="15.75" customHeight="1">
      <c r="C219" s="148"/>
      <c r="E219" s="149"/>
      <c r="H219" s="149"/>
      <c r="K219" s="149"/>
      <c r="AE219" s="149"/>
      <c r="AG219" s="149"/>
      <c r="AI219" s="149"/>
      <c r="AK219" s="149"/>
    </row>
    <row r="220" ht="15.75" customHeight="1">
      <c r="C220" s="148"/>
      <c r="E220" s="149"/>
      <c r="H220" s="149"/>
      <c r="K220" s="149"/>
      <c r="AE220" s="149"/>
      <c r="AG220" s="149"/>
      <c r="AI220" s="149"/>
      <c r="AK220" s="149"/>
    </row>
    <row r="221" ht="15.75" customHeight="1">
      <c r="C221" s="148"/>
      <c r="E221" s="149"/>
      <c r="H221" s="149"/>
      <c r="K221" s="149"/>
      <c r="AE221" s="149"/>
      <c r="AG221" s="149"/>
      <c r="AI221" s="149"/>
      <c r="AK221" s="149"/>
    </row>
    <row r="222" ht="15.75" customHeight="1">
      <c r="C222" s="148"/>
      <c r="E222" s="149"/>
      <c r="H222" s="149"/>
      <c r="K222" s="149"/>
      <c r="AE222" s="149"/>
      <c r="AG222" s="149"/>
      <c r="AI222" s="149"/>
      <c r="AK222" s="149"/>
    </row>
    <row r="223" ht="15.75" customHeight="1">
      <c r="C223" s="148"/>
      <c r="E223" s="149"/>
      <c r="H223" s="149"/>
      <c r="K223" s="149"/>
      <c r="AE223" s="149"/>
      <c r="AG223" s="149"/>
      <c r="AI223" s="149"/>
      <c r="AK223" s="149"/>
    </row>
    <row r="224" ht="15.75" customHeight="1">
      <c r="C224" s="148"/>
      <c r="E224" s="149"/>
      <c r="H224" s="149"/>
      <c r="K224" s="149"/>
      <c r="AE224" s="149"/>
      <c r="AG224" s="149"/>
      <c r="AI224" s="149"/>
      <c r="AK224" s="149"/>
    </row>
    <row r="225" ht="15.75" customHeight="1">
      <c r="C225" s="148"/>
      <c r="E225" s="149"/>
      <c r="H225" s="149"/>
      <c r="K225" s="149"/>
      <c r="AE225" s="149"/>
      <c r="AG225" s="149"/>
      <c r="AI225" s="149"/>
      <c r="AK225" s="149"/>
    </row>
    <row r="226" ht="15.75" customHeight="1">
      <c r="C226" s="148"/>
      <c r="E226" s="149"/>
      <c r="H226" s="149"/>
      <c r="K226" s="149"/>
      <c r="AE226" s="149"/>
      <c r="AG226" s="149"/>
      <c r="AI226" s="149"/>
      <c r="AK226" s="149"/>
    </row>
    <row r="227" ht="15.75" customHeight="1">
      <c r="C227" s="148"/>
      <c r="E227" s="149"/>
      <c r="H227" s="149"/>
      <c r="K227" s="149"/>
      <c r="AE227" s="149"/>
      <c r="AG227" s="149"/>
      <c r="AI227" s="149"/>
      <c r="AK227" s="149"/>
    </row>
    <row r="228" ht="15.75" customHeight="1">
      <c r="C228" s="148"/>
      <c r="E228" s="149"/>
      <c r="H228" s="149"/>
      <c r="K228" s="149"/>
      <c r="AE228" s="149"/>
      <c r="AG228" s="149"/>
      <c r="AI228" s="149"/>
      <c r="AK228" s="149"/>
    </row>
    <row r="229" ht="15.75" customHeight="1">
      <c r="C229" s="148"/>
      <c r="E229" s="149"/>
      <c r="H229" s="149"/>
      <c r="K229" s="149"/>
      <c r="AE229" s="149"/>
      <c r="AG229" s="149"/>
      <c r="AI229" s="149"/>
      <c r="AK229" s="149"/>
    </row>
    <row r="230" ht="15.75" customHeight="1">
      <c r="C230" s="148"/>
      <c r="E230" s="149"/>
      <c r="H230" s="149"/>
      <c r="K230" s="149"/>
      <c r="AE230" s="149"/>
      <c r="AG230" s="149"/>
      <c r="AI230" s="149"/>
      <c r="AK230" s="149"/>
    </row>
    <row r="231" ht="15.75" customHeight="1">
      <c r="C231" s="148"/>
      <c r="E231" s="149"/>
      <c r="H231" s="149"/>
      <c r="K231" s="149"/>
      <c r="AE231" s="149"/>
      <c r="AG231" s="149"/>
      <c r="AI231" s="149"/>
      <c r="AK231" s="149"/>
    </row>
    <row r="232" ht="15.75" customHeight="1">
      <c r="C232" s="148"/>
      <c r="E232" s="149"/>
      <c r="H232" s="149"/>
      <c r="K232" s="149"/>
      <c r="AE232" s="149"/>
      <c r="AG232" s="149"/>
      <c r="AI232" s="149"/>
      <c r="AK232" s="149"/>
    </row>
    <row r="233" ht="15.75" customHeight="1">
      <c r="C233" s="148"/>
      <c r="E233" s="149"/>
      <c r="H233" s="149"/>
      <c r="K233" s="149"/>
      <c r="AE233" s="149"/>
      <c r="AG233" s="149"/>
      <c r="AI233" s="149"/>
      <c r="AK233" s="149"/>
    </row>
    <row r="234" ht="15.75" customHeight="1">
      <c r="C234" s="148"/>
      <c r="E234" s="149"/>
      <c r="H234" s="149"/>
      <c r="K234" s="149"/>
      <c r="AE234" s="149"/>
      <c r="AG234" s="149"/>
      <c r="AI234" s="149"/>
      <c r="AK234" s="149"/>
    </row>
    <row r="235" ht="15.75" customHeight="1">
      <c r="C235" s="148"/>
      <c r="E235" s="149"/>
      <c r="H235" s="149"/>
      <c r="K235" s="149"/>
      <c r="AE235" s="149"/>
      <c r="AG235" s="149"/>
      <c r="AI235" s="149"/>
      <c r="AK235" s="149"/>
    </row>
    <row r="236" ht="15.75" customHeight="1">
      <c r="C236" s="148"/>
      <c r="E236" s="149"/>
      <c r="H236" s="149"/>
      <c r="K236" s="149"/>
      <c r="AE236" s="149"/>
      <c r="AG236" s="149"/>
      <c r="AI236" s="149"/>
      <c r="AK236" s="149"/>
    </row>
    <row r="237" ht="15.75" customHeight="1">
      <c r="C237" s="148"/>
      <c r="E237" s="149"/>
      <c r="H237" s="149"/>
      <c r="K237" s="149"/>
      <c r="AE237" s="149"/>
      <c r="AG237" s="149"/>
      <c r="AI237" s="149"/>
      <c r="AK237" s="149"/>
    </row>
    <row r="238" ht="15.75" customHeight="1">
      <c r="C238" s="148"/>
      <c r="E238" s="149"/>
      <c r="H238" s="149"/>
      <c r="K238" s="149"/>
      <c r="AE238" s="149"/>
      <c r="AG238" s="149"/>
      <c r="AI238" s="149"/>
      <c r="AK238" s="149"/>
    </row>
    <row r="239" ht="15.75" customHeight="1">
      <c r="C239" s="148"/>
      <c r="E239" s="149"/>
      <c r="H239" s="149"/>
      <c r="K239" s="149"/>
      <c r="AE239" s="149"/>
      <c r="AG239" s="149"/>
      <c r="AI239" s="149"/>
      <c r="AK239" s="149"/>
    </row>
    <row r="240" ht="15.75" customHeight="1">
      <c r="C240" s="148"/>
      <c r="E240" s="149"/>
      <c r="H240" s="149"/>
      <c r="K240" s="149"/>
      <c r="AE240" s="149"/>
      <c r="AG240" s="149"/>
      <c r="AI240" s="149"/>
      <c r="AK240" s="149"/>
    </row>
    <row r="241" ht="15.75" customHeight="1">
      <c r="C241" s="148"/>
      <c r="E241" s="149"/>
      <c r="H241" s="149"/>
      <c r="K241" s="149"/>
      <c r="AE241" s="149"/>
      <c r="AG241" s="149"/>
      <c r="AI241" s="149"/>
      <c r="AK241" s="149"/>
    </row>
    <row r="242" ht="15.75" customHeight="1">
      <c r="C242" s="148"/>
      <c r="E242" s="149"/>
      <c r="H242" s="149"/>
      <c r="K242" s="149"/>
      <c r="AE242" s="149"/>
      <c r="AG242" s="149"/>
      <c r="AI242" s="149"/>
      <c r="AK242" s="149"/>
    </row>
    <row r="243" ht="15.75" customHeight="1">
      <c r="C243" s="148"/>
      <c r="E243" s="149"/>
      <c r="H243" s="149"/>
      <c r="K243" s="149"/>
      <c r="AE243" s="149"/>
      <c r="AG243" s="149"/>
      <c r="AI243" s="149"/>
      <c r="AK243" s="149"/>
    </row>
    <row r="244" ht="15.75" customHeight="1">
      <c r="C244" s="148"/>
      <c r="E244" s="149"/>
      <c r="H244" s="149"/>
      <c r="K244" s="149"/>
      <c r="AE244" s="149"/>
      <c r="AG244" s="149"/>
      <c r="AI244" s="149"/>
      <c r="AK244" s="149"/>
    </row>
    <row r="245" ht="15.75" customHeight="1">
      <c r="C245" s="148"/>
      <c r="E245" s="149"/>
      <c r="H245" s="149"/>
      <c r="K245" s="149"/>
      <c r="AE245" s="149"/>
      <c r="AG245" s="149"/>
      <c r="AI245" s="149"/>
      <c r="AK245" s="149"/>
    </row>
    <row r="246" ht="15.75" customHeight="1">
      <c r="C246" s="148"/>
      <c r="E246" s="149"/>
      <c r="H246" s="149"/>
      <c r="K246" s="149"/>
      <c r="AE246" s="149"/>
      <c r="AG246" s="149"/>
      <c r="AI246" s="149"/>
      <c r="AK246" s="149"/>
    </row>
    <row r="247" ht="15.75" customHeight="1">
      <c r="C247" s="148"/>
      <c r="E247" s="149"/>
      <c r="H247" s="149"/>
      <c r="K247" s="149"/>
      <c r="AE247" s="149"/>
      <c r="AG247" s="149"/>
      <c r="AI247" s="149"/>
      <c r="AK247" s="149"/>
    </row>
    <row r="248" ht="15.75" customHeight="1">
      <c r="C248" s="148"/>
      <c r="E248" s="149"/>
      <c r="H248" s="149"/>
      <c r="K248" s="149"/>
      <c r="AE248" s="149"/>
      <c r="AG248" s="149"/>
      <c r="AI248" s="149"/>
      <c r="AK248" s="149"/>
    </row>
    <row r="249" ht="15.75" customHeight="1">
      <c r="C249" s="148"/>
      <c r="E249" s="149"/>
      <c r="H249" s="149"/>
      <c r="K249" s="149"/>
      <c r="AE249" s="149"/>
      <c r="AG249" s="149"/>
      <c r="AI249" s="149"/>
      <c r="AK249" s="149"/>
    </row>
    <row r="250" ht="15.75" customHeight="1">
      <c r="C250" s="148"/>
      <c r="E250" s="149"/>
      <c r="H250" s="149"/>
      <c r="K250" s="149"/>
      <c r="AE250" s="149"/>
      <c r="AG250" s="149"/>
      <c r="AI250" s="149"/>
      <c r="AK250" s="149"/>
    </row>
    <row r="251" ht="15.75" customHeight="1">
      <c r="C251" s="148"/>
      <c r="E251" s="149"/>
      <c r="H251" s="149"/>
      <c r="K251" s="149"/>
      <c r="AE251" s="149"/>
      <c r="AG251" s="149"/>
      <c r="AI251" s="149"/>
      <c r="AK251" s="149"/>
    </row>
    <row r="252" ht="15.75" customHeight="1">
      <c r="C252" s="148"/>
      <c r="E252" s="149"/>
      <c r="H252" s="149"/>
      <c r="K252" s="149"/>
      <c r="AE252" s="149"/>
      <c r="AG252" s="149"/>
      <c r="AI252" s="149"/>
      <c r="AK252" s="149"/>
    </row>
    <row r="253" ht="15.75" customHeight="1">
      <c r="C253" s="148"/>
      <c r="E253" s="149"/>
      <c r="H253" s="149"/>
      <c r="K253" s="149"/>
      <c r="AE253" s="149"/>
      <c r="AG253" s="149"/>
      <c r="AI253" s="149"/>
      <c r="AK253" s="149"/>
    </row>
    <row r="254" ht="15.75" customHeight="1">
      <c r="C254" s="148"/>
      <c r="E254" s="149"/>
      <c r="H254" s="149"/>
      <c r="K254" s="149"/>
      <c r="AE254" s="149"/>
      <c r="AG254" s="149"/>
      <c r="AI254" s="149"/>
      <c r="AK254" s="149"/>
    </row>
    <row r="255" ht="15.75" customHeight="1">
      <c r="C255" s="148"/>
      <c r="E255" s="149"/>
      <c r="H255" s="149"/>
      <c r="K255" s="149"/>
      <c r="AE255" s="149"/>
      <c r="AG255" s="149"/>
      <c r="AI255" s="149"/>
      <c r="AK255" s="149"/>
    </row>
    <row r="256" ht="15.75" customHeight="1">
      <c r="C256" s="148"/>
      <c r="E256" s="149"/>
      <c r="H256" s="149"/>
      <c r="K256" s="149"/>
      <c r="AE256" s="149"/>
      <c r="AG256" s="149"/>
      <c r="AI256" s="149"/>
      <c r="AK256" s="149"/>
    </row>
    <row r="257" ht="15.75" customHeight="1">
      <c r="C257" s="148"/>
      <c r="E257" s="149"/>
      <c r="H257" s="149"/>
      <c r="K257" s="149"/>
      <c r="AE257" s="149"/>
      <c r="AG257" s="149"/>
      <c r="AI257" s="149"/>
      <c r="AK257" s="149"/>
    </row>
    <row r="258" ht="15.75" customHeight="1">
      <c r="C258" s="148"/>
      <c r="E258" s="149"/>
      <c r="H258" s="149"/>
      <c r="K258" s="149"/>
      <c r="AE258" s="149"/>
      <c r="AG258" s="149"/>
      <c r="AI258" s="149"/>
      <c r="AK258" s="149"/>
    </row>
    <row r="259" ht="15.75" customHeight="1">
      <c r="C259" s="148"/>
      <c r="E259" s="149"/>
      <c r="H259" s="149"/>
      <c r="K259" s="149"/>
      <c r="AE259" s="149"/>
      <c r="AG259" s="149"/>
      <c r="AI259" s="149"/>
      <c r="AK259" s="149"/>
    </row>
    <row r="260" ht="15.75" customHeight="1">
      <c r="C260" s="148"/>
      <c r="E260" s="149"/>
      <c r="H260" s="149"/>
      <c r="K260" s="149"/>
      <c r="AE260" s="149"/>
      <c r="AG260" s="149"/>
      <c r="AI260" s="149"/>
      <c r="AK260" s="149"/>
    </row>
    <row r="261" ht="15.75" customHeight="1">
      <c r="C261" s="148"/>
      <c r="E261" s="149"/>
      <c r="H261" s="149"/>
      <c r="K261" s="149"/>
      <c r="AE261" s="149"/>
      <c r="AG261" s="149"/>
      <c r="AI261" s="149"/>
      <c r="AK261" s="149"/>
    </row>
    <row r="262" ht="15.75" customHeight="1">
      <c r="C262" s="148"/>
      <c r="E262" s="149"/>
      <c r="H262" s="149"/>
      <c r="K262" s="149"/>
      <c r="AE262" s="149"/>
      <c r="AG262" s="149"/>
      <c r="AI262" s="149"/>
      <c r="AK262" s="149"/>
    </row>
    <row r="263" ht="15.75" customHeight="1">
      <c r="C263" s="148"/>
      <c r="E263" s="149"/>
      <c r="H263" s="149"/>
      <c r="K263" s="149"/>
      <c r="AE263" s="149"/>
      <c r="AG263" s="149"/>
      <c r="AI263" s="149"/>
      <c r="AK263" s="149"/>
    </row>
    <row r="264" ht="15.75" customHeight="1">
      <c r="C264" s="148"/>
      <c r="E264" s="149"/>
      <c r="H264" s="149"/>
      <c r="K264" s="149"/>
      <c r="AE264" s="149"/>
      <c r="AG264" s="149"/>
      <c r="AI264" s="149"/>
      <c r="AK264" s="149"/>
    </row>
    <row r="265" ht="15.75" customHeight="1">
      <c r="C265" s="148"/>
      <c r="E265" s="149"/>
      <c r="H265" s="149"/>
      <c r="K265" s="149"/>
      <c r="AE265" s="149"/>
      <c r="AG265" s="149"/>
      <c r="AI265" s="149"/>
      <c r="AK265" s="149"/>
    </row>
    <row r="266" ht="15.75" customHeight="1">
      <c r="C266" s="148"/>
      <c r="E266" s="149"/>
      <c r="H266" s="149"/>
      <c r="K266" s="149"/>
      <c r="AE266" s="149"/>
      <c r="AG266" s="149"/>
      <c r="AI266" s="149"/>
      <c r="AK266" s="149"/>
    </row>
    <row r="267" ht="15.75" customHeight="1">
      <c r="C267" s="148"/>
      <c r="E267" s="149"/>
      <c r="H267" s="149"/>
      <c r="K267" s="149"/>
      <c r="AE267" s="149"/>
      <c r="AG267" s="149"/>
      <c r="AI267" s="149"/>
      <c r="AK267" s="149"/>
    </row>
    <row r="268" ht="15.75" customHeight="1">
      <c r="C268" s="148"/>
      <c r="E268" s="149"/>
      <c r="H268" s="149"/>
      <c r="K268" s="149"/>
      <c r="AE268" s="149"/>
      <c r="AG268" s="149"/>
      <c r="AI268" s="149"/>
      <c r="AK268" s="149"/>
    </row>
    <row r="269" ht="15.75" customHeight="1">
      <c r="C269" s="148"/>
      <c r="E269" s="149"/>
      <c r="H269" s="149"/>
      <c r="K269" s="149"/>
      <c r="AE269" s="149"/>
      <c r="AG269" s="149"/>
      <c r="AI269" s="149"/>
      <c r="AK269" s="149"/>
    </row>
    <row r="270" ht="15.75" customHeight="1">
      <c r="C270" s="148"/>
      <c r="E270" s="149"/>
      <c r="H270" s="149"/>
      <c r="K270" s="149"/>
      <c r="AE270" s="149"/>
      <c r="AG270" s="149"/>
      <c r="AI270" s="149"/>
      <c r="AK270" s="149"/>
    </row>
    <row r="271" ht="15.75" customHeight="1">
      <c r="C271" s="148"/>
      <c r="E271" s="149"/>
      <c r="H271" s="149"/>
      <c r="K271" s="149"/>
      <c r="AE271" s="149"/>
      <c r="AG271" s="149"/>
      <c r="AI271" s="149"/>
      <c r="AK271" s="149"/>
    </row>
    <row r="272" ht="15.75" customHeight="1">
      <c r="C272" s="148"/>
      <c r="E272" s="149"/>
      <c r="H272" s="149"/>
      <c r="K272" s="149"/>
      <c r="AE272" s="149"/>
      <c r="AG272" s="149"/>
      <c r="AI272" s="149"/>
      <c r="AK272" s="149"/>
    </row>
    <row r="273" ht="15.75" customHeight="1">
      <c r="C273" s="148"/>
      <c r="E273" s="149"/>
      <c r="H273" s="149"/>
      <c r="K273" s="149"/>
      <c r="AE273" s="149"/>
      <c r="AG273" s="149"/>
      <c r="AI273" s="149"/>
      <c r="AK273" s="149"/>
    </row>
    <row r="274" ht="15.75" customHeight="1">
      <c r="C274" s="148"/>
      <c r="E274" s="149"/>
      <c r="H274" s="149"/>
      <c r="K274" s="149"/>
      <c r="AE274" s="149"/>
      <c r="AG274" s="149"/>
      <c r="AI274" s="149"/>
      <c r="AK274" s="149"/>
    </row>
    <row r="275" ht="15.75" customHeight="1">
      <c r="C275" s="148"/>
      <c r="E275" s="149"/>
      <c r="H275" s="149"/>
      <c r="K275" s="149"/>
      <c r="AE275" s="149"/>
      <c r="AG275" s="149"/>
      <c r="AI275" s="149"/>
      <c r="AK275" s="149"/>
    </row>
    <row r="276" ht="15.75" customHeight="1">
      <c r="C276" s="148"/>
      <c r="E276" s="149"/>
      <c r="H276" s="149"/>
      <c r="K276" s="149"/>
      <c r="AE276" s="149"/>
      <c r="AG276" s="149"/>
      <c r="AI276" s="149"/>
      <c r="AK276" s="149"/>
    </row>
    <row r="277" ht="15.75" customHeight="1">
      <c r="C277" s="148"/>
      <c r="E277" s="149"/>
      <c r="H277" s="149"/>
      <c r="K277" s="149"/>
      <c r="AE277" s="149"/>
      <c r="AG277" s="149"/>
      <c r="AI277" s="149"/>
      <c r="AK277" s="149"/>
    </row>
    <row r="278" ht="15.75" customHeight="1">
      <c r="C278" s="148"/>
      <c r="E278" s="149"/>
      <c r="H278" s="149"/>
      <c r="K278" s="149"/>
      <c r="AE278" s="149"/>
      <c r="AG278" s="149"/>
      <c r="AI278" s="149"/>
      <c r="AK278" s="149"/>
    </row>
    <row r="279" ht="15.75" customHeight="1">
      <c r="C279" s="148"/>
      <c r="E279" s="149"/>
      <c r="H279" s="149"/>
      <c r="K279" s="149"/>
      <c r="AE279" s="149"/>
      <c r="AG279" s="149"/>
      <c r="AI279" s="149"/>
      <c r="AK279" s="149"/>
    </row>
    <row r="280" ht="15.75" customHeight="1">
      <c r="C280" s="148"/>
      <c r="E280" s="149"/>
      <c r="H280" s="149"/>
      <c r="K280" s="149"/>
      <c r="AE280" s="149"/>
      <c r="AG280" s="149"/>
      <c r="AI280" s="149"/>
      <c r="AK280" s="149"/>
    </row>
    <row r="281" ht="15.75" customHeight="1">
      <c r="C281" s="148"/>
      <c r="E281" s="149"/>
      <c r="H281" s="149"/>
      <c r="K281" s="149"/>
      <c r="AE281" s="149"/>
      <c r="AG281" s="149"/>
      <c r="AI281" s="149"/>
      <c r="AK281" s="149"/>
    </row>
    <row r="282" ht="15.75" customHeight="1">
      <c r="C282" s="148"/>
      <c r="E282" s="149"/>
      <c r="H282" s="149"/>
      <c r="K282" s="149"/>
      <c r="AE282" s="149"/>
      <c r="AG282" s="149"/>
      <c r="AI282" s="149"/>
      <c r="AK282" s="149"/>
    </row>
    <row r="283" ht="15.75" customHeight="1">
      <c r="C283" s="148"/>
      <c r="E283" s="149"/>
      <c r="H283" s="149"/>
      <c r="K283" s="149"/>
      <c r="AE283" s="149"/>
      <c r="AG283" s="149"/>
      <c r="AI283" s="149"/>
      <c r="AK283" s="149"/>
    </row>
    <row r="284" ht="15.75" customHeight="1">
      <c r="C284" s="148"/>
      <c r="E284" s="149"/>
      <c r="H284" s="149"/>
      <c r="K284" s="149"/>
      <c r="AE284" s="149"/>
      <c r="AG284" s="149"/>
      <c r="AI284" s="149"/>
      <c r="AK284" s="149"/>
    </row>
    <row r="285" ht="15.75" customHeight="1">
      <c r="C285" s="148"/>
      <c r="E285" s="149"/>
      <c r="H285" s="149"/>
      <c r="K285" s="149"/>
      <c r="AE285" s="149"/>
      <c r="AG285" s="149"/>
      <c r="AI285" s="149"/>
      <c r="AK285" s="149"/>
    </row>
    <row r="286" ht="15.75" customHeight="1">
      <c r="C286" s="148"/>
      <c r="E286" s="149"/>
      <c r="H286" s="149"/>
      <c r="K286" s="149"/>
      <c r="AE286" s="149"/>
      <c r="AG286" s="149"/>
      <c r="AI286" s="149"/>
      <c r="AK286" s="149"/>
    </row>
    <row r="287" ht="15.75" customHeight="1">
      <c r="C287" s="148"/>
      <c r="E287" s="149"/>
      <c r="H287" s="149"/>
      <c r="K287" s="149"/>
      <c r="AE287" s="149"/>
      <c r="AG287" s="149"/>
      <c r="AI287" s="149"/>
      <c r="AK287" s="149"/>
    </row>
    <row r="288" ht="15.75" customHeight="1">
      <c r="C288" s="148"/>
      <c r="E288" s="149"/>
      <c r="H288" s="149"/>
      <c r="K288" s="149"/>
      <c r="AE288" s="149"/>
      <c r="AG288" s="149"/>
      <c r="AI288" s="149"/>
      <c r="AK288" s="149"/>
    </row>
    <row r="289" ht="15.75" customHeight="1">
      <c r="C289" s="148"/>
      <c r="E289" s="149"/>
      <c r="H289" s="149"/>
      <c r="K289" s="149"/>
      <c r="AE289" s="149"/>
      <c r="AG289" s="149"/>
      <c r="AI289" s="149"/>
      <c r="AK289" s="149"/>
    </row>
    <row r="290" ht="15.75" customHeight="1">
      <c r="C290" s="148"/>
      <c r="E290" s="149"/>
      <c r="H290" s="149"/>
      <c r="K290" s="149"/>
      <c r="AE290" s="149"/>
      <c r="AG290" s="149"/>
      <c r="AI290" s="149"/>
      <c r="AK290" s="149"/>
    </row>
    <row r="291" ht="15.75" customHeight="1">
      <c r="C291" s="148"/>
      <c r="E291" s="149"/>
      <c r="H291" s="149"/>
      <c r="K291" s="149"/>
      <c r="AE291" s="149"/>
      <c r="AG291" s="149"/>
      <c r="AI291" s="149"/>
      <c r="AK291" s="149"/>
    </row>
    <row r="292" ht="15.75" customHeight="1">
      <c r="C292" s="148"/>
      <c r="E292" s="149"/>
      <c r="H292" s="149"/>
      <c r="K292" s="149"/>
      <c r="AE292" s="149"/>
      <c r="AG292" s="149"/>
      <c r="AI292" s="149"/>
      <c r="AK292" s="149"/>
    </row>
    <row r="293" ht="15.75" customHeight="1">
      <c r="C293" s="148"/>
      <c r="E293" s="149"/>
      <c r="H293" s="149"/>
      <c r="K293" s="149"/>
      <c r="AE293" s="149"/>
      <c r="AG293" s="149"/>
      <c r="AI293" s="149"/>
      <c r="AK293" s="149"/>
    </row>
    <row r="294" ht="15.75" customHeight="1">
      <c r="C294" s="148"/>
      <c r="E294" s="149"/>
      <c r="H294" s="149"/>
      <c r="K294" s="149"/>
      <c r="AE294" s="149"/>
      <c r="AG294" s="149"/>
      <c r="AI294" s="149"/>
      <c r="AK294" s="149"/>
    </row>
    <row r="295" ht="15.75" customHeight="1">
      <c r="C295" s="148"/>
      <c r="E295" s="149"/>
      <c r="H295" s="149"/>
      <c r="K295" s="149"/>
      <c r="AE295" s="149"/>
      <c r="AG295" s="149"/>
      <c r="AI295" s="149"/>
      <c r="AK295" s="149"/>
    </row>
    <row r="296" ht="15.75" customHeight="1">
      <c r="C296" s="148"/>
      <c r="E296" s="149"/>
      <c r="H296" s="149"/>
      <c r="K296" s="149"/>
      <c r="AE296" s="149"/>
      <c r="AG296" s="149"/>
      <c r="AI296" s="149"/>
      <c r="AK296" s="149"/>
    </row>
    <row r="297" ht="15.75" customHeight="1">
      <c r="C297" s="148"/>
      <c r="E297" s="149"/>
      <c r="H297" s="149"/>
      <c r="K297" s="149"/>
      <c r="AE297" s="149"/>
      <c r="AG297" s="149"/>
      <c r="AI297" s="149"/>
      <c r="AK297" s="149"/>
    </row>
    <row r="298" ht="15.75" customHeight="1">
      <c r="C298" s="148"/>
      <c r="E298" s="149"/>
      <c r="H298" s="149"/>
      <c r="K298" s="149"/>
      <c r="AE298" s="149"/>
      <c r="AG298" s="149"/>
      <c r="AI298" s="149"/>
      <c r="AK298" s="149"/>
    </row>
    <row r="299" ht="15.75" customHeight="1">
      <c r="C299" s="148"/>
      <c r="E299" s="149"/>
      <c r="H299" s="149"/>
      <c r="K299" s="149"/>
      <c r="AE299" s="149"/>
      <c r="AG299" s="149"/>
      <c r="AI299" s="149"/>
      <c r="AK299" s="149"/>
    </row>
    <row r="300" ht="15.75" customHeight="1">
      <c r="C300" s="148"/>
      <c r="E300" s="149"/>
      <c r="H300" s="149"/>
      <c r="K300" s="149"/>
      <c r="AE300" s="149"/>
      <c r="AG300" s="149"/>
      <c r="AI300" s="149"/>
      <c r="AK300" s="149"/>
    </row>
    <row r="301" ht="15.75" customHeight="1">
      <c r="C301" s="148"/>
      <c r="E301" s="149"/>
      <c r="H301" s="149"/>
      <c r="K301" s="149"/>
      <c r="AE301" s="149"/>
      <c r="AG301" s="149"/>
      <c r="AI301" s="149"/>
      <c r="AK301" s="149"/>
    </row>
    <row r="302" ht="15.75" customHeight="1">
      <c r="C302" s="148"/>
      <c r="E302" s="149"/>
      <c r="H302" s="149"/>
      <c r="K302" s="149"/>
      <c r="AE302" s="149"/>
      <c r="AG302" s="149"/>
      <c r="AI302" s="149"/>
      <c r="AK302" s="149"/>
    </row>
    <row r="303" ht="15.75" customHeight="1">
      <c r="C303" s="148"/>
      <c r="E303" s="149"/>
      <c r="H303" s="149"/>
      <c r="K303" s="149"/>
      <c r="AE303" s="149"/>
      <c r="AG303" s="149"/>
      <c r="AI303" s="149"/>
      <c r="AK303" s="149"/>
    </row>
    <row r="304" ht="15.75" customHeight="1">
      <c r="C304" s="148"/>
      <c r="E304" s="149"/>
      <c r="H304" s="149"/>
      <c r="K304" s="149"/>
      <c r="AE304" s="149"/>
      <c r="AG304" s="149"/>
      <c r="AI304" s="149"/>
      <c r="AK304" s="149"/>
    </row>
    <row r="305" ht="15.75" customHeight="1">
      <c r="C305" s="148"/>
      <c r="E305" s="149"/>
      <c r="H305" s="149"/>
      <c r="K305" s="149"/>
      <c r="AE305" s="149"/>
      <c r="AG305" s="149"/>
      <c r="AI305" s="149"/>
      <c r="AK305" s="149"/>
    </row>
    <row r="306" ht="15.75" customHeight="1">
      <c r="C306" s="148"/>
      <c r="E306" s="149"/>
      <c r="H306" s="149"/>
      <c r="K306" s="149"/>
      <c r="AE306" s="149"/>
      <c r="AG306" s="149"/>
      <c r="AI306" s="149"/>
      <c r="AK306" s="149"/>
    </row>
    <row r="307" ht="15.75" customHeight="1">
      <c r="C307" s="148"/>
      <c r="E307" s="149"/>
      <c r="H307" s="149"/>
      <c r="K307" s="149"/>
      <c r="AE307" s="149"/>
      <c r="AG307" s="149"/>
      <c r="AI307" s="149"/>
      <c r="AK307" s="149"/>
    </row>
    <row r="308" ht="15.75" customHeight="1">
      <c r="C308" s="148"/>
      <c r="E308" s="149"/>
      <c r="H308" s="149"/>
      <c r="K308" s="149"/>
      <c r="AE308" s="149"/>
      <c r="AG308" s="149"/>
      <c r="AI308" s="149"/>
      <c r="AK308" s="149"/>
    </row>
    <row r="309" ht="15.75" customHeight="1">
      <c r="C309" s="148"/>
      <c r="E309" s="149"/>
      <c r="H309" s="149"/>
      <c r="K309" s="149"/>
      <c r="AE309" s="149"/>
      <c r="AG309" s="149"/>
      <c r="AI309" s="149"/>
      <c r="AK309" s="149"/>
    </row>
    <row r="310" ht="15.75" customHeight="1">
      <c r="C310" s="148"/>
      <c r="E310" s="149"/>
      <c r="H310" s="149"/>
      <c r="K310" s="149"/>
      <c r="AE310" s="149"/>
      <c r="AG310" s="149"/>
      <c r="AI310" s="149"/>
      <c r="AK310" s="149"/>
    </row>
    <row r="311" ht="15.75" customHeight="1">
      <c r="C311" s="148"/>
      <c r="E311" s="149"/>
      <c r="H311" s="149"/>
      <c r="K311" s="149"/>
      <c r="AE311" s="149"/>
      <c r="AG311" s="149"/>
      <c r="AI311" s="149"/>
      <c r="AK311" s="149"/>
    </row>
    <row r="312" ht="15.75" customHeight="1">
      <c r="C312" s="148"/>
      <c r="E312" s="149"/>
      <c r="H312" s="149"/>
      <c r="K312" s="149"/>
      <c r="AE312" s="149"/>
      <c r="AG312" s="149"/>
      <c r="AI312" s="149"/>
      <c r="AK312" s="149"/>
    </row>
    <row r="313" ht="15.75" customHeight="1">
      <c r="C313" s="148"/>
      <c r="E313" s="149"/>
      <c r="H313" s="149"/>
      <c r="K313" s="149"/>
      <c r="AE313" s="149"/>
      <c r="AG313" s="149"/>
      <c r="AI313" s="149"/>
      <c r="AK313" s="149"/>
    </row>
    <row r="314" ht="15.75" customHeight="1">
      <c r="C314" s="148"/>
      <c r="E314" s="149"/>
      <c r="H314" s="149"/>
      <c r="K314" s="149"/>
      <c r="AE314" s="149"/>
      <c r="AG314" s="149"/>
      <c r="AI314" s="149"/>
      <c r="AK314" s="149"/>
    </row>
    <row r="315" ht="15.75" customHeight="1">
      <c r="C315" s="148"/>
      <c r="E315" s="149"/>
      <c r="H315" s="149"/>
      <c r="K315" s="149"/>
      <c r="AE315" s="149"/>
      <c r="AG315" s="149"/>
      <c r="AI315" s="149"/>
      <c r="AK315" s="149"/>
    </row>
    <row r="316" ht="15.75" customHeight="1">
      <c r="C316" s="148"/>
      <c r="E316" s="149"/>
      <c r="H316" s="149"/>
      <c r="K316" s="149"/>
      <c r="AE316" s="149"/>
      <c r="AG316" s="149"/>
      <c r="AI316" s="149"/>
      <c r="AK316" s="149"/>
    </row>
    <row r="317" ht="15.75" customHeight="1">
      <c r="C317" s="148"/>
      <c r="E317" s="149"/>
      <c r="H317" s="149"/>
      <c r="K317" s="149"/>
      <c r="AE317" s="149"/>
      <c r="AG317" s="149"/>
      <c r="AI317" s="149"/>
      <c r="AK317" s="149"/>
    </row>
    <row r="318" ht="15.75" customHeight="1">
      <c r="C318" s="148"/>
      <c r="E318" s="149"/>
      <c r="H318" s="149"/>
      <c r="K318" s="149"/>
      <c r="AE318" s="149"/>
      <c r="AG318" s="149"/>
      <c r="AI318" s="149"/>
      <c r="AK318" s="149"/>
    </row>
    <row r="319" ht="15.75" customHeight="1">
      <c r="C319" s="148"/>
      <c r="E319" s="149"/>
      <c r="H319" s="149"/>
      <c r="K319" s="149"/>
      <c r="AE319" s="149"/>
      <c r="AG319" s="149"/>
      <c r="AI319" s="149"/>
      <c r="AK319" s="149"/>
    </row>
    <row r="320" ht="15.75" customHeight="1">
      <c r="C320" s="148"/>
      <c r="E320" s="149"/>
      <c r="H320" s="149"/>
      <c r="K320" s="149"/>
      <c r="AE320" s="149"/>
      <c r="AG320" s="149"/>
      <c r="AI320" s="149"/>
      <c r="AK320" s="149"/>
    </row>
    <row r="321" ht="15.75" customHeight="1">
      <c r="C321" s="148"/>
      <c r="E321" s="149"/>
      <c r="H321" s="149"/>
      <c r="K321" s="149"/>
      <c r="AE321" s="149"/>
      <c r="AG321" s="149"/>
      <c r="AI321" s="149"/>
      <c r="AK321" s="149"/>
    </row>
    <row r="322" ht="15.75" customHeight="1">
      <c r="C322" s="148"/>
      <c r="E322" s="149"/>
      <c r="H322" s="149"/>
      <c r="K322" s="149"/>
      <c r="AE322" s="149"/>
      <c r="AG322" s="149"/>
      <c r="AI322" s="149"/>
      <c r="AK322" s="149"/>
    </row>
    <row r="323" ht="15.75" customHeight="1">
      <c r="C323" s="148"/>
      <c r="E323" s="149"/>
      <c r="H323" s="149"/>
      <c r="K323" s="149"/>
      <c r="AE323" s="149"/>
      <c r="AG323" s="149"/>
      <c r="AI323" s="149"/>
      <c r="AK323" s="149"/>
    </row>
    <row r="324" ht="15.75" customHeight="1">
      <c r="C324" s="148"/>
      <c r="E324" s="149"/>
      <c r="H324" s="149"/>
      <c r="K324" s="149"/>
      <c r="AE324" s="149"/>
      <c r="AG324" s="149"/>
      <c r="AI324" s="149"/>
      <c r="AK324" s="149"/>
    </row>
    <row r="325" ht="15.75" customHeight="1">
      <c r="C325" s="148"/>
      <c r="E325" s="149"/>
      <c r="H325" s="149"/>
      <c r="K325" s="149"/>
      <c r="AE325" s="149"/>
      <c r="AG325" s="149"/>
      <c r="AI325" s="149"/>
      <c r="AK325" s="149"/>
    </row>
    <row r="326" ht="15.75" customHeight="1">
      <c r="C326" s="148"/>
      <c r="E326" s="149"/>
      <c r="H326" s="149"/>
      <c r="K326" s="149"/>
      <c r="AE326" s="149"/>
      <c r="AG326" s="149"/>
      <c r="AI326" s="149"/>
      <c r="AK326" s="149"/>
    </row>
    <row r="327" ht="15.75" customHeight="1">
      <c r="C327" s="148"/>
      <c r="E327" s="149"/>
      <c r="H327" s="149"/>
      <c r="K327" s="149"/>
      <c r="AE327" s="149"/>
      <c r="AG327" s="149"/>
      <c r="AI327" s="149"/>
      <c r="AK327" s="149"/>
    </row>
    <row r="328" ht="15.75" customHeight="1">
      <c r="C328" s="148"/>
      <c r="E328" s="149"/>
      <c r="H328" s="149"/>
      <c r="K328" s="149"/>
      <c r="AE328" s="149"/>
      <c r="AG328" s="149"/>
      <c r="AI328" s="149"/>
      <c r="AK328" s="149"/>
    </row>
    <row r="329" ht="15.75" customHeight="1">
      <c r="C329" s="148"/>
      <c r="E329" s="149"/>
      <c r="H329" s="149"/>
      <c r="K329" s="149"/>
      <c r="AE329" s="149"/>
      <c r="AG329" s="149"/>
      <c r="AI329" s="149"/>
      <c r="AK329" s="149"/>
    </row>
    <row r="330" ht="15.75" customHeight="1">
      <c r="C330" s="148"/>
      <c r="E330" s="149"/>
      <c r="H330" s="149"/>
      <c r="K330" s="149"/>
      <c r="AE330" s="149"/>
      <c r="AG330" s="149"/>
      <c r="AI330" s="149"/>
      <c r="AK330" s="149"/>
    </row>
    <row r="331" ht="15.75" customHeight="1">
      <c r="C331" s="148"/>
      <c r="E331" s="149"/>
      <c r="H331" s="149"/>
      <c r="K331" s="149"/>
      <c r="AE331" s="149"/>
      <c r="AG331" s="149"/>
      <c r="AI331" s="149"/>
      <c r="AK331" s="149"/>
    </row>
    <row r="332" ht="15.75" customHeight="1">
      <c r="C332" s="148"/>
      <c r="E332" s="149"/>
      <c r="H332" s="149"/>
      <c r="K332" s="149"/>
      <c r="AE332" s="149"/>
      <c r="AG332" s="149"/>
      <c r="AI332" s="149"/>
      <c r="AK332" s="149"/>
    </row>
    <row r="333" ht="15.75" customHeight="1">
      <c r="C333" s="148"/>
      <c r="E333" s="149"/>
      <c r="H333" s="149"/>
      <c r="K333" s="149"/>
      <c r="AE333" s="149"/>
      <c r="AG333" s="149"/>
      <c r="AI333" s="149"/>
      <c r="AK333" s="149"/>
    </row>
    <row r="334" ht="15.75" customHeight="1">
      <c r="C334" s="148"/>
      <c r="E334" s="149"/>
      <c r="H334" s="149"/>
      <c r="K334" s="149"/>
      <c r="AE334" s="149"/>
      <c r="AG334" s="149"/>
      <c r="AI334" s="149"/>
      <c r="AK334" s="149"/>
    </row>
    <row r="335" ht="15.75" customHeight="1">
      <c r="C335" s="148"/>
      <c r="E335" s="149"/>
      <c r="H335" s="149"/>
      <c r="K335" s="149"/>
      <c r="AE335" s="149"/>
      <c r="AG335" s="149"/>
      <c r="AI335" s="149"/>
      <c r="AK335" s="149"/>
    </row>
    <row r="336" ht="15.75" customHeight="1">
      <c r="C336" s="148"/>
      <c r="E336" s="149"/>
      <c r="H336" s="149"/>
      <c r="K336" s="149"/>
      <c r="AE336" s="149"/>
      <c r="AG336" s="149"/>
      <c r="AI336" s="149"/>
      <c r="AK336" s="149"/>
    </row>
    <row r="337" ht="15.75" customHeight="1">
      <c r="C337" s="148"/>
      <c r="E337" s="149"/>
      <c r="H337" s="149"/>
      <c r="K337" s="149"/>
      <c r="AE337" s="149"/>
      <c r="AG337" s="149"/>
      <c r="AI337" s="149"/>
      <c r="AK337" s="149"/>
    </row>
    <row r="338" ht="15.75" customHeight="1">
      <c r="C338" s="148"/>
      <c r="E338" s="149"/>
      <c r="H338" s="149"/>
      <c r="K338" s="149"/>
      <c r="AE338" s="149"/>
      <c r="AG338" s="149"/>
      <c r="AI338" s="149"/>
      <c r="AK338" s="149"/>
    </row>
    <row r="339" ht="15.75" customHeight="1">
      <c r="C339" s="148"/>
      <c r="E339" s="149"/>
      <c r="H339" s="149"/>
      <c r="K339" s="149"/>
      <c r="AE339" s="149"/>
      <c r="AG339" s="149"/>
      <c r="AI339" s="149"/>
      <c r="AK339" s="149"/>
    </row>
    <row r="340" ht="15.75" customHeight="1">
      <c r="C340" s="148"/>
      <c r="E340" s="149"/>
      <c r="H340" s="149"/>
      <c r="K340" s="149"/>
      <c r="AE340" s="149"/>
      <c r="AG340" s="149"/>
      <c r="AI340" s="149"/>
      <c r="AK340" s="149"/>
    </row>
    <row r="341" ht="15.75" customHeight="1">
      <c r="C341" s="148"/>
      <c r="E341" s="149"/>
      <c r="H341" s="149"/>
      <c r="K341" s="149"/>
      <c r="AE341" s="149"/>
      <c r="AG341" s="149"/>
      <c r="AI341" s="149"/>
      <c r="AK341" s="149"/>
    </row>
    <row r="342" ht="15.75" customHeight="1">
      <c r="C342" s="148"/>
      <c r="E342" s="149"/>
      <c r="H342" s="149"/>
      <c r="K342" s="149"/>
      <c r="AE342" s="149"/>
      <c r="AG342" s="149"/>
      <c r="AI342" s="149"/>
      <c r="AK342" s="149"/>
    </row>
    <row r="343" ht="15.75" customHeight="1">
      <c r="C343" s="148"/>
      <c r="E343" s="149"/>
      <c r="H343" s="149"/>
      <c r="K343" s="149"/>
      <c r="AE343" s="149"/>
      <c r="AG343" s="149"/>
      <c r="AI343" s="149"/>
      <c r="AK343" s="149"/>
    </row>
    <row r="344" ht="15.75" customHeight="1">
      <c r="C344" s="148"/>
      <c r="E344" s="149"/>
      <c r="H344" s="149"/>
      <c r="K344" s="149"/>
      <c r="AE344" s="149"/>
      <c r="AG344" s="149"/>
      <c r="AI344" s="149"/>
      <c r="AK344" s="149"/>
    </row>
    <row r="345" ht="15.75" customHeight="1">
      <c r="C345" s="148"/>
      <c r="E345" s="149"/>
      <c r="H345" s="149"/>
      <c r="K345" s="149"/>
      <c r="AE345" s="149"/>
      <c r="AG345" s="149"/>
      <c r="AI345" s="149"/>
      <c r="AK345" s="149"/>
    </row>
    <row r="346" ht="15.75" customHeight="1">
      <c r="C346" s="148"/>
      <c r="E346" s="149"/>
      <c r="H346" s="149"/>
      <c r="K346" s="149"/>
      <c r="AE346" s="149"/>
      <c r="AG346" s="149"/>
      <c r="AI346" s="149"/>
      <c r="AK346" s="149"/>
    </row>
    <row r="347" ht="15.75" customHeight="1">
      <c r="C347" s="148"/>
      <c r="E347" s="149"/>
      <c r="H347" s="149"/>
      <c r="K347" s="149"/>
      <c r="AE347" s="149"/>
      <c r="AG347" s="149"/>
      <c r="AI347" s="149"/>
      <c r="AK347" s="149"/>
    </row>
    <row r="348" ht="15.75" customHeight="1">
      <c r="C348" s="148"/>
      <c r="E348" s="149"/>
      <c r="H348" s="149"/>
      <c r="K348" s="149"/>
      <c r="AE348" s="149"/>
      <c r="AG348" s="149"/>
      <c r="AI348" s="149"/>
      <c r="AK348" s="149"/>
    </row>
    <row r="349" ht="15.75" customHeight="1">
      <c r="C349" s="148"/>
      <c r="E349" s="149"/>
      <c r="H349" s="149"/>
      <c r="K349" s="149"/>
      <c r="AE349" s="149"/>
      <c r="AG349" s="149"/>
      <c r="AI349" s="149"/>
      <c r="AK349" s="149"/>
    </row>
    <row r="350" ht="15.75" customHeight="1">
      <c r="C350" s="148"/>
      <c r="E350" s="149"/>
      <c r="H350" s="149"/>
      <c r="K350" s="149"/>
      <c r="AE350" s="149"/>
      <c r="AG350" s="149"/>
      <c r="AI350" s="149"/>
      <c r="AK350" s="149"/>
    </row>
    <row r="351" ht="15.75" customHeight="1">
      <c r="C351" s="148"/>
      <c r="E351" s="149"/>
      <c r="H351" s="149"/>
      <c r="K351" s="149"/>
      <c r="AE351" s="149"/>
      <c r="AG351" s="149"/>
      <c r="AI351" s="149"/>
      <c r="AK351" s="149"/>
    </row>
    <row r="352" ht="15.75" customHeight="1">
      <c r="C352" s="148"/>
      <c r="E352" s="149"/>
      <c r="H352" s="149"/>
      <c r="K352" s="149"/>
      <c r="AE352" s="149"/>
      <c r="AG352" s="149"/>
      <c r="AI352" s="149"/>
      <c r="AK352" s="149"/>
    </row>
    <row r="353" ht="15.75" customHeight="1">
      <c r="C353" s="148"/>
      <c r="E353" s="149"/>
      <c r="H353" s="149"/>
      <c r="K353" s="149"/>
      <c r="AE353" s="149"/>
      <c r="AG353" s="149"/>
      <c r="AI353" s="149"/>
      <c r="AK353" s="149"/>
    </row>
    <row r="354" ht="15.75" customHeight="1">
      <c r="C354" s="148"/>
      <c r="E354" s="149"/>
      <c r="H354" s="149"/>
      <c r="K354" s="149"/>
      <c r="AE354" s="149"/>
      <c r="AG354" s="149"/>
      <c r="AI354" s="149"/>
      <c r="AK354" s="149"/>
    </row>
    <row r="355" ht="15.75" customHeight="1">
      <c r="C355" s="148"/>
      <c r="E355" s="149"/>
      <c r="H355" s="149"/>
      <c r="K355" s="149"/>
      <c r="AE355" s="149"/>
      <c r="AG355" s="149"/>
      <c r="AI355" s="149"/>
      <c r="AK355" s="149"/>
    </row>
    <row r="356" ht="15.75" customHeight="1">
      <c r="C356" s="148"/>
      <c r="E356" s="149"/>
      <c r="H356" s="149"/>
      <c r="K356" s="149"/>
      <c r="AE356" s="149"/>
      <c r="AG356" s="149"/>
      <c r="AI356" s="149"/>
      <c r="AK356" s="149"/>
    </row>
    <row r="357" ht="15.75" customHeight="1">
      <c r="C357" s="148"/>
      <c r="E357" s="149"/>
      <c r="H357" s="149"/>
      <c r="K357" s="149"/>
      <c r="AE357" s="149"/>
      <c r="AG357" s="149"/>
      <c r="AI357" s="149"/>
      <c r="AK357" s="149"/>
    </row>
    <row r="358" ht="15.75" customHeight="1">
      <c r="C358" s="148"/>
      <c r="E358" s="149"/>
      <c r="H358" s="149"/>
      <c r="K358" s="149"/>
      <c r="AE358" s="149"/>
      <c r="AG358" s="149"/>
      <c r="AI358" s="149"/>
      <c r="AK358" s="149"/>
    </row>
    <row r="359" ht="15.75" customHeight="1">
      <c r="C359" s="148"/>
      <c r="E359" s="149"/>
      <c r="H359" s="149"/>
      <c r="K359" s="149"/>
      <c r="AE359" s="149"/>
      <c r="AG359" s="149"/>
      <c r="AI359" s="149"/>
      <c r="AK359" s="149"/>
    </row>
    <row r="360" ht="15.75" customHeight="1">
      <c r="C360" s="148"/>
      <c r="E360" s="149"/>
      <c r="H360" s="149"/>
      <c r="K360" s="149"/>
      <c r="AE360" s="149"/>
      <c r="AG360" s="149"/>
      <c r="AI360" s="149"/>
      <c r="AK360" s="149"/>
    </row>
    <row r="361" ht="15.75" customHeight="1">
      <c r="C361" s="148"/>
      <c r="E361" s="149"/>
      <c r="H361" s="149"/>
      <c r="K361" s="149"/>
      <c r="AE361" s="149"/>
      <c r="AG361" s="149"/>
      <c r="AI361" s="149"/>
      <c r="AK361" s="149"/>
    </row>
    <row r="362" ht="15.75" customHeight="1">
      <c r="C362" s="148"/>
      <c r="E362" s="149"/>
      <c r="H362" s="149"/>
      <c r="K362" s="149"/>
      <c r="AE362" s="149"/>
      <c r="AG362" s="149"/>
      <c r="AI362" s="149"/>
      <c r="AK362" s="149"/>
    </row>
    <row r="363" ht="15.75" customHeight="1">
      <c r="C363" s="148"/>
      <c r="E363" s="149"/>
      <c r="H363" s="149"/>
      <c r="K363" s="149"/>
      <c r="AE363" s="149"/>
      <c r="AG363" s="149"/>
      <c r="AI363" s="149"/>
      <c r="AK363" s="149"/>
    </row>
    <row r="364" ht="15.75" customHeight="1">
      <c r="C364" s="148"/>
      <c r="E364" s="149"/>
      <c r="H364" s="149"/>
      <c r="K364" s="149"/>
      <c r="AE364" s="149"/>
      <c r="AG364" s="149"/>
      <c r="AI364" s="149"/>
      <c r="AK364" s="149"/>
    </row>
    <row r="365" ht="15.75" customHeight="1">
      <c r="C365" s="148"/>
      <c r="E365" s="149"/>
      <c r="H365" s="149"/>
      <c r="K365" s="149"/>
      <c r="AE365" s="149"/>
      <c r="AG365" s="149"/>
      <c r="AI365" s="149"/>
      <c r="AK365" s="149"/>
    </row>
    <row r="366" ht="15.75" customHeight="1">
      <c r="C366" s="148"/>
      <c r="E366" s="149"/>
      <c r="H366" s="149"/>
      <c r="K366" s="149"/>
      <c r="AE366" s="149"/>
      <c r="AG366" s="149"/>
      <c r="AI366" s="149"/>
      <c r="AK366" s="149"/>
    </row>
    <row r="367" ht="15.75" customHeight="1">
      <c r="C367" s="148"/>
      <c r="E367" s="149"/>
      <c r="H367" s="149"/>
      <c r="K367" s="149"/>
      <c r="AE367" s="149"/>
      <c r="AG367" s="149"/>
      <c r="AI367" s="149"/>
      <c r="AK367" s="149"/>
    </row>
    <row r="368" ht="15.75" customHeight="1">
      <c r="C368" s="148"/>
      <c r="E368" s="149"/>
      <c r="H368" s="149"/>
      <c r="K368" s="149"/>
      <c r="AE368" s="149"/>
      <c r="AG368" s="149"/>
      <c r="AI368" s="149"/>
      <c r="AK368" s="149"/>
    </row>
    <row r="369" ht="15.75" customHeight="1">
      <c r="C369" s="148"/>
      <c r="E369" s="149"/>
      <c r="H369" s="149"/>
      <c r="K369" s="149"/>
      <c r="AE369" s="149"/>
      <c r="AG369" s="149"/>
      <c r="AI369" s="149"/>
      <c r="AK369" s="149"/>
    </row>
    <row r="370" ht="15.75" customHeight="1">
      <c r="C370" s="148"/>
      <c r="E370" s="149"/>
      <c r="H370" s="149"/>
      <c r="K370" s="149"/>
      <c r="AE370" s="149"/>
      <c r="AG370" s="149"/>
      <c r="AI370" s="149"/>
      <c r="AK370" s="149"/>
    </row>
    <row r="371" ht="15.75" customHeight="1">
      <c r="C371" s="148"/>
      <c r="E371" s="149"/>
      <c r="H371" s="149"/>
      <c r="K371" s="149"/>
      <c r="AE371" s="149"/>
      <c r="AG371" s="149"/>
      <c r="AI371" s="149"/>
      <c r="AK371" s="149"/>
    </row>
    <row r="372" ht="15.75" customHeight="1">
      <c r="C372" s="148"/>
      <c r="E372" s="149"/>
      <c r="H372" s="149"/>
      <c r="K372" s="149"/>
      <c r="AE372" s="149"/>
      <c r="AG372" s="149"/>
      <c r="AI372" s="149"/>
      <c r="AK372" s="149"/>
    </row>
    <row r="373" ht="15.75" customHeight="1">
      <c r="C373" s="148"/>
      <c r="E373" s="149"/>
      <c r="H373" s="149"/>
      <c r="K373" s="149"/>
      <c r="AE373" s="149"/>
      <c r="AG373" s="149"/>
      <c r="AI373" s="149"/>
      <c r="AK373" s="149"/>
    </row>
    <row r="374" ht="15.75" customHeight="1">
      <c r="C374" s="148"/>
      <c r="E374" s="149"/>
      <c r="H374" s="149"/>
      <c r="K374" s="149"/>
      <c r="AE374" s="149"/>
      <c r="AG374" s="149"/>
      <c r="AI374" s="149"/>
      <c r="AK374" s="149"/>
    </row>
    <row r="375" ht="15.75" customHeight="1">
      <c r="C375" s="148"/>
      <c r="E375" s="149"/>
      <c r="H375" s="149"/>
      <c r="K375" s="149"/>
      <c r="AE375" s="149"/>
      <c r="AG375" s="149"/>
      <c r="AI375" s="149"/>
      <c r="AK375" s="149"/>
    </row>
    <row r="376" ht="15.75" customHeight="1">
      <c r="C376" s="148"/>
      <c r="E376" s="149"/>
      <c r="H376" s="149"/>
      <c r="K376" s="149"/>
      <c r="AE376" s="149"/>
      <c r="AG376" s="149"/>
      <c r="AI376" s="149"/>
      <c r="AK376" s="149"/>
    </row>
    <row r="377" ht="15.75" customHeight="1">
      <c r="C377" s="148"/>
      <c r="E377" s="149"/>
      <c r="H377" s="149"/>
      <c r="K377" s="149"/>
      <c r="AE377" s="149"/>
      <c r="AG377" s="149"/>
      <c r="AI377" s="149"/>
      <c r="AK377" s="149"/>
    </row>
    <row r="378" ht="15.75" customHeight="1">
      <c r="C378" s="148"/>
      <c r="E378" s="149"/>
      <c r="H378" s="149"/>
      <c r="K378" s="149"/>
      <c r="AE378" s="149"/>
      <c r="AG378" s="149"/>
      <c r="AI378" s="149"/>
      <c r="AK378" s="149"/>
    </row>
    <row r="379" ht="15.75" customHeight="1">
      <c r="C379" s="148"/>
      <c r="E379" s="149"/>
      <c r="H379" s="149"/>
      <c r="K379" s="149"/>
      <c r="AE379" s="149"/>
      <c r="AG379" s="149"/>
      <c r="AI379" s="149"/>
      <c r="AK379" s="149"/>
    </row>
    <row r="380" ht="15.75" customHeight="1">
      <c r="C380" s="148"/>
      <c r="E380" s="149"/>
      <c r="H380" s="149"/>
      <c r="K380" s="149"/>
      <c r="AE380" s="149"/>
      <c r="AG380" s="149"/>
      <c r="AI380" s="149"/>
      <c r="AK380" s="149"/>
    </row>
    <row r="381" ht="15.75" customHeight="1">
      <c r="C381" s="148"/>
      <c r="E381" s="149"/>
      <c r="H381" s="149"/>
      <c r="K381" s="149"/>
      <c r="AE381" s="149"/>
      <c r="AG381" s="149"/>
      <c r="AI381" s="149"/>
      <c r="AK381" s="149"/>
    </row>
    <row r="382" ht="15.75" customHeight="1">
      <c r="C382" s="148"/>
      <c r="E382" s="149"/>
      <c r="H382" s="149"/>
      <c r="K382" s="149"/>
      <c r="AE382" s="149"/>
      <c r="AG382" s="149"/>
      <c r="AI382" s="149"/>
      <c r="AK382" s="149"/>
    </row>
    <row r="383" ht="15.75" customHeight="1">
      <c r="C383" s="148"/>
      <c r="E383" s="149"/>
      <c r="H383" s="149"/>
      <c r="K383" s="149"/>
      <c r="AE383" s="149"/>
      <c r="AG383" s="149"/>
      <c r="AI383" s="149"/>
      <c r="AK383" s="149"/>
    </row>
    <row r="384" ht="15.75" customHeight="1">
      <c r="C384" s="148"/>
      <c r="E384" s="149"/>
      <c r="H384" s="149"/>
      <c r="K384" s="149"/>
      <c r="AE384" s="149"/>
      <c r="AG384" s="149"/>
      <c r="AI384" s="149"/>
      <c r="AK384" s="149"/>
    </row>
    <row r="385" ht="15.75" customHeight="1">
      <c r="C385" s="148"/>
      <c r="E385" s="149"/>
      <c r="H385" s="149"/>
      <c r="K385" s="149"/>
      <c r="AE385" s="149"/>
      <c r="AG385" s="149"/>
      <c r="AI385" s="149"/>
      <c r="AK385" s="149"/>
    </row>
    <row r="386" ht="15.75" customHeight="1">
      <c r="C386" s="148"/>
      <c r="E386" s="149"/>
      <c r="H386" s="149"/>
      <c r="K386" s="149"/>
      <c r="AE386" s="149"/>
      <c r="AG386" s="149"/>
      <c r="AI386" s="149"/>
      <c r="AK386" s="149"/>
    </row>
    <row r="387" ht="15.75" customHeight="1">
      <c r="C387" s="148"/>
      <c r="E387" s="149"/>
      <c r="H387" s="149"/>
      <c r="K387" s="149"/>
      <c r="AE387" s="149"/>
      <c r="AG387" s="149"/>
      <c r="AI387" s="149"/>
      <c r="AK387" s="149"/>
    </row>
    <row r="388" ht="15.75" customHeight="1">
      <c r="C388" s="148"/>
      <c r="E388" s="149"/>
      <c r="H388" s="149"/>
      <c r="K388" s="149"/>
      <c r="AE388" s="149"/>
      <c r="AG388" s="149"/>
      <c r="AI388" s="149"/>
      <c r="AK388" s="149"/>
    </row>
    <row r="389" ht="15.75" customHeight="1">
      <c r="C389" s="148"/>
      <c r="E389" s="149"/>
      <c r="H389" s="149"/>
      <c r="K389" s="149"/>
      <c r="AE389" s="149"/>
      <c r="AG389" s="149"/>
      <c r="AI389" s="149"/>
      <c r="AK389" s="149"/>
    </row>
    <row r="390" ht="15.75" customHeight="1">
      <c r="C390" s="148"/>
      <c r="E390" s="149"/>
      <c r="H390" s="149"/>
      <c r="K390" s="149"/>
      <c r="AE390" s="149"/>
      <c r="AG390" s="149"/>
      <c r="AI390" s="149"/>
      <c r="AK390" s="149"/>
    </row>
    <row r="391" ht="15.75" customHeight="1">
      <c r="C391" s="148"/>
      <c r="E391" s="149"/>
      <c r="H391" s="149"/>
      <c r="K391" s="149"/>
      <c r="AE391" s="149"/>
      <c r="AG391" s="149"/>
      <c r="AI391" s="149"/>
      <c r="AK391" s="149"/>
    </row>
    <row r="392" ht="15.75" customHeight="1">
      <c r="C392" s="148"/>
      <c r="E392" s="149"/>
      <c r="H392" s="149"/>
      <c r="K392" s="149"/>
      <c r="AE392" s="149"/>
      <c r="AG392" s="149"/>
      <c r="AI392" s="149"/>
      <c r="AK392" s="149"/>
    </row>
    <row r="393" ht="15.75" customHeight="1">
      <c r="C393" s="148"/>
      <c r="E393" s="149"/>
      <c r="H393" s="149"/>
      <c r="K393" s="149"/>
      <c r="AE393" s="149"/>
      <c r="AG393" s="149"/>
      <c r="AI393" s="149"/>
      <c r="AK393" s="149"/>
    </row>
    <row r="394" ht="15.75" customHeight="1">
      <c r="C394" s="148"/>
      <c r="E394" s="149"/>
      <c r="H394" s="149"/>
      <c r="K394" s="149"/>
      <c r="AE394" s="149"/>
      <c r="AG394" s="149"/>
      <c r="AI394" s="149"/>
      <c r="AK394" s="149"/>
    </row>
    <row r="395" ht="15.75" customHeight="1">
      <c r="C395" s="148"/>
      <c r="E395" s="149"/>
      <c r="H395" s="149"/>
      <c r="K395" s="149"/>
      <c r="AE395" s="149"/>
      <c r="AG395" s="149"/>
      <c r="AI395" s="149"/>
      <c r="AK395" s="149"/>
    </row>
    <row r="396" ht="15.75" customHeight="1">
      <c r="C396" s="148"/>
      <c r="E396" s="149"/>
      <c r="H396" s="149"/>
      <c r="K396" s="149"/>
      <c r="AE396" s="149"/>
      <c r="AG396" s="149"/>
      <c r="AI396" s="149"/>
      <c r="AK396" s="149"/>
    </row>
    <row r="397" ht="15.75" customHeight="1">
      <c r="C397" s="148"/>
      <c r="E397" s="149"/>
      <c r="H397" s="149"/>
      <c r="K397" s="149"/>
      <c r="AE397" s="149"/>
      <c r="AG397" s="149"/>
      <c r="AI397" s="149"/>
      <c r="AK397" s="149"/>
    </row>
    <row r="398" ht="15.75" customHeight="1">
      <c r="C398" s="148"/>
      <c r="E398" s="149"/>
      <c r="H398" s="149"/>
      <c r="K398" s="149"/>
      <c r="AE398" s="149"/>
      <c r="AG398" s="149"/>
      <c r="AI398" s="149"/>
      <c r="AK398" s="149"/>
    </row>
    <row r="399" ht="15.75" customHeight="1">
      <c r="C399" s="148"/>
      <c r="E399" s="149"/>
      <c r="H399" s="149"/>
      <c r="K399" s="149"/>
      <c r="AE399" s="149"/>
      <c r="AG399" s="149"/>
      <c r="AI399" s="149"/>
      <c r="AK399" s="149"/>
    </row>
    <row r="400" ht="15.75" customHeight="1">
      <c r="C400" s="148"/>
      <c r="E400" s="149"/>
      <c r="H400" s="149"/>
      <c r="K400" s="149"/>
      <c r="AE400" s="149"/>
      <c r="AG400" s="149"/>
      <c r="AI400" s="149"/>
      <c r="AK400" s="149"/>
    </row>
    <row r="401" ht="15.75" customHeight="1">
      <c r="C401" s="148"/>
      <c r="E401" s="149"/>
      <c r="H401" s="149"/>
      <c r="K401" s="149"/>
      <c r="AE401" s="149"/>
      <c r="AG401" s="149"/>
      <c r="AI401" s="149"/>
      <c r="AK401" s="149"/>
    </row>
    <row r="402" ht="15.75" customHeight="1">
      <c r="C402" s="148"/>
      <c r="E402" s="149"/>
      <c r="H402" s="149"/>
      <c r="K402" s="149"/>
      <c r="AE402" s="149"/>
      <c r="AG402" s="149"/>
      <c r="AI402" s="149"/>
      <c r="AK402" s="149"/>
    </row>
    <row r="403" ht="15.75" customHeight="1">
      <c r="C403" s="148"/>
      <c r="E403" s="149"/>
      <c r="H403" s="149"/>
      <c r="K403" s="149"/>
      <c r="AE403" s="149"/>
      <c r="AG403" s="149"/>
      <c r="AI403" s="149"/>
      <c r="AK403" s="149"/>
    </row>
    <row r="404" ht="15.75" customHeight="1">
      <c r="C404" s="148"/>
      <c r="E404" s="149"/>
      <c r="H404" s="149"/>
      <c r="K404" s="149"/>
      <c r="AE404" s="149"/>
      <c r="AG404" s="149"/>
      <c r="AI404" s="149"/>
      <c r="AK404" s="149"/>
    </row>
    <row r="405" ht="15.75" customHeight="1">
      <c r="C405" s="148"/>
      <c r="E405" s="149"/>
      <c r="H405" s="149"/>
      <c r="K405" s="149"/>
      <c r="AE405" s="149"/>
      <c r="AG405" s="149"/>
      <c r="AI405" s="149"/>
      <c r="AK405" s="149"/>
    </row>
    <row r="406" ht="15.75" customHeight="1">
      <c r="C406" s="148"/>
      <c r="E406" s="149"/>
      <c r="H406" s="149"/>
      <c r="K406" s="149"/>
      <c r="AE406" s="149"/>
      <c r="AG406" s="149"/>
      <c r="AI406" s="149"/>
      <c r="AK406" s="149"/>
    </row>
    <row r="407" ht="15.75" customHeight="1">
      <c r="C407" s="148"/>
      <c r="E407" s="149"/>
      <c r="H407" s="149"/>
      <c r="K407" s="149"/>
      <c r="AE407" s="149"/>
      <c r="AG407" s="149"/>
      <c r="AI407" s="149"/>
      <c r="AK407" s="149"/>
    </row>
    <row r="408" ht="15.75" customHeight="1">
      <c r="C408" s="148"/>
      <c r="E408" s="149"/>
      <c r="H408" s="149"/>
      <c r="K408" s="149"/>
      <c r="AE408" s="149"/>
      <c r="AG408" s="149"/>
      <c r="AI408" s="149"/>
      <c r="AK408" s="149"/>
    </row>
    <row r="409" ht="15.75" customHeight="1">
      <c r="C409" s="148"/>
      <c r="E409" s="149"/>
      <c r="H409" s="149"/>
      <c r="K409" s="149"/>
      <c r="AE409" s="149"/>
      <c r="AG409" s="149"/>
      <c r="AI409" s="149"/>
      <c r="AK409" s="149"/>
    </row>
    <row r="410" ht="15.75" customHeight="1">
      <c r="C410" s="148"/>
      <c r="E410" s="149"/>
      <c r="H410" s="149"/>
      <c r="K410" s="149"/>
      <c r="AE410" s="149"/>
      <c r="AG410" s="149"/>
      <c r="AI410" s="149"/>
      <c r="AK410" s="149"/>
    </row>
    <row r="411" ht="15.75" customHeight="1">
      <c r="C411" s="148"/>
      <c r="E411" s="149"/>
      <c r="H411" s="149"/>
      <c r="K411" s="149"/>
      <c r="AE411" s="149"/>
      <c r="AG411" s="149"/>
      <c r="AI411" s="149"/>
      <c r="AK411" s="149"/>
    </row>
    <row r="412" ht="15.75" customHeight="1">
      <c r="C412" s="148"/>
      <c r="E412" s="149"/>
      <c r="H412" s="149"/>
      <c r="K412" s="149"/>
      <c r="AE412" s="149"/>
      <c r="AG412" s="149"/>
      <c r="AI412" s="149"/>
      <c r="AK412" s="149"/>
    </row>
    <row r="413" ht="15.75" customHeight="1">
      <c r="C413" s="148"/>
      <c r="E413" s="149"/>
      <c r="H413" s="149"/>
      <c r="K413" s="149"/>
      <c r="AE413" s="149"/>
      <c r="AG413" s="149"/>
      <c r="AI413" s="149"/>
      <c r="AK413" s="149"/>
    </row>
    <row r="414" ht="15.75" customHeight="1">
      <c r="C414" s="148"/>
      <c r="E414" s="149"/>
      <c r="H414" s="149"/>
      <c r="K414" s="149"/>
      <c r="AE414" s="149"/>
      <c r="AG414" s="149"/>
      <c r="AI414" s="149"/>
      <c r="AK414" s="149"/>
    </row>
    <row r="415" ht="15.75" customHeight="1">
      <c r="C415" s="148"/>
      <c r="E415" s="149"/>
      <c r="H415" s="149"/>
      <c r="K415" s="149"/>
      <c r="AE415" s="149"/>
      <c r="AG415" s="149"/>
      <c r="AI415" s="149"/>
      <c r="AK415" s="149"/>
    </row>
    <row r="416" ht="15.75" customHeight="1">
      <c r="C416" s="148"/>
      <c r="E416" s="149"/>
      <c r="H416" s="149"/>
      <c r="K416" s="149"/>
      <c r="AE416" s="149"/>
      <c r="AG416" s="149"/>
      <c r="AI416" s="149"/>
      <c r="AK416" s="149"/>
    </row>
    <row r="417" ht="15.75" customHeight="1">
      <c r="C417" s="148"/>
      <c r="E417" s="149"/>
      <c r="H417" s="149"/>
      <c r="K417" s="149"/>
      <c r="AE417" s="149"/>
      <c r="AG417" s="149"/>
      <c r="AI417" s="149"/>
      <c r="AK417" s="149"/>
    </row>
    <row r="418" ht="15.75" customHeight="1">
      <c r="C418" s="148"/>
      <c r="E418" s="149"/>
      <c r="H418" s="149"/>
      <c r="K418" s="149"/>
      <c r="AE418" s="149"/>
      <c r="AG418" s="149"/>
      <c r="AI418" s="149"/>
      <c r="AK418" s="149"/>
    </row>
    <row r="419" ht="15.75" customHeight="1">
      <c r="C419" s="148"/>
      <c r="E419" s="149"/>
      <c r="H419" s="149"/>
      <c r="K419" s="149"/>
      <c r="AE419" s="149"/>
      <c r="AG419" s="149"/>
      <c r="AI419" s="149"/>
      <c r="AK419" s="149"/>
    </row>
    <row r="420" ht="15.75" customHeight="1">
      <c r="C420" s="148"/>
      <c r="E420" s="149"/>
      <c r="H420" s="149"/>
      <c r="K420" s="149"/>
      <c r="AE420" s="149"/>
      <c r="AG420" s="149"/>
      <c r="AI420" s="149"/>
      <c r="AK420" s="149"/>
    </row>
    <row r="421" ht="15.75" customHeight="1">
      <c r="C421" s="148"/>
      <c r="E421" s="149"/>
      <c r="H421" s="149"/>
      <c r="K421" s="149"/>
      <c r="AE421" s="149"/>
      <c r="AG421" s="149"/>
      <c r="AI421" s="149"/>
      <c r="AK421" s="149"/>
    </row>
    <row r="422" ht="15.75" customHeight="1">
      <c r="C422" s="148"/>
      <c r="E422" s="149"/>
      <c r="H422" s="149"/>
      <c r="K422" s="149"/>
      <c r="AE422" s="149"/>
      <c r="AG422" s="149"/>
      <c r="AI422" s="149"/>
      <c r="AK422" s="149"/>
    </row>
    <row r="423" ht="15.75" customHeight="1">
      <c r="C423" s="148"/>
      <c r="E423" s="149"/>
      <c r="H423" s="149"/>
      <c r="K423" s="149"/>
      <c r="AE423" s="149"/>
      <c r="AG423" s="149"/>
      <c r="AI423" s="149"/>
      <c r="AK423" s="149"/>
    </row>
    <row r="424" ht="15.75" customHeight="1">
      <c r="C424" s="148"/>
      <c r="E424" s="149"/>
      <c r="H424" s="149"/>
      <c r="K424" s="149"/>
      <c r="AE424" s="149"/>
      <c r="AG424" s="149"/>
      <c r="AI424" s="149"/>
      <c r="AK424" s="149"/>
    </row>
    <row r="425" ht="15.75" customHeight="1">
      <c r="C425" s="148"/>
      <c r="E425" s="149"/>
      <c r="H425" s="149"/>
      <c r="K425" s="149"/>
      <c r="AE425" s="149"/>
      <c r="AG425" s="149"/>
      <c r="AI425" s="149"/>
      <c r="AK425" s="149"/>
    </row>
    <row r="426" ht="15.75" customHeight="1">
      <c r="C426" s="148"/>
      <c r="E426" s="149"/>
      <c r="H426" s="149"/>
      <c r="K426" s="149"/>
      <c r="AE426" s="149"/>
      <c r="AG426" s="149"/>
      <c r="AI426" s="149"/>
      <c r="AK426" s="149"/>
    </row>
    <row r="427" ht="15.75" customHeight="1">
      <c r="C427" s="148"/>
      <c r="E427" s="149"/>
      <c r="H427" s="149"/>
      <c r="K427" s="149"/>
      <c r="AE427" s="149"/>
      <c r="AG427" s="149"/>
      <c r="AI427" s="149"/>
      <c r="AK427" s="149"/>
    </row>
    <row r="428" ht="15.75" customHeight="1">
      <c r="C428" s="148"/>
      <c r="E428" s="149"/>
      <c r="H428" s="149"/>
      <c r="K428" s="149"/>
      <c r="AE428" s="149"/>
      <c r="AG428" s="149"/>
      <c r="AI428" s="149"/>
      <c r="AK428" s="149"/>
    </row>
    <row r="429" ht="15.75" customHeight="1">
      <c r="C429" s="148"/>
      <c r="E429" s="149"/>
      <c r="H429" s="149"/>
      <c r="K429" s="149"/>
      <c r="AE429" s="149"/>
      <c r="AG429" s="149"/>
      <c r="AI429" s="149"/>
      <c r="AK429" s="149"/>
    </row>
    <row r="430" ht="15.75" customHeight="1">
      <c r="C430" s="148"/>
      <c r="E430" s="149"/>
      <c r="H430" s="149"/>
      <c r="K430" s="149"/>
      <c r="AE430" s="149"/>
      <c r="AG430" s="149"/>
      <c r="AI430" s="149"/>
      <c r="AK430" s="149"/>
    </row>
    <row r="431" ht="15.75" customHeight="1">
      <c r="C431" s="148"/>
      <c r="E431" s="149"/>
      <c r="H431" s="149"/>
      <c r="K431" s="149"/>
      <c r="AE431" s="149"/>
      <c r="AG431" s="149"/>
      <c r="AI431" s="149"/>
      <c r="AK431" s="149"/>
    </row>
    <row r="432" ht="15.75" customHeight="1">
      <c r="C432" s="148"/>
      <c r="E432" s="149"/>
      <c r="H432" s="149"/>
      <c r="K432" s="149"/>
      <c r="AE432" s="149"/>
      <c r="AG432" s="149"/>
      <c r="AI432" s="149"/>
      <c r="AK432" s="149"/>
    </row>
    <row r="433" ht="15.75" customHeight="1">
      <c r="C433" s="148"/>
      <c r="E433" s="149"/>
      <c r="H433" s="149"/>
      <c r="K433" s="149"/>
      <c r="AE433" s="149"/>
      <c r="AG433" s="149"/>
      <c r="AI433" s="149"/>
      <c r="AK433" s="149"/>
    </row>
    <row r="434" ht="15.75" customHeight="1">
      <c r="C434" s="148"/>
      <c r="E434" s="149"/>
      <c r="H434" s="149"/>
      <c r="K434" s="149"/>
      <c r="AE434" s="149"/>
      <c r="AG434" s="149"/>
      <c r="AI434" s="149"/>
      <c r="AK434" s="149"/>
    </row>
    <row r="435" ht="15.75" customHeight="1">
      <c r="C435" s="148"/>
      <c r="E435" s="149"/>
      <c r="H435" s="149"/>
      <c r="K435" s="149"/>
      <c r="AE435" s="149"/>
      <c r="AG435" s="149"/>
      <c r="AI435" s="149"/>
      <c r="AK435" s="149"/>
    </row>
    <row r="436" ht="15.75" customHeight="1">
      <c r="C436" s="148"/>
      <c r="E436" s="149"/>
      <c r="H436" s="149"/>
      <c r="K436" s="149"/>
      <c r="AE436" s="149"/>
      <c r="AG436" s="149"/>
      <c r="AI436" s="149"/>
      <c r="AK436" s="149"/>
    </row>
    <row r="437" ht="15.75" customHeight="1">
      <c r="C437" s="148"/>
      <c r="E437" s="149"/>
      <c r="H437" s="149"/>
      <c r="K437" s="149"/>
      <c r="AE437" s="149"/>
      <c r="AG437" s="149"/>
      <c r="AI437" s="149"/>
      <c r="AK437" s="149"/>
    </row>
    <row r="438" ht="15.75" customHeight="1">
      <c r="C438" s="148"/>
      <c r="E438" s="149"/>
      <c r="H438" s="149"/>
      <c r="K438" s="149"/>
      <c r="AE438" s="149"/>
      <c r="AG438" s="149"/>
      <c r="AI438" s="149"/>
      <c r="AK438" s="149"/>
    </row>
    <row r="439" ht="15.75" customHeight="1">
      <c r="C439" s="148"/>
      <c r="E439" s="149"/>
      <c r="H439" s="149"/>
      <c r="K439" s="149"/>
      <c r="AE439" s="149"/>
      <c r="AG439" s="149"/>
      <c r="AI439" s="149"/>
      <c r="AK439" s="149"/>
    </row>
    <row r="440" ht="15.75" customHeight="1">
      <c r="C440" s="148"/>
      <c r="E440" s="149"/>
      <c r="H440" s="149"/>
      <c r="K440" s="149"/>
      <c r="AE440" s="149"/>
      <c r="AG440" s="149"/>
      <c r="AI440" s="149"/>
      <c r="AK440" s="149"/>
    </row>
    <row r="441" ht="15.75" customHeight="1">
      <c r="C441" s="148"/>
      <c r="E441" s="149"/>
      <c r="H441" s="149"/>
      <c r="K441" s="149"/>
      <c r="AE441" s="149"/>
      <c r="AG441" s="149"/>
      <c r="AI441" s="149"/>
      <c r="AK441" s="149"/>
    </row>
    <row r="442" ht="15.75" customHeight="1">
      <c r="C442" s="148"/>
      <c r="E442" s="149"/>
      <c r="H442" s="149"/>
      <c r="K442" s="149"/>
      <c r="AE442" s="149"/>
      <c r="AG442" s="149"/>
      <c r="AI442" s="149"/>
      <c r="AK442" s="149"/>
    </row>
    <row r="443" ht="15.75" customHeight="1">
      <c r="C443" s="148"/>
      <c r="E443" s="149"/>
      <c r="H443" s="149"/>
      <c r="K443" s="149"/>
      <c r="AE443" s="149"/>
      <c r="AG443" s="149"/>
      <c r="AI443" s="149"/>
      <c r="AK443" s="149"/>
    </row>
    <row r="444" ht="15.75" customHeight="1">
      <c r="C444" s="148"/>
      <c r="E444" s="149"/>
      <c r="H444" s="149"/>
      <c r="K444" s="149"/>
      <c r="AE444" s="149"/>
      <c r="AG444" s="149"/>
      <c r="AI444" s="149"/>
      <c r="AK444" s="149"/>
    </row>
    <row r="445" ht="15.75" customHeight="1">
      <c r="C445" s="148"/>
      <c r="E445" s="149"/>
      <c r="H445" s="149"/>
      <c r="K445" s="149"/>
      <c r="AE445" s="149"/>
      <c r="AG445" s="149"/>
      <c r="AI445" s="149"/>
      <c r="AK445" s="149"/>
    </row>
    <row r="446" ht="15.75" customHeight="1">
      <c r="C446" s="148"/>
      <c r="E446" s="149"/>
      <c r="H446" s="149"/>
      <c r="K446" s="149"/>
      <c r="AE446" s="149"/>
      <c r="AG446" s="149"/>
      <c r="AI446" s="149"/>
      <c r="AK446" s="149"/>
    </row>
    <row r="447" ht="15.75" customHeight="1">
      <c r="C447" s="148"/>
      <c r="E447" s="149"/>
      <c r="H447" s="149"/>
      <c r="K447" s="149"/>
      <c r="AE447" s="149"/>
      <c r="AG447" s="149"/>
      <c r="AI447" s="149"/>
      <c r="AK447" s="149"/>
    </row>
    <row r="448" ht="15.75" customHeight="1">
      <c r="C448" s="148"/>
      <c r="E448" s="149"/>
      <c r="H448" s="149"/>
      <c r="K448" s="149"/>
      <c r="AE448" s="149"/>
      <c r="AG448" s="149"/>
      <c r="AI448" s="149"/>
      <c r="AK448" s="149"/>
    </row>
    <row r="449" ht="15.75" customHeight="1">
      <c r="C449" s="148"/>
      <c r="E449" s="149"/>
      <c r="H449" s="149"/>
      <c r="K449" s="149"/>
      <c r="AE449" s="149"/>
      <c r="AG449" s="149"/>
      <c r="AI449" s="149"/>
      <c r="AK449" s="149"/>
    </row>
    <row r="450" ht="15.75" customHeight="1">
      <c r="C450" s="148"/>
      <c r="E450" s="149"/>
      <c r="H450" s="149"/>
      <c r="K450" s="149"/>
      <c r="AE450" s="149"/>
      <c r="AG450" s="149"/>
      <c r="AI450" s="149"/>
      <c r="AK450" s="149"/>
    </row>
    <row r="451" ht="15.75" customHeight="1">
      <c r="C451" s="148"/>
      <c r="E451" s="149"/>
      <c r="H451" s="149"/>
      <c r="K451" s="149"/>
      <c r="AE451" s="149"/>
      <c r="AG451" s="149"/>
      <c r="AI451" s="149"/>
      <c r="AK451" s="149"/>
    </row>
    <row r="452" ht="15.75" customHeight="1">
      <c r="C452" s="148"/>
      <c r="E452" s="149"/>
      <c r="H452" s="149"/>
      <c r="K452" s="149"/>
      <c r="AE452" s="149"/>
      <c r="AG452" s="149"/>
      <c r="AI452" s="149"/>
      <c r="AK452" s="149"/>
    </row>
    <row r="453" ht="15.75" customHeight="1">
      <c r="C453" s="148"/>
      <c r="E453" s="149"/>
      <c r="H453" s="149"/>
      <c r="K453" s="149"/>
      <c r="AE453" s="149"/>
      <c r="AG453" s="149"/>
      <c r="AI453" s="149"/>
      <c r="AK453" s="149"/>
    </row>
    <row r="454" ht="15.75" customHeight="1">
      <c r="C454" s="148"/>
      <c r="E454" s="149"/>
      <c r="H454" s="149"/>
      <c r="K454" s="149"/>
      <c r="AE454" s="149"/>
      <c r="AG454" s="149"/>
      <c r="AI454" s="149"/>
      <c r="AK454" s="149"/>
    </row>
    <row r="455" ht="15.75" customHeight="1">
      <c r="C455" s="148"/>
      <c r="E455" s="149"/>
      <c r="H455" s="149"/>
      <c r="K455" s="149"/>
      <c r="AE455" s="149"/>
      <c r="AG455" s="149"/>
      <c r="AI455" s="149"/>
      <c r="AK455" s="149"/>
    </row>
    <row r="456" ht="15.75" customHeight="1">
      <c r="C456" s="148"/>
      <c r="E456" s="149"/>
      <c r="H456" s="149"/>
      <c r="K456" s="149"/>
      <c r="AE456" s="149"/>
      <c r="AG456" s="149"/>
      <c r="AI456" s="149"/>
      <c r="AK456" s="149"/>
    </row>
    <row r="457" ht="15.75" customHeight="1">
      <c r="C457" s="148"/>
      <c r="E457" s="149"/>
      <c r="H457" s="149"/>
      <c r="K457" s="149"/>
      <c r="AE457" s="149"/>
      <c r="AG457" s="149"/>
      <c r="AI457" s="149"/>
      <c r="AK457" s="149"/>
    </row>
    <row r="458" ht="15.75" customHeight="1">
      <c r="C458" s="148"/>
      <c r="E458" s="149"/>
      <c r="H458" s="149"/>
      <c r="K458" s="149"/>
      <c r="AE458" s="149"/>
      <c r="AG458" s="149"/>
      <c r="AI458" s="149"/>
      <c r="AK458" s="149"/>
    </row>
    <row r="459" ht="15.75" customHeight="1">
      <c r="C459" s="148"/>
      <c r="E459" s="149"/>
      <c r="H459" s="149"/>
      <c r="K459" s="149"/>
      <c r="AE459" s="149"/>
      <c r="AG459" s="149"/>
      <c r="AI459" s="149"/>
      <c r="AK459" s="149"/>
    </row>
    <row r="460" ht="15.75" customHeight="1">
      <c r="C460" s="148"/>
      <c r="E460" s="149"/>
      <c r="H460" s="149"/>
      <c r="K460" s="149"/>
      <c r="AE460" s="149"/>
      <c r="AG460" s="149"/>
      <c r="AI460" s="149"/>
      <c r="AK460" s="149"/>
    </row>
    <row r="461" ht="15.75" customHeight="1">
      <c r="C461" s="148"/>
      <c r="E461" s="149"/>
      <c r="H461" s="149"/>
      <c r="K461" s="149"/>
      <c r="AE461" s="149"/>
      <c r="AG461" s="149"/>
      <c r="AI461" s="149"/>
      <c r="AK461" s="149"/>
    </row>
    <row r="462" ht="15.75" customHeight="1">
      <c r="C462" s="148"/>
      <c r="E462" s="149"/>
      <c r="H462" s="149"/>
      <c r="K462" s="149"/>
      <c r="AE462" s="149"/>
      <c r="AG462" s="149"/>
      <c r="AI462" s="149"/>
      <c r="AK462" s="149"/>
    </row>
    <row r="463" ht="15.75" customHeight="1">
      <c r="C463" s="148"/>
      <c r="E463" s="149"/>
      <c r="H463" s="149"/>
      <c r="K463" s="149"/>
      <c r="AE463" s="149"/>
      <c r="AG463" s="149"/>
      <c r="AI463" s="149"/>
      <c r="AK463" s="149"/>
    </row>
    <row r="464" ht="15.75" customHeight="1">
      <c r="C464" s="148"/>
      <c r="E464" s="149"/>
      <c r="H464" s="149"/>
      <c r="K464" s="149"/>
      <c r="AE464" s="149"/>
      <c r="AG464" s="149"/>
      <c r="AI464" s="149"/>
      <c r="AK464" s="149"/>
    </row>
    <row r="465" ht="15.75" customHeight="1">
      <c r="C465" s="148"/>
      <c r="E465" s="149"/>
      <c r="H465" s="149"/>
      <c r="K465" s="149"/>
      <c r="AE465" s="149"/>
      <c r="AG465" s="149"/>
      <c r="AI465" s="149"/>
      <c r="AK465" s="149"/>
    </row>
    <row r="466" ht="15.75" customHeight="1">
      <c r="C466" s="148"/>
      <c r="E466" s="149"/>
      <c r="H466" s="149"/>
      <c r="K466" s="149"/>
      <c r="AE466" s="149"/>
      <c r="AG466" s="149"/>
      <c r="AI466" s="149"/>
      <c r="AK466" s="149"/>
    </row>
    <row r="467" ht="15.75" customHeight="1">
      <c r="C467" s="148"/>
      <c r="E467" s="149"/>
      <c r="H467" s="149"/>
      <c r="K467" s="149"/>
      <c r="AE467" s="149"/>
      <c r="AG467" s="149"/>
      <c r="AI467" s="149"/>
      <c r="AK467" s="149"/>
    </row>
    <row r="468" ht="15.75" customHeight="1">
      <c r="C468" s="148"/>
      <c r="E468" s="149"/>
      <c r="H468" s="149"/>
      <c r="K468" s="149"/>
      <c r="AE468" s="149"/>
      <c r="AG468" s="149"/>
      <c r="AI468" s="149"/>
      <c r="AK468" s="149"/>
    </row>
    <row r="469" ht="15.75" customHeight="1">
      <c r="C469" s="148"/>
      <c r="E469" s="149"/>
      <c r="H469" s="149"/>
      <c r="K469" s="149"/>
      <c r="AE469" s="149"/>
      <c r="AG469" s="149"/>
      <c r="AI469" s="149"/>
      <c r="AK469" s="149"/>
    </row>
    <row r="470" ht="15.75" customHeight="1">
      <c r="C470" s="148"/>
      <c r="E470" s="149"/>
      <c r="H470" s="149"/>
      <c r="K470" s="149"/>
      <c r="AE470" s="149"/>
      <c r="AG470" s="149"/>
      <c r="AI470" s="149"/>
      <c r="AK470" s="149"/>
    </row>
    <row r="471" ht="15.75" customHeight="1">
      <c r="C471" s="148"/>
      <c r="E471" s="149"/>
      <c r="H471" s="149"/>
      <c r="K471" s="149"/>
      <c r="AE471" s="149"/>
      <c r="AG471" s="149"/>
      <c r="AI471" s="149"/>
      <c r="AK471" s="149"/>
    </row>
    <row r="472" ht="15.75" customHeight="1">
      <c r="C472" s="148"/>
      <c r="E472" s="149"/>
      <c r="H472" s="149"/>
      <c r="K472" s="149"/>
      <c r="AE472" s="149"/>
      <c r="AG472" s="149"/>
      <c r="AI472" s="149"/>
      <c r="AK472" s="149"/>
    </row>
    <row r="473" ht="15.75" customHeight="1">
      <c r="C473" s="148"/>
      <c r="E473" s="149"/>
      <c r="H473" s="149"/>
      <c r="K473" s="149"/>
      <c r="AE473" s="149"/>
      <c r="AG473" s="149"/>
      <c r="AI473" s="149"/>
      <c r="AK473" s="149"/>
    </row>
    <row r="474" ht="15.75" customHeight="1">
      <c r="C474" s="148"/>
      <c r="E474" s="149"/>
      <c r="H474" s="149"/>
      <c r="K474" s="149"/>
      <c r="AE474" s="149"/>
      <c r="AG474" s="149"/>
      <c r="AI474" s="149"/>
      <c r="AK474" s="149"/>
    </row>
    <row r="475" ht="15.75" customHeight="1">
      <c r="C475" s="148"/>
      <c r="E475" s="149"/>
      <c r="H475" s="149"/>
      <c r="K475" s="149"/>
      <c r="AE475" s="149"/>
      <c r="AG475" s="149"/>
      <c r="AI475" s="149"/>
      <c r="AK475" s="149"/>
    </row>
    <row r="476" ht="15.75" customHeight="1">
      <c r="C476" s="148"/>
      <c r="E476" s="149"/>
      <c r="H476" s="149"/>
      <c r="K476" s="149"/>
      <c r="AE476" s="149"/>
      <c r="AG476" s="149"/>
      <c r="AI476" s="149"/>
      <c r="AK476" s="149"/>
    </row>
    <row r="477" ht="15.75" customHeight="1">
      <c r="C477" s="148"/>
      <c r="E477" s="149"/>
      <c r="H477" s="149"/>
      <c r="K477" s="149"/>
      <c r="AE477" s="149"/>
      <c r="AG477" s="149"/>
      <c r="AI477" s="149"/>
      <c r="AK477" s="149"/>
    </row>
    <row r="478" ht="15.75" customHeight="1">
      <c r="C478" s="148"/>
      <c r="E478" s="149"/>
      <c r="H478" s="149"/>
      <c r="K478" s="149"/>
      <c r="AE478" s="149"/>
      <c r="AG478" s="149"/>
      <c r="AI478" s="149"/>
      <c r="AK478" s="149"/>
    </row>
    <row r="479" ht="15.75" customHeight="1">
      <c r="C479" s="148"/>
      <c r="E479" s="149"/>
      <c r="H479" s="149"/>
      <c r="K479" s="149"/>
      <c r="AE479" s="149"/>
      <c r="AG479" s="149"/>
      <c r="AI479" s="149"/>
      <c r="AK479" s="149"/>
    </row>
    <row r="480" ht="15.75" customHeight="1">
      <c r="C480" s="148"/>
      <c r="E480" s="149"/>
      <c r="H480" s="149"/>
      <c r="K480" s="149"/>
      <c r="AE480" s="149"/>
      <c r="AG480" s="149"/>
      <c r="AI480" s="149"/>
      <c r="AK480" s="149"/>
    </row>
    <row r="481" ht="15.75" customHeight="1">
      <c r="C481" s="148"/>
      <c r="E481" s="149"/>
      <c r="H481" s="149"/>
      <c r="K481" s="149"/>
      <c r="AE481" s="149"/>
      <c r="AG481" s="149"/>
      <c r="AI481" s="149"/>
      <c r="AK481" s="149"/>
    </row>
    <row r="482" ht="15.75" customHeight="1">
      <c r="C482" s="148"/>
      <c r="E482" s="149"/>
      <c r="H482" s="149"/>
      <c r="K482" s="149"/>
      <c r="AE482" s="149"/>
      <c r="AG482" s="149"/>
      <c r="AI482" s="149"/>
      <c r="AK482" s="149"/>
    </row>
    <row r="483" ht="15.75" customHeight="1">
      <c r="C483" s="148"/>
      <c r="E483" s="149"/>
      <c r="H483" s="149"/>
      <c r="K483" s="149"/>
      <c r="AE483" s="149"/>
      <c r="AG483" s="149"/>
      <c r="AI483" s="149"/>
      <c r="AK483" s="149"/>
    </row>
    <row r="484" ht="15.75" customHeight="1">
      <c r="C484" s="148"/>
      <c r="E484" s="149"/>
      <c r="H484" s="149"/>
      <c r="K484" s="149"/>
      <c r="AE484" s="149"/>
      <c r="AG484" s="149"/>
      <c r="AI484" s="149"/>
      <c r="AK484" s="149"/>
    </row>
    <row r="485" ht="15.75" customHeight="1">
      <c r="C485" s="148"/>
      <c r="E485" s="149"/>
      <c r="H485" s="149"/>
      <c r="K485" s="149"/>
      <c r="AE485" s="149"/>
      <c r="AG485" s="149"/>
      <c r="AI485" s="149"/>
      <c r="AK485" s="149"/>
    </row>
    <row r="486" ht="15.75" customHeight="1">
      <c r="C486" s="148"/>
      <c r="E486" s="149"/>
      <c r="H486" s="149"/>
      <c r="K486" s="149"/>
      <c r="AE486" s="149"/>
      <c r="AG486" s="149"/>
      <c r="AI486" s="149"/>
      <c r="AK486" s="149"/>
    </row>
    <row r="487" ht="15.75" customHeight="1">
      <c r="C487" s="148"/>
      <c r="E487" s="149"/>
      <c r="H487" s="149"/>
      <c r="K487" s="149"/>
      <c r="AE487" s="149"/>
      <c r="AG487" s="149"/>
      <c r="AI487" s="149"/>
      <c r="AK487" s="149"/>
    </row>
    <row r="488" ht="15.75" customHeight="1">
      <c r="C488" s="148"/>
      <c r="E488" s="149"/>
      <c r="H488" s="149"/>
      <c r="K488" s="149"/>
      <c r="AE488" s="149"/>
      <c r="AG488" s="149"/>
      <c r="AI488" s="149"/>
      <c r="AK488" s="149"/>
    </row>
    <row r="489" ht="15.75" customHeight="1">
      <c r="C489" s="148"/>
      <c r="E489" s="149"/>
      <c r="H489" s="149"/>
      <c r="K489" s="149"/>
      <c r="AE489" s="149"/>
      <c r="AG489" s="149"/>
      <c r="AI489" s="149"/>
      <c r="AK489" s="149"/>
    </row>
    <row r="490" ht="15.75" customHeight="1">
      <c r="C490" s="148"/>
      <c r="E490" s="149"/>
      <c r="H490" s="149"/>
      <c r="K490" s="149"/>
      <c r="AE490" s="149"/>
      <c r="AG490" s="149"/>
      <c r="AI490" s="149"/>
      <c r="AK490" s="149"/>
    </row>
    <row r="491" ht="15.75" customHeight="1">
      <c r="C491" s="148"/>
      <c r="E491" s="149"/>
      <c r="H491" s="149"/>
      <c r="K491" s="149"/>
      <c r="AE491" s="149"/>
      <c r="AG491" s="149"/>
      <c r="AI491" s="149"/>
      <c r="AK491" s="149"/>
    </row>
    <row r="492" ht="15.75" customHeight="1">
      <c r="C492" s="148"/>
      <c r="E492" s="149"/>
      <c r="H492" s="149"/>
      <c r="K492" s="149"/>
      <c r="AE492" s="149"/>
      <c r="AG492" s="149"/>
      <c r="AI492" s="149"/>
      <c r="AK492" s="149"/>
    </row>
    <row r="493" ht="15.75" customHeight="1">
      <c r="C493" s="148"/>
      <c r="E493" s="149"/>
      <c r="H493" s="149"/>
      <c r="K493" s="149"/>
      <c r="AE493" s="149"/>
      <c r="AG493" s="149"/>
      <c r="AI493" s="149"/>
      <c r="AK493" s="149"/>
    </row>
    <row r="494" ht="15.75" customHeight="1">
      <c r="C494" s="148"/>
      <c r="E494" s="149"/>
      <c r="H494" s="149"/>
      <c r="K494" s="149"/>
      <c r="AE494" s="149"/>
      <c r="AG494" s="149"/>
      <c r="AI494" s="149"/>
      <c r="AK494" s="149"/>
    </row>
    <row r="495" ht="15.75" customHeight="1">
      <c r="C495" s="148"/>
      <c r="E495" s="149"/>
      <c r="H495" s="149"/>
      <c r="K495" s="149"/>
      <c r="AE495" s="149"/>
      <c r="AG495" s="149"/>
      <c r="AI495" s="149"/>
      <c r="AK495" s="149"/>
    </row>
    <row r="496" ht="15.75" customHeight="1">
      <c r="C496" s="148"/>
      <c r="E496" s="149"/>
      <c r="H496" s="149"/>
      <c r="K496" s="149"/>
      <c r="AE496" s="149"/>
      <c r="AG496" s="149"/>
      <c r="AI496" s="149"/>
      <c r="AK496" s="149"/>
    </row>
    <row r="497" ht="15.75" customHeight="1">
      <c r="C497" s="148"/>
      <c r="E497" s="149"/>
      <c r="H497" s="149"/>
      <c r="K497" s="149"/>
      <c r="AE497" s="149"/>
      <c r="AG497" s="149"/>
      <c r="AI497" s="149"/>
      <c r="AK497" s="149"/>
    </row>
    <row r="498" ht="15.75" customHeight="1">
      <c r="C498" s="148"/>
      <c r="E498" s="149"/>
      <c r="H498" s="149"/>
      <c r="K498" s="149"/>
      <c r="AE498" s="149"/>
      <c r="AG498" s="149"/>
      <c r="AI498" s="149"/>
      <c r="AK498" s="149"/>
    </row>
    <row r="499" ht="15.75" customHeight="1">
      <c r="C499" s="148"/>
      <c r="E499" s="149"/>
      <c r="H499" s="149"/>
      <c r="K499" s="149"/>
      <c r="AE499" s="149"/>
      <c r="AG499" s="149"/>
      <c r="AI499" s="149"/>
      <c r="AK499" s="149"/>
    </row>
    <row r="500" ht="15.75" customHeight="1">
      <c r="C500" s="148"/>
      <c r="E500" s="149"/>
      <c r="H500" s="149"/>
      <c r="K500" s="149"/>
      <c r="AE500" s="149"/>
      <c r="AG500" s="149"/>
      <c r="AI500" s="149"/>
      <c r="AK500" s="149"/>
    </row>
    <row r="501" ht="15.75" customHeight="1">
      <c r="C501" s="148"/>
      <c r="E501" s="149"/>
      <c r="H501" s="149"/>
      <c r="K501" s="149"/>
      <c r="AE501" s="149"/>
      <c r="AG501" s="149"/>
      <c r="AI501" s="149"/>
      <c r="AK501" s="149"/>
    </row>
    <row r="502" ht="15.75" customHeight="1">
      <c r="C502" s="148"/>
      <c r="E502" s="149"/>
      <c r="H502" s="149"/>
      <c r="K502" s="149"/>
      <c r="AE502" s="149"/>
      <c r="AG502" s="149"/>
      <c r="AI502" s="149"/>
      <c r="AK502" s="149"/>
    </row>
    <row r="503" ht="15.75" customHeight="1">
      <c r="C503" s="148"/>
      <c r="E503" s="149"/>
      <c r="H503" s="149"/>
      <c r="K503" s="149"/>
      <c r="AE503" s="149"/>
      <c r="AG503" s="149"/>
      <c r="AI503" s="149"/>
      <c r="AK503" s="149"/>
    </row>
    <row r="504" ht="15.75" customHeight="1">
      <c r="C504" s="148"/>
      <c r="E504" s="149"/>
      <c r="H504" s="149"/>
      <c r="K504" s="149"/>
      <c r="AE504" s="149"/>
      <c r="AG504" s="149"/>
      <c r="AI504" s="149"/>
      <c r="AK504" s="149"/>
    </row>
    <row r="505" ht="15.75" customHeight="1">
      <c r="C505" s="148"/>
      <c r="E505" s="149"/>
      <c r="H505" s="149"/>
      <c r="K505" s="149"/>
      <c r="AE505" s="149"/>
      <c r="AG505" s="149"/>
      <c r="AI505" s="149"/>
      <c r="AK505" s="149"/>
    </row>
    <row r="506" ht="15.75" customHeight="1">
      <c r="C506" s="148"/>
      <c r="E506" s="149"/>
      <c r="H506" s="149"/>
      <c r="K506" s="149"/>
      <c r="AE506" s="149"/>
      <c r="AG506" s="149"/>
      <c r="AI506" s="149"/>
      <c r="AK506" s="149"/>
    </row>
    <row r="507" ht="15.75" customHeight="1">
      <c r="C507" s="148"/>
      <c r="E507" s="149"/>
      <c r="H507" s="149"/>
      <c r="K507" s="149"/>
      <c r="AE507" s="149"/>
      <c r="AG507" s="149"/>
      <c r="AI507" s="149"/>
      <c r="AK507" s="149"/>
    </row>
    <row r="508" ht="15.75" customHeight="1">
      <c r="C508" s="148"/>
      <c r="E508" s="149"/>
      <c r="H508" s="149"/>
      <c r="K508" s="149"/>
      <c r="AE508" s="149"/>
      <c r="AG508" s="149"/>
      <c r="AI508" s="149"/>
      <c r="AK508" s="149"/>
    </row>
    <row r="509" ht="15.75" customHeight="1">
      <c r="C509" s="148"/>
      <c r="E509" s="149"/>
      <c r="H509" s="149"/>
      <c r="K509" s="149"/>
      <c r="AE509" s="149"/>
      <c r="AG509" s="149"/>
      <c r="AI509" s="149"/>
      <c r="AK509" s="149"/>
    </row>
    <row r="510" ht="15.75" customHeight="1">
      <c r="C510" s="148"/>
      <c r="E510" s="149"/>
      <c r="H510" s="149"/>
      <c r="K510" s="149"/>
      <c r="AE510" s="149"/>
      <c r="AG510" s="149"/>
      <c r="AI510" s="149"/>
      <c r="AK510" s="149"/>
    </row>
    <row r="511" ht="15.75" customHeight="1">
      <c r="C511" s="148"/>
      <c r="E511" s="149"/>
      <c r="H511" s="149"/>
      <c r="K511" s="149"/>
      <c r="AE511" s="149"/>
      <c r="AG511" s="149"/>
      <c r="AI511" s="149"/>
      <c r="AK511" s="149"/>
    </row>
    <row r="512" ht="15.75" customHeight="1">
      <c r="C512" s="148"/>
      <c r="E512" s="149"/>
      <c r="H512" s="149"/>
      <c r="K512" s="149"/>
      <c r="AE512" s="149"/>
      <c r="AG512" s="149"/>
      <c r="AI512" s="149"/>
      <c r="AK512" s="149"/>
    </row>
    <row r="513" ht="15.75" customHeight="1">
      <c r="C513" s="148"/>
      <c r="E513" s="149"/>
      <c r="H513" s="149"/>
      <c r="K513" s="149"/>
      <c r="AE513" s="149"/>
      <c r="AG513" s="149"/>
      <c r="AI513" s="149"/>
      <c r="AK513" s="149"/>
    </row>
    <row r="514" ht="15.75" customHeight="1">
      <c r="C514" s="148"/>
      <c r="E514" s="149"/>
      <c r="H514" s="149"/>
      <c r="K514" s="149"/>
      <c r="AE514" s="149"/>
      <c r="AG514" s="149"/>
      <c r="AI514" s="149"/>
      <c r="AK514" s="149"/>
    </row>
    <row r="515" ht="15.75" customHeight="1">
      <c r="C515" s="148"/>
      <c r="E515" s="149"/>
      <c r="H515" s="149"/>
      <c r="K515" s="149"/>
      <c r="AE515" s="149"/>
      <c r="AG515" s="149"/>
      <c r="AI515" s="149"/>
      <c r="AK515" s="149"/>
    </row>
    <row r="516" ht="15.75" customHeight="1">
      <c r="C516" s="148"/>
      <c r="E516" s="149"/>
      <c r="H516" s="149"/>
      <c r="K516" s="149"/>
      <c r="AE516" s="149"/>
      <c r="AG516" s="149"/>
      <c r="AI516" s="149"/>
      <c r="AK516" s="149"/>
    </row>
    <row r="517" ht="15.75" customHeight="1">
      <c r="C517" s="148"/>
      <c r="E517" s="149"/>
      <c r="H517" s="149"/>
      <c r="K517" s="149"/>
      <c r="AE517" s="149"/>
      <c r="AG517" s="149"/>
      <c r="AI517" s="149"/>
      <c r="AK517" s="149"/>
    </row>
    <row r="518" ht="15.75" customHeight="1">
      <c r="C518" s="148"/>
      <c r="E518" s="149"/>
      <c r="H518" s="149"/>
      <c r="K518" s="149"/>
      <c r="AE518" s="149"/>
      <c r="AG518" s="149"/>
      <c r="AI518" s="149"/>
      <c r="AK518" s="149"/>
    </row>
    <row r="519" ht="15.75" customHeight="1">
      <c r="C519" s="148"/>
      <c r="E519" s="149"/>
      <c r="H519" s="149"/>
      <c r="K519" s="149"/>
      <c r="AE519" s="149"/>
      <c r="AG519" s="149"/>
      <c r="AI519" s="149"/>
      <c r="AK519" s="149"/>
    </row>
    <row r="520" ht="15.75" customHeight="1">
      <c r="C520" s="148"/>
      <c r="E520" s="149"/>
      <c r="H520" s="149"/>
      <c r="K520" s="149"/>
      <c r="AE520" s="149"/>
      <c r="AG520" s="149"/>
      <c r="AI520" s="149"/>
      <c r="AK520" s="149"/>
    </row>
    <row r="521" ht="15.75" customHeight="1">
      <c r="C521" s="148"/>
      <c r="E521" s="149"/>
      <c r="H521" s="149"/>
      <c r="K521" s="149"/>
      <c r="AE521" s="149"/>
      <c r="AG521" s="149"/>
      <c r="AI521" s="149"/>
      <c r="AK521" s="149"/>
    </row>
    <row r="522" ht="15.75" customHeight="1">
      <c r="C522" s="148"/>
      <c r="E522" s="149"/>
      <c r="H522" s="149"/>
      <c r="K522" s="149"/>
      <c r="AE522" s="149"/>
      <c r="AG522" s="149"/>
      <c r="AI522" s="149"/>
      <c r="AK522" s="149"/>
    </row>
    <row r="523" ht="15.75" customHeight="1">
      <c r="C523" s="148"/>
      <c r="E523" s="149"/>
      <c r="H523" s="149"/>
      <c r="K523" s="149"/>
      <c r="AE523" s="149"/>
      <c r="AG523" s="149"/>
      <c r="AI523" s="149"/>
      <c r="AK523" s="149"/>
    </row>
    <row r="524" ht="15.75" customHeight="1">
      <c r="C524" s="148"/>
      <c r="E524" s="149"/>
      <c r="H524" s="149"/>
      <c r="K524" s="149"/>
      <c r="AE524" s="149"/>
      <c r="AG524" s="149"/>
      <c r="AI524" s="149"/>
      <c r="AK524" s="149"/>
    </row>
    <row r="525" ht="15.75" customHeight="1">
      <c r="C525" s="148"/>
      <c r="E525" s="149"/>
      <c r="H525" s="149"/>
      <c r="K525" s="149"/>
      <c r="AE525" s="149"/>
      <c r="AG525" s="149"/>
      <c r="AI525" s="149"/>
      <c r="AK525" s="149"/>
    </row>
    <row r="526" ht="15.75" customHeight="1">
      <c r="C526" s="148"/>
      <c r="E526" s="149"/>
      <c r="H526" s="149"/>
      <c r="K526" s="149"/>
      <c r="AE526" s="149"/>
      <c r="AG526" s="149"/>
      <c r="AI526" s="149"/>
      <c r="AK526" s="149"/>
    </row>
    <row r="527" ht="15.75" customHeight="1">
      <c r="C527" s="148"/>
      <c r="E527" s="149"/>
      <c r="H527" s="149"/>
      <c r="K527" s="149"/>
      <c r="AE527" s="149"/>
      <c r="AG527" s="149"/>
      <c r="AI527" s="149"/>
      <c r="AK527" s="149"/>
    </row>
    <row r="528" ht="15.75" customHeight="1">
      <c r="C528" s="148"/>
      <c r="E528" s="149"/>
      <c r="H528" s="149"/>
      <c r="K528" s="149"/>
      <c r="AE528" s="149"/>
      <c r="AG528" s="149"/>
      <c r="AI528" s="149"/>
      <c r="AK528" s="149"/>
    </row>
    <row r="529" ht="15.75" customHeight="1">
      <c r="C529" s="148"/>
      <c r="E529" s="149"/>
      <c r="H529" s="149"/>
      <c r="K529" s="149"/>
      <c r="AE529" s="149"/>
      <c r="AG529" s="149"/>
      <c r="AI529" s="149"/>
      <c r="AK529" s="149"/>
    </row>
    <row r="530" ht="15.75" customHeight="1">
      <c r="C530" s="148"/>
      <c r="E530" s="149"/>
      <c r="H530" s="149"/>
      <c r="K530" s="149"/>
      <c r="AE530" s="149"/>
      <c r="AG530" s="149"/>
      <c r="AI530" s="149"/>
      <c r="AK530" s="149"/>
    </row>
    <row r="531" ht="15.75" customHeight="1">
      <c r="C531" s="148"/>
      <c r="E531" s="149"/>
      <c r="H531" s="149"/>
      <c r="K531" s="149"/>
      <c r="AE531" s="149"/>
      <c r="AG531" s="149"/>
      <c r="AI531" s="149"/>
      <c r="AK531" s="149"/>
    </row>
    <row r="532" ht="15.75" customHeight="1">
      <c r="C532" s="148"/>
      <c r="E532" s="149"/>
      <c r="H532" s="149"/>
      <c r="K532" s="149"/>
      <c r="AE532" s="149"/>
      <c r="AG532" s="149"/>
      <c r="AI532" s="149"/>
      <c r="AK532" s="149"/>
    </row>
    <row r="533" ht="15.75" customHeight="1">
      <c r="C533" s="148"/>
      <c r="E533" s="149"/>
      <c r="H533" s="149"/>
      <c r="K533" s="149"/>
      <c r="AE533" s="149"/>
      <c r="AG533" s="149"/>
      <c r="AI533" s="149"/>
      <c r="AK533" s="149"/>
    </row>
    <row r="534" ht="15.75" customHeight="1">
      <c r="C534" s="148"/>
      <c r="E534" s="149"/>
      <c r="H534" s="149"/>
      <c r="K534" s="149"/>
      <c r="AE534" s="149"/>
      <c r="AG534" s="149"/>
      <c r="AI534" s="149"/>
      <c r="AK534" s="149"/>
    </row>
    <row r="535" ht="15.75" customHeight="1">
      <c r="C535" s="148"/>
      <c r="E535" s="149"/>
      <c r="H535" s="149"/>
      <c r="K535" s="149"/>
      <c r="AE535" s="149"/>
      <c r="AG535" s="149"/>
      <c r="AI535" s="149"/>
      <c r="AK535" s="149"/>
    </row>
    <row r="536" ht="15.75" customHeight="1">
      <c r="C536" s="148"/>
      <c r="E536" s="149"/>
      <c r="H536" s="149"/>
      <c r="K536" s="149"/>
      <c r="AE536" s="149"/>
      <c r="AG536" s="149"/>
      <c r="AI536" s="149"/>
      <c r="AK536" s="149"/>
    </row>
    <row r="537" ht="15.75" customHeight="1">
      <c r="C537" s="148"/>
      <c r="E537" s="149"/>
      <c r="H537" s="149"/>
      <c r="K537" s="149"/>
      <c r="AE537" s="149"/>
      <c r="AG537" s="149"/>
      <c r="AI537" s="149"/>
      <c r="AK537" s="149"/>
    </row>
    <row r="538" ht="15.75" customHeight="1">
      <c r="C538" s="148"/>
      <c r="E538" s="149"/>
      <c r="H538" s="149"/>
      <c r="K538" s="149"/>
      <c r="AE538" s="149"/>
      <c r="AG538" s="149"/>
      <c r="AI538" s="149"/>
      <c r="AK538" s="149"/>
    </row>
    <row r="539" ht="15.75" customHeight="1">
      <c r="C539" s="148"/>
      <c r="E539" s="149"/>
      <c r="H539" s="149"/>
      <c r="K539" s="149"/>
      <c r="AE539" s="149"/>
      <c r="AG539" s="149"/>
      <c r="AI539" s="149"/>
      <c r="AK539" s="149"/>
    </row>
    <row r="540" ht="15.75" customHeight="1">
      <c r="C540" s="148"/>
      <c r="E540" s="149"/>
      <c r="H540" s="149"/>
      <c r="K540" s="149"/>
      <c r="AE540" s="149"/>
      <c r="AG540" s="149"/>
      <c r="AI540" s="149"/>
      <c r="AK540" s="149"/>
    </row>
    <row r="541" ht="15.75" customHeight="1">
      <c r="C541" s="148"/>
      <c r="E541" s="149"/>
      <c r="H541" s="149"/>
      <c r="K541" s="149"/>
      <c r="AE541" s="149"/>
      <c r="AG541" s="149"/>
      <c r="AI541" s="149"/>
      <c r="AK541" s="149"/>
    </row>
    <row r="542" ht="15.75" customHeight="1">
      <c r="C542" s="148"/>
      <c r="E542" s="149"/>
      <c r="H542" s="149"/>
      <c r="K542" s="149"/>
      <c r="AE542" s="149"/>
      <c r="AG542" s="149"/>
      <c r="AI542" s="149"/>
      <c r="AK542" s="149"/>
    </row>
    <row r="543" ht="15.75" customHeight="1">
      <c r="C543" s="148"/>
      <c r="E543" s="149"/>
      <c r="H543" s="149"/>
      <c r="K543" s="149"/>
      <c r="AE543" s="149"/>
      <c r="AG543" s="149"/>
      <c r="AI543" s="149"/>
      <c r="AK543" s="149"/>
    </row>
    <row r="544" ht="15.75" customHeight="1">
      <c r="C544" s="148"/>
      <c r="E544" s="149"/>
      <c r="H544" s="149"/>
      <c r="K544" s="149"/>
      <c r="AE544" s="149"/>
      <c r="AG544" s="149"/>
      <c r="AI544" s="149"/>
      <c r="AK544" s="149"/>
    </row>
    <row r="545" ht="15.75" customHeight="1">
      <c r="C545" s="148"/>
      <c r="E545" s="149"/>
      <c r="H545" s="149"/>
      <c r="K545" s="149"/>
      <c r="AE545" s="149"/>
      <c r="AG545" s="149"/>
      <c r="AI545" s="149"/>
      <c r="AK545" s="149"/>
    </row>
    <row r="546" ht="15.75" customHeight="1">
      <c r="C546" s="148"/>
      <c r="E546" s="149"/>
      <c r="H546" s="149"/>
      <c r="K546" s="149"/>
      <c r="AE546" s="149"/>
      <c r="AG546" s="149"/>
      <c r="AI546" s="149"/>
      <c r="AK546" s="149"/>
    </row>
    <row r="547" ht="15.75" customHeight="1">
      <c r="C547" s="148"/>
      <c r="E547" s="149"/>
      <c r="H547" s="149"/>
      <c r="K547" s="149"/>
      <c r="AE547" s="149"/>
      <c r="AG547" s="149"/>
      <c r="AI547" s="149"/>
      <c r="AK547" s="149"/>
    </row>
    <row r="548" ht="15.75" customHeight="1">
      <c r="C548" s="148"/>
      <c r="E548" s="149"/>
      <c r="H548" s="149"/>
      <c r="K548" s="149"/>
      <c r="AE548" s="149"/>
      <c r="AG548" s="149"/>
      <c r="AI548" s="149"/>
      <c r="AK548" s="149"/>
    </row>
    <row r="549" ht="15.75" customHeight="1">
      <c r="C549" s="148"/>
      <c r="E549" s="149"/>
      <c r="H549" s="149"/>
      <c r="K549" s="149"/>
      <c r="AE549" s="149"/>
      <c r="AG549" s="149"/>
      <c r="AI549" s="149"/>
      <c r="AK549" s="149"/>
    </row>
    <row r="550" ht="15.75" customHeight="1">
      <c r="C550" s="148"/>
      <c r="E550" s="149"/>
      <c r="H550" s="149"/>
      <c r="K550" s="149"/>
      <c r="AE550" s="149"/>
      <c r="AG550" s="149"/>
      <c r="AI550" s="149"/>
      <c r="AK550" s="149"/>
    </row>
    <row r="551" ht="15.75" customHeight="1">
      <c r="C551" s="148"/>
      <c r="E551" s="149"/>
      <c r="H551" s="149"/>
      <c r="K551" s="149"/>
      <c r="AE551" s="149"/>
      <c r="AG551" s="149"/>
      <c r="AI551" s="149"/>
      <c r="AK551" s="149"/>
    </row>
    <row r="552" ht="15.75" customHeight="1">
      <c r="C552" s="148"/>
      <c r="E552" s="149"/>
      <c r="H552" s="149"/>
      <c r="K552" s="149"/>
      <c r="AE552" s="149"/>
      <c r="AG552" s="149"/>
      <c r="AI552" s="149"/>
      <c r="AK552" s="149"/>
    </row>
    <row r="553" ht="15.75" customHeight="1">
      <c r="C553" s="148"/>
      <c r="E553" s="149"/>
      <c r="H553" s="149"/>
      <c r="K553" s="149"/>
      <c r="AE553" s="149"/>
      <c r="AG553" s="149"/>
      <c r="AI553" s="149"/>
      <c r="AK553" s="149"/>
    </row>
    <row r="554" ht="15.75" customHeight="1">
      <c r="C554" s="148"/>
      <c r="E554" s="149"/>
      <c r="H554" s="149"/>
      <c r="K554" s="149"/>
      <c r="AE554" s="149"/>
      <c r="AG554" s="149"/>
      <c r="AI554" s="149"/>
      <c r="AK554" s="149"/>
    </row>
    <row r="555" ht="15.75" customHeight="1">
      <c r="C555" s="148"/>
      <c r="E555" s="149"/>
      <c r="H555" s="149"/>
      <c r="K555" s="149"/>
      <c r="AE555" s="149"/>
      <c r="AG555" s="149"/>
      <c r="AI555" s="149"/>
      <c r="AK555" s="149"/>
    </row>
    <row r="556" ht="15.75" customHeight="1">
      <c r="C556" s="148"/>
      <c r="E556" s="149"/>
      <c r="H556" s="149"/>
      <c r="K556" s="149"/>
      <c r="AE556" s="149"/>
      <c r="AG556" s="149"/>
      <c r="AI556" s="149"/>
      <c r="AK556" s="149"/>
    </row>
    <row r="557" ht="15.75" customHeight="1">
      <c r="C557" s="148"/>
      <c r="E557" s="149"/>
      <c r="H557" s="149"/>
      <c r="K557" s="149"/>
      <c r="AE557" s="149"/>
      <c r="AG557" s="149"/>
      <c r="AI557" s="149"/>
      <c r="AK557" s="149"/>
    </row>
    <row r="558" ht="15.75" customHeight="1">
      <c r="C558" s="148"/>
      <c r="E558" s="149"/>
      <c r="H558" s="149"/>
      <c r="K558" s="149"/>
      <c r="AE558" s="149"/>
      <c r="AG558" s="149"/>
      <c r="AI558" s="149"/>
      <c r="AK558" s="149"/>
    </row>
    <row r="559" ht="15.75" customHeight="1">
      <c r="C559" s="148"/>
      <c r="E559" s="149"/>
      <c r="H559" s="149"/>
      <c r="K559" s="149"/>
      <c r="AE559" s="149"/>
      <c r="AG559" s="149"/>
      <c r="AI559" s="149"/>
      <c r="AK559" s="149"/>
    </row>
    <row r="560" ht="15.75" customHeight="1">
      <c r="C560" s="148"/>
      <c r="E560" s="149"/>
      <c r="H560" s="149"/>
      <c r="K560" s="149"/>
      <c r="AE560" s="149"/>
      <c r="AG560" s="149"/>
      <c r="AI560" s="149"/>
      <c r="AK560" s="149"/>
    </row>
    <row r="561" ht="15.75" customHeight="1">
      <c r="C561" s="148"/>
      <c r="E561" s="149"/>
      <c r="H561" s="149"/>
      <c r="K561" s="149"/>
      <c r="AE561" s="149"/>
      <c r="AG561" s="149"/>
      <c r="AI561" s="149"/>
      <c r="AK561" s="149"/>
    </row>
    <row r="562" ht="15.75" customHeight="1">
      <c r="C562" s="148"/>
      <c r="E562" s="149"/>
      <c r="H562" s="149"/>
      <c r="K562" s="149"/>
      <c r="AE562" s="149"/>
      <c r="AG562" s="149"/>
      <c r="AI562" s="149"/>
      <c r="AK562" s="149"/>
    </row>
    <row r="563" ht="15.75" customHeight="1">
      <c r="C563" s="148"/>
      <c r="E563" s="149"/>
      <c r="H563" s="149"/>
      <c r="K563" s="149"/>
      <c r="AE563" s="149"/>
      <c r="AG563" s="149"/>
      <c r="AI563" s="149"/>
      <c r="AK563" s="149"/>
    </row>
    <row r="564" ht="15.75" customHeight="1">
      <c r="C564" s="148"/>
      <c r="E564" s="149"/>
      <c r="H564" s="149"/>
      <c r="K564" s="149"/>
      <c r="AE564" s="149"/>
      <c r="AG564" s="149"/>
      <c r="AI564" s="149"/>
      <c r="AK564" s="149"/>
    </row>
    <row r="565" ht="15.75" customHeight="1">
      <c r="C565" s="148"/>
      <c r="E565" s="149"/>
      <c r="H565" s="149"/>
      <c r="K565" s="149"/>
      <c r="AE565" s="149"/>
      <c r="AG565" s="149"/>
      <c r="AI565" s="149"/>
      <c r="AK565" s="149"/>
    </row>
    <row r="566" ht="15.75" customHeight="1">
      <c r="C566" s="148"/>
      <c r="E566" s="149"/>
      <c r="H566" s="149"/>
      <c r="K566" s="149"/>
      <c r="AE566" s="149"/>
      <c r="AG566" s="149"/>
      <c r="AI566" s="149"/>
      <c r="AK566" s="149"/>
    </row>
    <row r="567" ht="15.75" customHeight="1">
      <c r="C567" s="148"/>
      <c r="E567" s="149"/>
      <c r="H567" s="149"/>
      <c r="K567" s="149"/>
      <c r="AE567" s="149"/>
      <c r="AG567" s="149"/>
      <c r="AI567" s="149"/>
      <c r="AK567" s="149"/>
    </row>
    <row r="568" ht="15.75" customHeight="1">
      <c r="C568" s="148"/>
      <c r="E568" s="149"/>
      <c r="H568" s="149"/>
      <c r="K568" s="149"/>
      <c r="AE568" s="149"/>
      <c r="AG568" s="149"/>
      <c r="AI568" s="149"/>
      <c r="AK568" s="149"/>
    </row>
    <row r="569" ht="15.75" customHeight="1">
      <c r="C569" s="148"/>
      <c r="E569" s="149"/>
      <c r="H569" s="149"/>
      <c r="K569" s="149"/>
      <c r="AE569" s="149"/>
      <c r="AG569" s="149"/>
      <c r="AI569" s="149"/>
      <c r="AK569" s="149"/>
    </row>
    <row r="570" ht="15.75" customHeight="1">
      <c r="C570" s="148"/>
      <c r="E570" s="149"/>
      <c r="H570" s="149"/>
      <c r="K570" s="149"/>
      <c r="AE570" s="149"/>
      <c r="AG570" s="149"/>
      <c r="AI570" s="149"/>
      <c r="AK570" s="149"/>
    </row>
    <row r="571" ht="15.75" customHeight="1">
      <c r="C571" s="148"/>
      <c r="E571" s="149"/>
      <c r="H571" s="149"/>
      <c r="K571" s="149"/>
      <c r="AE571" s="149"/>
      <c r="AG571" s="149"/>
      <c r="AI571" s="149"/>
      <c r="AK571" s="149"/>
    </row>
    <row r="572" ht="15.75" customHeight="1">
      <c r="C572" s="148"/>
      <c r="E572" s="149"/>
      <c r="H572" s="149"/>
      <c r="K572" s="149"/>
      <c r="AE572" s="149"/>
      <c r="AG572" s="149"/>
      <c r="AI572" s="149"/>
      <c r="AK572" s="149"/>
    </row>
    <row r="573" ht="15.75" customHeight="1">
      <c r="C573" s="148"/>
      <c r="E573" s="149"/>
      <c r="H573" s="149"/>
      <c r="K573" s="149"/>
      <c r="AE573" s="149"/>
      <c r="AG573" s="149"/>
      <c r="AI573" s="149"/>
      <c r="AK573" s="149"/>
    </row>
    <row r="574" ht="15.75" customHeight="1">
      <c r="C574" s="148"/>
      <c r="E574" s="149"/>
      <c r="H574" s="149"/>
      <c r="K574" s="149"/>
      <c r="AE574" s="149"/>
      <c r="AG574" s="149"/>
      <c r="AI574" s="149"/>
      <c r="AK574" s="149"/>
    </row>
    <row r="575" ht="15.75" customHeight="1">
      <c r="C575" s="148"/>
      <c r="E575" s="149"/>
      <c r="H575" s="149"/>
      <c r="K575" s="149"/>
      <c r="AE575" s="149"/>
      <c r="AG575" s="149"/>
      <c r="AI575" s="149"/>
      <c r="AK575" s="149"/>
    </row>
    <row r="576" ht="15.75" customHeight="1">
      <c r="C576" s="148"/>
      <c r="E576" s="149"/>
      <c r="H576" s="149"/>
      <c r="K576" s="149"/>
      <c r="AE576" s="149"/>
      <c r="AG576" s="149"/>
      <c r="AI576" s="149"/>
      <c r="AK576" s="149"/>
    </row>
    <row r="577" ht="15.75" customHeight="1">
      <c r="C577" s="148"/>
      <c r="E577" s="149"/>
      <c r="H577" s="149"/>
      <c r="K577" s="149"/>
      <c r="AE577" s="149"/>
      <c r="AG577" s="149"/>
      <c r="AI577" s="149"/>
      <c r="AK577" s="149"/>
    </row>
    <row r="578" ht="15.75" customHeight="1">
      <c r="C578" s="148"/>
      <c r="E578" s="149"/>
      <c r="H578" s="149"/>
      <c r="K578" s="149"/>
      <c r="AE578" s="149"/>
      <c r="AG578" s="149"/>
      <c r="AI578" s="149"/>
      <c r="AK578" s="149"/>
    </row>
    <row r="579" ht="15.75" customHeight="1">
      <c r="C579" s="148"/>
      <c r="E579" s="149"/>
      <c r="H579" s="149"/>
      <c r="K579" s="149"/>
      <c r="AE579" s="149"/>
      <c r="AG579" s="149"/>
      <c r="AI579" s="149"/>
      <c r="AK579" s="149"/>
    </row>
    <row r="580" ht="15.75" customHeight="1">
      <c r="C580" s="148"/>
      <c r="E580" s="149"/>
      <c r="H580" s="149"/>
      <c r="K580" s="149"/>
      <c r="AE580" s="149"/>
      <c r="AG580" s="149"/>
      <c r="AI580" s="149"/>
      <c r="AK580" s="149"/>
    </row>
    <row r="581" ht="15.75" customHeight="1">
      <c r="C581" s="148"/>
      <c r="E581" s="149"/>
      <c r="H581" s="149"/>
      <c r="K581" s="149"/>
      <c r="AE581" s="149"/>
      <c r="AG581" s="149"/>
      <c r="AI581" s="149"/>
      <c r="AK581" s="149"/>
    </row>
    <row r="582" ht="15.75" customHeight="1">
      <c r="C582" s="148"/>
      <c r="E582" s="149"/>
      <c r="H582" s="149"/>
      <c r="K582" s="149"/>
      <c r="AE582" s="149"/>
      <c r="AG582" s="149"/>
      <c r="AI582" s="149"/>
      <c r="AK582" s="149"/>
    </row>
    <row r="583" ht="15.75" customHeight="1">
      <c r="C583" s="148"/>
      <c r="E583" s="149"/>
      <c r="H583" s="149"/>
      <c r="K583" s="149"/>
      <c r="AE583" s="149"/>
      <c r="AG583" s="149"/>
      <c r="AI583" s="149"/>
      <c r="AK583" s="149"/>
    </row>
    <row r="584" ht="15.75" customHeight="1">
      <c r="C584" s="148"/>
      <c r="E584" s="149"/>
      <c r="H584" s="149"/>
      <c r="K584" s="149"/>
      <c r="AE584" s="149"/>
      <c r="AG584" s="149"/>
      <c r="AI584" s="149"/>
      <c r="AK584" s="149"/>
    </row>
    <row r="585" ht="15.75" customHeight="1">
      <c r="C585" s="148"/>
      <c r="E585" s="149"/>
      <c r="H585" s="149"/>
      <c r="K585" s="149"/>
      <c r="AE585" s="149"/>
      <c r="AG585" s="149"/>
      <c r="AI585" s="149"/>
      <c r="AK585" s="149"/>
    </row>
    <row r="586" ht="15.75" customHeight="1">
      <c r="C586" s="148"/>
      <c r="E586" s="149"/>
      <c r="H586" s="149"/>
      <c r="K586" s="149"/>
      <c r="AE586" s="149"/>
      <c r="AG586" s="149"/>
      <c r="AI586" s="149"/>
      <c r="AK586" s="149"/>
    </row>
    <row r="587" ht="15.75" customHeight="1">
      <c r="C587" s="148"/>
      <c r="E587" s="149"/>
      <c r="H587" s="149"/>
      <c r="K587" s="149"/>
      <c r="AE587" s="149"/>
      <c r="AG587" s="149"/>
      <c r="AI587" s="149"/>
      <c r="AK587" s="149"/>
    </row>
    <row r="588" ht="15.75" customHeight="1">
      <c r="C588" s="148"/>
      <c r="E588" s="149"/>
      <c r="H588" s="149"/>
      <c r="K588" s="149"/>
      <c r="AE588" s="149"/>
      <c r="AG588" s="149"/>
      <c r="AI588" s="149"/>
      <c r="AK588" s="149"/>
    </row>
    <row r="589" ht="15.75" customHeight="1">
      <c r="C589" s="148"/>
      <c r="E589" s="149"/>
      <c r="H589" s="149"/>
      <c r="K589" s="149"/>
      <c r="AE589" s="149"/>
      <c r="AG589" s="149"/>
      <c r="AI589" s="149"/>
      <c r="AK589" s="149"/>
    </row>
    <row r="590" ht="15.75" customHeight="1">
      <c r="C590" s="148"/>
      <c r="E590" s="149"/>
      <c r="H590" s="149"/>
      <c r="K590" s="149"/>
      <c r="AE590" s="149"/>
      <c r="AG590" s="149"/>
      <c r="AI590" s="149"/>
      <c r="AK590" s="149"/>
    </row>
    <row r="591" ht="15.75" customHeight="1">
      <c r="C591" s="148"/>
      <c r="E591" s="149"/>
      <c r="H591" s="149"/>
      <c r="K591" s="149"/>
      <c r="AE591" s="149"/>
      <c r="AG591" s="149"/>
      <c r="AI591" s="149"/>
      <c r="AK591" s="149"/>
    </row>
    <row r="592" ht="15.75" customHeight="1">
      <c r="C592" s="148"/>
      <c r="E592" s="149"/>
      <c r="H592" s="149"/>
      <c r="K592" s="149"/>
      <c r="AE592" s="149"/>
      <c r="AG592" s="149"/>
      <c r="AI592" s="149"/>
      <c r="AK592" s="149"/>
    </row>
    <row r="593" ht="15.75" customHeight="1">
      <c r="C593" s="148"/>
      <c r="E593" s="149"/>
      <c r="H593" s="149"/>
      <c r="K593" s="149"/>
      <c r="AE593" s="149"/>
      <c r="AG593" s="149"/>
      <c r="AI593" s="149"/>
      <c r="AK593" s="149"/>
    </row>
    <row r="594" ht="15.75" customHeight="1">
      <c r="C594" s="148"/>
      <c r="E594" s="149"/>
      <c r="H594" s="149"/>
      <c r="K594" s="149"/>
      <c r="AE594" s="149"/>
      <c r="AG594" s="149"/>
      <c r="AI594" s="149"/>
      <c r="AK594" s="149"/>
    </row>
    <row r="595" ht="15.75" customHeight="1">
      <c r="C595" s="148"/>
      <c r="E595" s="149"/>
      <c r="H595" s="149"/>
      <c r="K595" s="149"/>
      <c r="AE595" s="149"/>
      <c r="AG595" s="149"/>
      <c r="AI595" s="149"/>
      <c r="AK595" s="149"/>
    </row>
    <row r="596" ht="15.75" customHeight="1">
      <c r="C596" s="148"/>
      <c r="E596" s="149"/>
      <c r="H596" s="149"/>
      <c r="K596" s="149"/>
      <c r="AE596" s="149"/>
      <c r="AG596" s="149"/>
      <c r="AI596" s="149"/>
      <c r="AK596" s="149"/>
    </row>
    <row r="597" ht="15.75" customHeight="1">
      <c r="C597" s="148"/>
      <c r="E597" s="149"/>
      <c r="H597" s="149"/>
      <c r="K597" s="149"/>
      <c r="AE597" s="149"/>
      <c r="AG597" s="149"/>
      <c r="AI597" s="149"/>
      <c r="AK597" s="149"/>
    </row>
    <row r="598" ht="15.75" customHeight="1">
      <c r="C598" s="148"/>
      <c r="E598" s="149"/>
      <c r="H598" s="149"/>
      <c r="K598" s="149"/>
      <c r="AE598" s="149"/>
      <c r="AG598" s="149"/>
      <c r="AI598" s="149"/>
      <c r="AK598" s="149"/>
    </row>
    <row r="599" ht="15.75" customHeight="1">
      <c r="C599" s="148"/>
      <c r="E599" s="149"/>
      <c r="H599" s="149"/>
      <c r="K599" s="149"/>
      <c r="AE599" s="149"/>
      <c r="AG599" s="149"/>
      <c r="AI599" s="149"/>
      <c r="AK599" s="149"/>
    </row>
    <row r="600" ht="15.75" customHeight="1">
      <c r="C600" s="148"/>
      <c r="E600" s="149"/>
      <c r="H600" s="149"/>
      <c r="K600" s="149"/>
      <c r="AE600" s="149"/>
      <c r="AG600" s="149"/>
      <c r="AI600" s="149"/>
      <c r="AK600" s="149"/>
    </row>
    <row r="601" ht="15.75" customHeight="1">
      <c r="C601" s="148"/>
      <c r="E601" s="149"/>
      <c r="H601" s="149"/>
      <c r="K601" s="149"/>
      <c r="AE601" s="149"/>
      <c r="AG601" s="149"/>
      <c r="AI601" s="149"/>
      <c r="AK601" s="149"/>
    </row>
    <row r="602" ht="15.75" customHeight="1">
      <c r="C602" s="148"/>
      <c r="E602" s="149"/>
      <c r="H602" s="149"/>
      <c r="K602" s="149"/>
      <c r="AE602" s="149"/>
      <c r="AG602" s="149"/>
      <c r="AI602" s="149"/>
      <c r="AK602" s="149"/>
    </row>
    <row r="603" ht="15.75" customHeight="1">
      <c r="C603" s="148"/>
      <c r="E603" s="149"/>
      <c r="H603" s="149"/>
      <c r="K603" s="149"/>
      <c r="AE603" s="149"/>
      <c r="AG603" s="149"/>
      <c r="AI603" s="149"/>
      <c r="AK603" s="149"/>
    </row>
    <row r="604" ht="15.75" customHeight="1">
      <c r="C604" s="148"/>
      <c r="E604" s="149"/>
      <c r="H604" s="149"/>
      <c r="K604" s="149"/>
      <c r="AE604" s="149"/>
      <c r="AG604" s="149"/>
      <c r="AI604" s="149"/>
      <c r="AK604" s="149"/>
    </row>
    <row r="605" ht="15.75" customHeight="1">
      <c r="C605" s="148"/>
      <c r="E605" s="149"/>
      <c r="H605" s="149"/>
      <c r="K605" s="149"/>
      <c r="AE605" s="149"/>
      <c r="AG605" s="149"/>
      <c r="AI605" s="149"/>
      <c r="AK605" s="149"/>
    </row>
    <row r="606" ht="15.75" customHeight="1">
      <c r="C606" s="148"/>
      <c r="E606" s="149"/>
      <c r="H606" s="149"/>
      <c r="K606" s="149"/>
      <c r="AE606" s="149"/>
      <c r="AG606" s="149"/>
      <c r="AI606" s="149"/>
      <c r="AK606" s="149"/>
    </row>
    <row r="607" ht="15.75" customHeight="1">
      <c r="C607" s="148"/>
      <c r="E607" s="149"/>
      <c r="H607" s="149"/>
      <c r="K607" s="149"/>
      <c r="AE607" s="149"/>
      <c r="AG607" s="149"/>
      <c r="AI607" s="149"/>
      <c r="AK607" s="149"/>
    </row>
    <row r="608" ht="15.75" customHeight="1">
      <c r="C608" s="148"/>
      <c r="E608" s="149"/>
      <c r="H608" s="149"/>
      <c r="K608" s="149"/>
      <c r="AE608" s="149"/>
      <c r="AG608" s="149"/>
      <c r="AI608" s="149"/>
      <c r="AK608" s="149"/>
    </row>
    <row r="609" ht="15.75" customHeight="1">
      <c r="C609" s="148"/>
      <c r="E609" s="149"/>
      <c r="H609" s="149"/>
      <c r="K609" s="149"/>
      <c r="AE609" s="149"/>
      <c r="AG609" s="149"/>
      <c r="AI609" s="149"/>
      <c r="AK609" s="149"/>
    </row>
    <row r="610" ht="15.75" customHeight="1">
      <c r="C610" s="148"/>
      <c r="E610" s="149"/>
      <c r="H610" s="149"/>
      <c r="K610" s="149"/>
      <c r="AE610" s="149"/>
      <c r="AG610" s="149"/>
      <c r="AI610" s="149"/>
      <c r="AK610" s="149"/>
    </row>
    <row r="611" ht="15.75" customHeight="1">
      <c r="C611" s="148"/>
      <c r="E611" s="149"/>
      <c r="H611" s="149"/>
      <c r="K611" s="149"/>
      <c r="AE611" s="149"/>
      <c r="AG611" s="149"/>
      <c r="AI611" s="149"/>
      <c r="AK611" s="149"/>
    </row>
    <row r="612" ht="15.75" customHeight="1">
      <c r="C612" s="148"/>
      <c r="E612" s="149"/>
      <c r="H612" s="149"/>
      <c r="K612" s="149"/>
      <c r="AE612" s="149"/>
      <c r="AG612" s="149"/>
      <c r="AI612" s="149"/>
      <c r="AK612" s="149"/>
    </row>
    <row r="613" ht="15.75" customHeight="1">
      <c r="C613" s="148"/>
      <c r="E613" s="149"/>
      <c r="H613" s="149"/>
      <c r="K613" s="149"/>
      <c r="AE613" s="149"/>
      <c r="AG613" s="149"/>
      <c r="AI613" s="149"/>
      <c r="AK613" s="149"/>
    </row>
    <row r="614" ht="15.75" customHeight="1">
      <c r="C614" s="148"/>
      <c r="E614" s="149"/>
      <c r="H614" s="149"/>
      <c r="K614" s="149"/>
      <c r="AE614" s="149"/>
      <c r="AG614" s="149"/>
      <c r="AI614" s="149"/>
      <c r="AK614" s="149"/>
    </row>
    <row r="615" ht="15.75" customHeight="1">
      <c r="C615" s="148"/>
      <c r="E615" s="149"/>
      <c r="H615" s="149"/>
      <c r="K615" s="149"/>
      <c r="AE615" s="149"/>
      <c r="AG615" s="149"/>
      <c r="AI615" s="149"/>
      <c r="AK615" s="149"/>
    </row>
    <row r="616" ht="15.75" customHeight="1">
      <c r="C616" s="148"/>
      <c r="E616" s="149"/>
      <c r="H616" s="149"/>
      <c r="K616" s="149"/>
      <c r="AE616" s="149"/>
      <c r="AG616" s="149"/>
      <c r="AI616" s="149"/>
      <c r="AK616" s="149"/>
    </row>
    <row r="617" ht="15.75" customHeight="1">
      <c r="C617" s="148"/>
      <c r="E617" s="149"/>
      <c r="H617" s="149"/>
      <c r="K617" s="149"/>
      <c r="AE617" s="149"/>
      <c r="AG617" s="149"/>
      <c r="AI617" s="149"/>
      <c r="AK617" s="149"/>
    </row>
    <row r="618" ht="15.75" customHeight="1">
      <c r="C618" s="148"/>
      <c r="E618" s="149"/>
      <c r="H618" s="149"/>
      <c r="K618" s="149"/>
      <c r="AE618" s="149"/>
      <c r="AG618" s="149"/>
      <c r="AI618" s="149"/>
      <c r="AK618" s="149"/>
    </row>
    <row r="619" ht="15.75" customHeight="1">
      <c r="C619" s="148"/>
      <c r="E619" s="149"/>
      <c r="H619" s="149"/>
      <c r="K619" s="149"/>
      <c r="AE619" s="149"/>
      <c r="AG619" s="149"/>
      <c r="AI619" s="149"/>
      <c r="AK619" s="149"/>
    </row>
    <row r="620" ht="15.75" customHeight="1">
      <c r="C620" s="148"/>
      <c r="E620" s="149"/>
      <c r="H620" s="149"/>
      <c r="K620" s="149"/>
      <c r="AE620" s="149"/>
      <c r="AG620" s="149"/>
      <c r="AI620" s="149"/>
      <c r="AK620" s="149"/>
    </row>
    <row r="621" ht="15.75" customHeight="1">
      <c r="C621" s="148"/>
      <c r="E621" s="149"/>
      <c r="H621" s="149"/>
      <c r="K621" s="149"/>
      <c r="AE621" s="149"/>
      <c r="AG621" s="149"/>
      <c r="AI621" s="149"/>
      <c r="AK621" s="149"/>
    </row>
    <row r="622" ht="15.75" customHeight="1">
      <c r="C622" s="148"/>
      <c r="E622" s="149"/>
      <c r="H622" s="149"/>
      <c r="K622" s="149"/>
      <c r="AE622" s="149"/>
      <c r="AG622" s="149"/>
      <c r="AI622" s="149"/>
      <c r="AK622" s="149"/>
    </row>
    <row r="623" ht="15.75" customHeight="1">
      <c r="C623" s="148"/>
      <c r="E623" s="149"/>
      <c r="H623" s="149"/>
      <c r="K623" s="149"/>
      <c r="AE623" s="149"/>
      <c r="AG623" s="149"/>
      <c r="AI623" s="149"/>
      <c r="AK623" s="149"/>
    </row>
    <row r="624" ht="15.75" customHeight="1">
      <c r="C624" s="148"/>
      <c r="E624" s="149"/>
      <c r="H624" s="149"/>
      <c r="K624" s="149"/>
      <c r="AE624" s="149"/>
      <c r="AG624" s="149"/>
      <c r="AI624" s="149"/>
      <c r="AK624" s="149"/>
    </row>
    <row r="625" ht="15.75" customHeight="1">
      <c r="C625" s="148"/>
      <c r="E625" s="149"/>
      <c r="H625" s="149"/>
      <c r="K625" s="149"/>
      <c r="AE625" s="149"/>
      <c r="AG625" s="149"/>
      <c r="AI625" s="149"/>
      <c r="AK625" s="149"/>
    </row>
    <row r="626" ht="15.75" customHeight="1">
      <c r="C626" s="148"/>
      <c r="E626" s="149"/>
      <c r="H626" s="149"/>
      <c r="K626" s="149"/>
      <c r="AE626" s="149"/>
      <c r="AG626" s="149"/>
      <c r="AI626" s="149"/>
      <c r="AK626" s="149"/>
    </row>
    <row r="627" ht="15.75" customHeight="1">
      <c r="C627" s="148"/>
      <c r="E627" s="149"/>
      <c r="H627" s="149"/>
      <c r="K627" s="149"/>
      <c r="AE627" s="149"/>
      <c r="AG627" s="149"/>
      <c r="AI627" s="149"/>
      <c r="AK627" s="149"/>
    </row>
    <row r="628" ht="15.75" customHeight="1">
      <c r="C628" s="148"/>
      <c r="E628" s="149"/>
      <c r="H628" s="149"/>
      <c r="K628" s="149"/>
      <c r="AE628" s="149"/>
      <c r="AG628" s="149"/>
      <c r="AI628" s="149"/>
      <c r="AK628" s="149"/>
    </row>
    <row r="629" ht="15.75" customHeight="1">
      <c r="C629" s="148"/>
      <c r="E629" s="149"/>
      <c r="H629" s="149"/>
      <c r="K629" s="149"/>
      <c r="AE629" s="149"/>
      <c r="AG629" s="149"/>
      <c r="AI629" s="149"/>
      <c r="AK629" s="149"/>
    </row>
    <row r="630" ht="15.75" customHeight="1">
      <c r="C630" s="148"/>
      <c r="E630" s="149"/>
      <c r="H630" s="149"/>
      <c r="K630" s="149"/>
      <c r="AE630" s="149"/>
      <c r="AG630" s="149"/>
      <c r="AI630" s="149"/>
      <c r="AK630" s="149"/>
    </row>
    <row r="631" ht="15.75" customHeight="1">
      <c r="C631" s="148"/>
      <c r="E631" s="149"/>
      <c r="H631" s="149"/>
      <c r="K631" s="149"/>
      <c r="AE631" s="149"/>
      <c r="AG631" s="149"/>
      <c r="AI631" s="149"/>
      <c r="AK631" s="149"/>
    </row>
    <row r="632" ht="15.75" customHeight="1">
      <c r="C632" s="148"/>
      <c r="E632" s="149"/>
      <c r="H632" s="149"/>
      <c r="K632" s="149"/>
      <c r="AE632" s="149"/>
      <c r="AG632" s="149"/>
      <c r="AI632" s="149"/>
      <c r="AK632" s="149"/>
    </row>
    <row r="633" ht="15.75" customHeight="1">
      <c r="C633" s="148"/>
      <c r="E633" s="149"/>
      <c r="H633" s="149"/>
      <c r="K633" s="149"/>
      <c r="AE633" s="149"/>
      <c r="AG633" s="149"/>
      <c r="AI633" s="149"/>
      <c r="AK633" s="149"/>
    </row>
    <row r="634" ht="15.75" customHeight="1">
      <c r="C634" s="148"/>
      <c r="E634" s="149"/>
      <c r="H634" s="149"/>
      <c r="K634" s="149"/>
      <c r="AE634" s="149"/>
      <c r="AG634" s="149"/>
      <c r="AI634" s="149"/>
      <c r="AK634" s="149"/>
    </row>
    <row r="635" ht="15.75" customHeight="1">
      <c r="C635" s="148"/>
      <c r="E635" s="149"/>
      <c r="H635" s="149"/>
      <c r="K635" s="149"/>
      <c r="AE635" s="149"/>
      <c r="AG635" s="149"/>
      <c r="AI635" s="149"/>
      <c r="AK635" s="149"/>
    </row>
    <row r="636" ht="15.75" customHeight="1">
      <c r="C636" s="148"/>
      <c r="E636" s="149"/>
      <c r="H636" s="149"/>
      <c r="K636" s="149"/>
      <c r="AE636" s="149"/>
      <c r="AG636" s="149"/>
      <c r="AI636" s="149"/>
      <c r="AK636" s="149"/>
    </row>
    <row r="637" ht="15.75" customHeight="1">
      <c r="C637" s="148"/>
      <c r="E637" s="149"/>
      <c r="H637" s="149"/>
      <c r="K637" s="149"/>
      <c r="AE637" s="149"/>
      <c r="AG637" s="149"/>
      <c r="AI637" s="149"/>
      <c r="AK637" s="149"/>
    </row>
    <row r="638" ht="15.75" customHeight="1">
      <c r="C638" s="148"/>
      <c r="E638" s="149"/>
      <c r="H638" s="149"/>
      <c r="K638" s="149"/>
      <c r="AE638" s="149"/>
      <c r="AG638" s="149"/>
      <c r="AI638" s="149"/>
      <c r="AK638" s="149"/>
    </row>
    <row r="639" ht="15.75" customHeight="1">
      <c r="C639" s="148"/>
      <c r="E639" s="149"/>
      <c r="H639" s="149"/>
      <c r="K639" s="149"/>
      <c r="AE639" s="149"/>
      <c r="AG639" s="149"/>
      <c r="AI639" s="149"/>
      <c r="AK639" s="149"/>
    </row>
    <row r="640" ht="15.75" customHeight="1">
      <c r="C640" s="148"/>
      <c r="E640" s="149"/>
      <c r="H640" s="149"/>
      <c r="K640" s="149"/>
      <c r="AE640" s="149"/>
      <c r="AG640" s="149"/>
      <c r="AI640" s="149"/>
      <c r="AK640" s="149"/>
    </row>
    <row r="641" ht="15.75" customHeight="1">
      <c r="C641" s="148"/>
      <c r="E641" s="149"/>
      <c r="H641" s="149"/>
      <c r="K641" s="149"/>
      <c r="AE641" s="149"/>
      <c r="AG641" s="149"/>
      <c r="AI641" s="149"/>
      <c r="AK641" s="149"/>
    </row>
    <row r="642" ht="15.75" customHeight="1">
      <c r="C642" s="148"/>
      <c r="E642" s="149"/>
      <c r="H642" s="149"/>
      <c r="K642" s="149"/>
      <c r="AE642" s="149"/>
      <c r="AG642" s="149"/>
      <c r="AI642" s="149"/>
      <c r="AK642" s="149"/>
    </row>
    <row r="643" ht="15.75" customHeight="1">
      <c r="C643" s="148"/>
      <c r="E643" s="149"/>
      <c r="H643" s="149"/>
      <c r="K643" s="149"/>
      <c r="AE643" s="149"/>
      <c r="AG643" s="149"/>
      <c r="AI643" s="149"/>
      <c r="AK643" s="149"/>
    </row>
    <row r="644" ht="15.75" customHeight="1">
      <c r="C644" s="148"/>
      <c r="E644" s="149"/>
      <c r="H644" s="149"/>
      <c r="K644" s="149"/>
      <c r="AE644" s="149"/>
      <c r="AG644" s="149"/>
      <c r="AI644" s="149"/>
      <c r="AK644" s="149"/>
    </row>
    <row r="645" ht="15.75" customHeight="1">
      <c r="C645" s="148"/>
      <c r="E645" s="149"/>
      <c r="H645" s="149"/>
      <c r="K645" s="149"/>
      <c r="AE645" s="149"/>
      <c r="AG645" s="149"/>
      <c r="AI645" s="149"/>
      <c r="AK645" s="149"/>
    </row>
    <row r="646" ht="15.75" customHeight="1">
      <c r="C646" s="148"/>
      <c r="E646" s="149"/>
      <c r="H646" s="149"/>
      <c r="K646" s="149"/>
      <c r="AE646" s="149"/>
      <c r="AG646" s="149"/>
      <c r="AI646" s="149"/>
      <c r="AK646" s="149"/>
    </row>
    <row r="647" ht="15.75" customHeight="1">
      <c r="C647" s="148"/>
      <c r="E647" s="149"/>
      <c r="H647" s="149"/>
      <c r="K647" s="149"/>
      <c r="AE647" s="149"/>
      <c r="AG647" s="149"/>
      <c r="AI647" s="149"/>
      <c r="AK647" s="149"/>
    </row>
    <row r="648" ht="15.75" customHeight="1">
      <c r="C648" s="148"/>
      <c r="E648" s="149"/>
      <c r="H648" s="149"/>
      <c r="K648" s="149"/>
      <c r="AE648" s="149"/>
      <c r="AG648" s="149"/>
      <c r="AI648" s="149"/>
      <c r="AK648" s="149"/>
    </row>
    <row r="649" ht="15.75" customHeight="1">
      <c r="C649" s="148"/>
      <c r="E649" s="149"/>
      <c r="H649" s="149"/>
      <c r="K649" s="149"/>
      <c r="AE649" s="149"/>
      <c r="AG649" s="149"/>
      <c r="AI649" s="149"/>
      <c r="AK649" s="149"/>
    </row>
    <row r="650" ht="15.75" customHeight="1">
      <c r="C650" s="148"/>
      <c r="E650" s="149"/>
      <c r="H650" s="149"/>
      <c r="K650" s="149"/>
      <c r="AE650" s="149"/>
      <c r="AG650" s="149"/>
      <c r="AI650" s="149"/>
      <c r="AK650" s="149"/>
    </row>
    <row r="651" ht="15.75" customHeight="1">
      <c r="C651" s="148"/>
      <c r="E651" s="149"/>
      <c r="H651" s="149"/>
      <c r="K651" s="149"/>
      <c r="AE651" s="149"/>
      <c r="AG651" s="149"/>
      <c r="AI651" s="149"/>
      <c r="AK651" s="149"/>
    </row>
    <row r="652" ht="15.75" customHeight="1">
      <c r="C652" s="148"/>
      <c r="E652" s="149"/>
      <c r="H652" s="149"/>
      <c r="K652" s="149"/>
      <c r="AE652" s="149"/>
      <c r="AG652" s="149"/>
      <c r="AI652" s="149"/>
      <c r="AK652" s="149"/>
    </row>
    <row r="653" ht="15.75" customHeight="1">
      <c r="C653" s="148"/>
      <c r="E653" s="149"/>
      <c r="H653" s="149"/>
      <c r="K653" s="149"/>
      <c r="AE653" s="149"/>
      <c r="AG653" s="149"/>
      <c r="AI653" s="149"/>
      <c r="AK653" s="149"/>
    </row>
    <row r="654" ht="15.75" customHeight="1">
      <c r="C654" s="148"/>
      <c r="E654" s="149"/>
      <c r="H654" s="149"/>
      <c r="K654" s="149"/>
      <c r="AE654" s="149"/>
      <c r="AG654" s="149"/>
      <c r="AI654" s="149"/>
      <c r="AK654" s="149"/>
    </row>
    <row r="655" ht="15.75" customHeight="1">
      <c r="C655" s="148"/>
      <c r="E655" s="149"/>
      <c r="H655" s="149"/>
      <c r="K655" s="149"/>
      <c r="AE655" s="149"/>
      <c r="AG655" s="149"/>
      <c r="AI655" s="149"/>
      <c r="AK655" s="149"/>
    </row>
    <row r="656" ht="15.75" customHeight="1">
      <c r="C656" s="148"/>
      <c r="E656" s="149"/>
      <c r="H656" s="149"/>
      <c r="K656" s="149"/>
      <c r="AE656" s="149"/>
      <c r="AG656" s="149"/>
      <c r="AI656" s="149"/>
      <c r="AK656" s="149"/>
    </row>
    <row r="657" ht="15.75" customHeight="1">
      <c r="C657" s="148"/>
      <c r="E657" s="149"/>
      <c r="H657" s="149"/>
      <c r="K657" s="149"/>
      <c r="AE657" s="149"/>
      <c r="AG657" s="149"/>
      <c r="AI657" s="149"/>
      <c r="AK657" s="149"/>
    </row>
    <row r="658" ht="15.75" customHeight="1">
      <c r="C658" s="148"/>
      <c r="E658" s="149"/>
      <c r="H658" s="149"/>
      <c r="K658" s="149"/>
      <c r="AE658" s="149"/>
      <c r="AG658" s="149"/>
      <c r="AI658" s="149"/>
      <c r="AK658" s="149"/>
    </row>
    <row r="659" ht="15.75" customHeight="1">
      <c r="C659" s="148"/>
      <c r="E659" s="149"/>
      <c r="H659" s="149"/>
      <c r="K659" s="149"/>
      <c r="AE659" s="149"/>
      <c r="AG659" s="149"/>
      <c r="AI659" s="149"/>
      <c r="AK659" s="149"/>
    </row>
    <row r="660" ht="15.75" customHeight="1">
      <c r="C660" s="148"/>
      <c r="E660" s="149"/>
      <c r="H660" s="149"/>
      <c r="K660" s="149"/>
      <c r="AE660" s="149"/>
      <c r="AG660" s="149"/>
      <c r="AI660" s="149"/>
      <c r="AK660" s="149"/>
    </row>
    <row r="661" ht="15.75" customHeight="1">
      <c r="C661" s="148"/>
      <c r="E661" s="149"/>
      <c r="H661" s="149"/>
      <c r="K661" s="149"/>
      <c r="AE661" s="149"/>
      <c r="AG661" s="149"/>
      <c r="AI661" s="149"/>
      <c r="AK661" s="149"/>
    </row>
    <row r="662" ht="15.75" customHeight="1">
      <c r="C662" s="148"/>
      <c r="E662" s="149"/>
      <c r="H662" s="149"/>
      <c r="K662" s="149"/>
      <c r="AE662" s="149"/>
      <c r="AG662" s="149"/>
      <c r="AI662" s="149"/>
      <c r="AK662" s="149"/>
    </row>
    <row r="663" ht="15.75" customHeight="1">
      <c r="C663" s="148"/>
      <c r="E663" s="149"/>
      <c r="H663" s="149"/>
      <c r="K663" s="149"/>
      <c r="AE663" s="149"/>
      <c r="AG663" s="149"/>
      <c r="AI663" s="149"/>
      <c r="AK663" s="149"/>
    </row>
    <row r="664" ht="15.75" customHeight="1">
      <c r="C664" s="148"/>
      <c r="E664" s="149"/>
      <c r="H664" s="149"/>
      <c r="K664" s="149"/>
      <c r="AE664" s="149"/>
      <c r="AG664" s="149"/>
      <c r="AI664" s="149"/>
      <c r="AK664" s="149"/>
    </row>
    <row r="665" ht="15.75" customHeight="1">
      <c r="C665" s="148"/>
      <c r="E665" s="149"/>
      <c r="H665" s="149"/>
      <c r="K665" s="149"/>
      <c r="AE665" s="149"/>
      <c r="AG665" s="149"/>
      <c r="AI665" s="149"/>
      <c r="AK665" s="149"/>
    </row>
    <row r="666" ht="15.75" customHeight="1">
      <c r="C666" s="148"/>
      <c r="E666" s="149"/>
      <c r="H666" s="149"/>
      <c r="K666" s="149"/>
      <c r="AE666" s="149"/>
      <c r="AG666" s="149"/>
      <c r="AI666" s="149"/>
      <c r="AK666" s="149"/>
    </row>
    <row r="667" ht="15.75" customHeight="1">
      <c r="C667" s="148"/>
      <c r="E667" s="149"/>
      <c r="H667" s="149"/>
      <c r="K667" s="149"/>
      <c r="AE667" s="149"/>
      <c r="AG667" s="149"/>
      <c r="AI667" s="149"/>
      <c r="AK667" s="149"/>
    </row>
    <row r="668" ht="15.75" customHeight="1">
      <c r="C668" s="148"/>
      <c r="E668" s="149"/>
      <c r="H668" s="149"/>
      <c r="K668" s="149"/>
      <c r="AE668" s="149"/>
      <c r="AG668" s="149"/>
      <c r="AI668" s="149"/>
      <c r="AK668" s="149"/>
    </row>
    <row r="669" ht="15.75" customHeight="1">
      <c r="C669" s="148"/>
      <c r="E669" s="149"/>
      <c r="H669" s="149"/>
      <c r="K669" s="149"/>
      <c r="AE669" s="149"/>
      <c r="AG669" s="149"/>
      <c r="AI669" s="149"/>
      <c r="AK669" s="149"/>
    </row>
    <row r="670" ht="15.75" customHeight="1">
      <c r="C670" s="148"/>
      <c r="E670" s="149"/>
      <c r="H670" s="149"/>
      <c r="K670" s="149"/>
      <c r="AE670" s="149"/>
      <c r="AG670" s="149"/>
      <c r="AI670" s="149"/>
      <c r="AK670" s="149"/>
    </row>
    <row r="671" ht="15.75" customHeight="1">
      <c r="C671" s="148"/>
      <c r="E671" s="149"/>
      <c r="H671" s="149"/>
      <c r="K671" s="149"/>
      <c r="AE671" s="149"/>
      <c r="AG671" s="149"/>
      <c r="AI671" s="149"/>
      <c r="AK671" s="149"/>
    </row>
    <row r="672" ht="15.75" customHeight="1">
      <c r="C672" s="148"/>
      <c r="E672" s="149"/>
      <c r="H672" s="149"/>
      <c r="K672" s="149"/>
      <c r="AE672" s="149"/>
      <c r="AG672" s="149"/>
      <c r="AI672" s="149"/>
      <c r="AK672" s="149"/>
    </row>
    <row r="673" ht="15.75" customHeight="1">
      <c r="C673" s="148"/>
      <c r="E673" s="149"/>
      <c r="H673" s="149"/>
      <c r="K673" s="149"/>
      <c r="AE673" s="149"/>
      <c r="AG673" s="149"/>
      <c r="AI673" s="149"/>
      <c r="AK673" s="149"/>
    </row>
    <row r="674" ht="15.75" customHeight="1">
      <c r="C674" s="148"/>
      <c r="E674" s="149"/>
      <c r="H674" s="149"/>
      <c r="K674" s="149"/>
      <c r="AE674" s="149"/>
      <c r="AG674" s="149"/>
      <c r="AI674" s="149"/>
      <c r="AK674" s="149"/>
    </row>
    <row r="675" ht="15.75" customHeight="1">
      <c r="C675" s="148"/>
      <c r="E675" s="149"/>
      <c r="H675" s="149"/>
      <c r="K675" s="149"/>
      <c r="AE675" s="149"/>
      <c r="AG675" s="149"/>
      <c r="AI675" s="149"/>
      <c r="AK675" s="149"/>
    </row>
    <row r="676" ht="15.75" customHeight="1">
      <c r="C676" s="148"/>
      <c r="E676" s="149"/>
      <c r="H676" s="149"/>
      <c r="K676" s="149"/>
      <c r="AE676" s="149"/>
      <c r="AG676" s="149"/>
      <c r="AI676" s="149"/>
      <c r="AK676" s="149"/>
    </row>
    <row r="677" ht="15.75" customHeight="1">
      <c r="C677" s="148"/>
      <c r="E677" s="149"/>
      <c r="H677" s="149"/>
      <c r="K677" s="149"/>
      <c r="AE677" s="149"/>
      <c r="AG677" s="149"/>
      <c r="AI677" s="149"/>
      <c r="AK677" s="149"/>
    </row>
    <row r="678" ht="15.75" customHeight="1">
      <c r="C678" s="148"/>
      <c r="E678" s="149"/>
      <c r="H678" s="149"/>
      <c r="K678" s="149"/>
      <c r="AE678" s="149"/>
      <c r="AG678" s="149"/>
      <c r="AI678" s="149"/>
      <c r="AK678" s="149"/>
    </row>
    <row r="679" ht="15.75" customHeight="1">
      <c r="C679" s="148"/>
      <c r="E679" s="149"/>
      <c r="H679" s="149"/>
      <c r="K679" s="149"/>
      <c r="AE679" s="149"/>
      <c r="AG679" s="149"/>
      <c r="AI679" s="149"/>
      <c r="AK679" s="149"/>
    </row>
    <row r="680" ht="15.75" customHeight="1">
      <c r="C680" s="148"/>
      <c r="E680" s="149"/>
      <c r="H680" s="149"/>
      <c r="K680" s="149"/>
      <c r="AE680" s="149"/>
      <c r="AG680" s="149"/>
      <c r="AI680" s="149"/>
      <c r="AK680" s="149"/>
    </row>
    <row r="681" ht="15.75" customHeight="1">
      <c r="C681" s="148"/>
      <c r="E681" s="149"/>
      <c r="H681" s="149"/>
      <c r="K681" s="149"/>
      <c r="AE681" s="149"/>
      <c r="AG681" s="149"/>
      <c r="AI681" s="149"/>
      <c r="AK681" s="149"/>
    </row>
    <row r="682" ht="15.75" customHeight="1">
      <c r="C682" s="148"/>
      <c r="E682" s="149"/>
      <c r="H682" s="149"/>
      <c r="K682" s="149"/>
      <c r="AE682" s="149"/>
      <c r="AG682" s="149"/>
      <c r="AI682" s="149"/>
      <c r="AK682" s="149"/>
    </row>
    <row r="683" ht="15.75" customHeight="1">
      <c r="C683" s="148"/>
      <c r="E683" s="149"/>
      <c r="H683" s="149"/>
      <c r="K683" s="149"/>
      <c r="AE683" s="149"/>
      <c r="AG683" s="149"/>
      <c r="AI683" s="149"/>
      <c r="AK683" s="149"/>
    </row>
    <row r="684" ht="15.75" customHeight="1">
      <c r="C684" s="148"/>
      <c r="E684" s="149"/>
      <c r="H684" s="149"/>
      <c r="K684" s="149"/>
      <c r="AE684" s="149"/>
      <c r="AG684" s="149"/>
      <c r="AI684" s="149"/>
      <c r="AK684" s="149"/>
    </row>
    <row r="685" ht="15.75" customHeight="1">
      <c r="C685" s="148"/>
      <c r="E685" s="149"/>
      <c r="H685" s="149"/>
      <c r="K685" s="149"/>
      <c r="AE685" s="149"/>
      <c r="AG685" s="149"/>
      <c r="AI685" s="149"/>
      <c r="AK685" s="149"/>
    </row>
    <row r="686" ht="15.75" customHeight="1">
      <c r="C686" s="148"/>
      <c r="E686" s="149"/>
      <c r="H686" s="149"/>
      <c r="K686" s="149"/>
      <c r="AE686" s="149"/>
      <c r="AG686" s="149"/>
      <c r="AI686" s="149"/>
      <c r="AK686" s="149"/>
    </row>
    <row r="687" ht="15.75" customHeight="1">
      <c r="C687" s="148"/>
      <c r="E687" s="149"/>
      <c r="H687" s="149"/>
      <c r="K687" s="149"/>
      <c r="AE687" s="149"/>
      <c r="AG687" s="149"/>
      <c r="AI687" s="149"/>
      <c r="AK687" s="149"/>
    </row>
    <row r="688" ht="15.75" customHeight="1">
      <c r="C688" s="148"/>
      <c r="E688" s="149"/>
      <c r="H688" s="149"/>
      <c r="K688" s="149"/>
      <c r="AE688" s="149"/>
      <c r="AG688" s="149"/>
      <c r="AI688" s="149"/>
      <c r="AK688" s="149"/>
    </row>
    <row r="689" ht="15.75" customHeight="1">
      <c r="C689" s="148"/>
      <c r="E689" s="149"/>
      <c r="H689" s="149"/>
      <c r="K689" s="149"/>
      <c r="AE689" s="149"/>
      <c r="AG689" s="149"/>
      <c r="AI689" s="149"/>
      <c r="AK689" s="149"/>
    </row>
    <row r="690" ht="15.75" customHeight="1">
      <c r="C690" s="148"/>
      <c r="E690" s="149"/>
      <c r="H690" s="149"/>
      <c r="K690" s="149"/>
      <c r="AE690" s="149"/>
      <c r="AG690" s="149"/>
      <c r="AI690" s="149"/>
      <c r="AK690" s="149"/>
    </row>
    <row r="691" ht="15.75" customHeight="1">
      <c r="C691" s="148"/>
      <c r="E691" s="149"/>
      <c r="H691" s="149"/>
      <c r="K691" s="149"/>
      <c r="AE691" s="149"/>
      <c r="AG691" s="149"/>
      <c r="AI691" s="149"/>
      <c r="AK691" s="149"/>
    </row>
    <row r="692" ht="15.75" customHeight="1">
      <c r="C692" s="148"/>
      <c r="E692" s="149"/>
      <c r="H692" s="149"/>
      <c r="K692" s="149"/>
      <c r="AE692" s="149"/>
      <c r="AG692" s="149"/>
      <c r="AI692" s="149"/>
      <c r="AK692" s="149"/>
    </row>
    <row r="693" ht="15.75" customHeight="1">
      <c r="C693" s="148"/>
      <c r="E693" s="149"/>
      <c r="H693" s="149"/>
      <c r="K693" s="149"/>
      <c r="AE693" s="149"/>
      <c r="AG693" s="149"/>
      <c r="AI693" s="149"/>
      <c r="AK693" s="149"/>
    </row>
    <row r="694" ht="15.75" customHeight="1">
      <c r="C694" s="148"/>
      <c r="E694" s="149"/>
      <c r="H694" s="149"/>
      <c r="K694" s="149"/>
      <c r="AE694" s="149"/>
      <c r="AG694" s="149"/>
      <c r="AI694" s="149"/>
      <c r="AK694" s="149"/>
    </row>
    <row r="695" ht="15.75" customHeight="1">
      <c r="C695" s="148"/>
      <c r="E695" s="149"/>
      <c r="H695" s="149"/>
      <c r="K695" s="149"/>
      <c r="AE695" s="149"/>
      <c r="AG695" s="149"/>
      <c r="AI695" s="149"/>
      <c r="AK695" s="149"/>
    </row>
    <row r="696" ht="15.75" customHeight="1">
      <c r="C696" s="148"/>
      <c r="E696" s="149"/>
      <c r="H696" s="149"/>
      <c r="K696" s="149"/>
      <c r="AE696" s="149"/>
      <c r="AG696" s="149"/>
      <c r="AI696" s="149"/>
      <c r="AK696" s="149"/>
    </row>
    <row r="697" ht="15.75" customHeight="1">
      <c r="C697" s="148"/>
      <c r="E697" s="149"/>
      <c r="H697" s="149"/>
      <c r="K697" s="149"/>
      <c r="AE697" s="149"/>
      <c r="AG697" s="149"/>
      <c r="AI697" s="149"/>
      <c r="AK697" s="149"/>
    </row>
    <row r="698" ht="15.75" customHeight="1">
      <c r="C698" s="148"/>
      <c r="E698" s="149"/>
      <c r="H698" s="149"/>
      <c r="K698" s="149"/>
      <c r="AE698" s="149"/>
      <c r="AG698" s="149"/>
      <c r="AI698" s="149"/>
      <c r="AK698" s="149"/>
    </row>
    <row r="699" ht="15.75" customHeight="1">
      <c r="C699" s="148"/>
      <c r="E699" s="149"/>
      <c r="H699" s="149"/>
      <c r="K699" s="149"/>
      <c r="AE699" s="149"/>
      <c r="AG699" s="149"/>
      <c r="AI699" s="149"/>
      <c r="AK699" s="149"/>
    </row>
    <row r="700" ht="15.75" customHeight="1">
      <c r="C700" s="148"/>
      <c r="E700" s="149"/>
      <c r="H700" s="149"/>
      <c r="K700" s="149"/>
      <c r="AE700" s="149"/>
      <c r="AG700" s="149"/>
      <c r="AI700" s="149"/>
      <c r="AK700" s="149"/>
    </row>
    <row r="701" ht="15.75" customHeight="1">
      <c r="C701" s="148"/>
      <c r="E701" s="149"/>
      <c r="H701" s="149"/>
      <c r="K701" s="149"/>
      <c r="AE701" s="149"/>
      <c r="AG701" s="149"/>
      <c r="AI701" s="149"/>
      <c r="AK701" s="149"/>
    </row>
    <row r="702" ht="15.75" customHeight="1">
      <c r="C702" s="148"/>
      <c r="E702" s="149"/>
      <c r="H702" s="149"/>
      <c r="K702" s="149"/>
      <c r="AE702" s="149"/>
      <c r="AG702" s="149"/>
      <c r="AI702" s="149"/>
      <c r="AK702" s="149"/>
    </row>
    <row r="703" ht="15.75" customHeight="1">
      <c r="C703" s="148"/>
      <c r="E703" s="149"/>
      <c r="H703" s="149"/>
      <c r="K703" s="149"/>
      <c r="AE703" s="149"/>
      <c r="AG703" s="149"/>
      <c r="AI703" s="149"/>
      <c r="AK703" s="149"/>
    </row>
    <row r="704" ht="15.75" customHeight="1">
      <c r="C704" s="148"/>
      <c r="E704" s="149"/>
      <c r="H704" s="149"/>
      <c r="K704" s="149"/>
      <c r="AE704" s="149"/>
      <c r="AG704" s="149"/>
      <c r="AI704" s="149"/>
      <c r="AK704" s="149"/>
    </row>
    <row r="705" ht="15.75" customHeight="1">
      <c r="C705" s="148"/>
      <c r="E705" s="149"/>
      <c r="H705" s="149"/>
      <c r="K705" s="149"/>
      <c r="AE705" s="149"/>
      <c r="AG705" s="149"/>
      <c r="AI705" s="149"/>
      <c r="AK705" s="149"/>
    </row>
    <row r="706" ht="15.75" customHeight="1">
      <c r="C706" s="148"/>
      <c r="E706" s="149"/>
      <c r="H706" s="149"/>
      <c r="K706" s="149"/>
      <c r="AE706" s="149"/>
      <c r="AG706" s="149"/>
      <c r="AI706" s="149"/>
      <c r="AK706" s="149"/>
    </row>
    <row r="707" ht="15.75" customHeight="1">
      <c r="C707" s="148"/>
      <c r="E707" s="149"/>
      <c r="H707" s="149"/>
      <c r="K707" s="149"/>
      <c r="AE707" s="149"/>
      <c r="AG707" s="149"/>
      <c r="AI707" s="149"/>
      <c r="AK707" s="149"/>
    </row>
    <row r="708" ht="15.75" customHeight="1">
      <c r="C708" s="148"/>
      <c r="E708" s="149"/>
      <c r="H708" s="149"/>
      <c r="K708" s="149"/>
      <c r="AE708" s="149"/>
      <c r="AG708" s="149"/>
      <c r="AI708" s="149"/>
      <c r="AK708" s="149"/>
    </row>
    <row r="709" ht="15.75" customHeight="1">
      <c r="C709" s="148"/>
      <c r="E709" s="149"/>
      <c r="H709" s="149"/>
      <c r="K709" s="149"/>
      <c r="AE709" s="149"/>
      <c r="AG709" s="149"/>
      <c r="AI709" s="149"/>
      <c r="AK709" s="149"/>
    </row>
    <row r="710" ht="15.75" customHeight="1">
      <c r="C710" s="148"/>
      <c r="E710" s="149"/>
      <c r="H710" s="149"/>
      <c r="K710" s="149"/>
      <c r="AE710" s="149"/>
      <c r="AG710" s="149"/>
      <c r="AI710" s="149"/>
      <c r="AK710" s="149"/>
    </row>
    <row r="711" ht="15.75" customHeight="1">
      <c r="C711" s="148"/>
      <c r="E711" s="149"/>
      <c r="H711" s="149"/>
      <c r="K711" s="149"/>
      <c r="AE711" s="149"/>
      <c r="AG711" s="149"/>
      <c r="AI711" s="149"/>
      <c r="AK711" s="149"/>
    </row>
    <row r="712" ht="15.75" customHeight="1">
      <c r="C712" s="148"/>
      <c r="E712" s="149"/>
      <c r="H712" s="149"/>
      <c r="K712" s="149"/>
      <c r="AE712" s="149"/>
      <c r="AG712" s="149"/>
      <c r="AI712" s="149"/>
      <c r="AK712" s="149"/>
    </row>
    <row r="713" ht="15.75" customHeight="1">
      <c r="C713" s="148"/>
      <c r="E713" s="149"/>
      <c r="H713" s="149"/>
      <c r="K713" s="149"/>
      <c r="AE713" s="149"/>
      <c r="AG713" s="149"/>
      <c r="AI713" s="149"/>
      <c r="AK713" s="149"/>
    </row>
    <row r="714" ht="15.75" customHeight="1">
      <c r="C714" s="148"/>
      <c r="E714" s="149"/>
      <c r="H714" s="149"/>
      <c r="K714" s="149"/>
      <c r="AE714" s="149"/>
      <c r="AG714" s="149"/>
      <c r="AI714" s="149"/>
      <c r="AK714" s="149"/>
    </row>
    <row r="715" ht="15.75" customHeight="1">
      <c r="C715" s="148"/>
      <c r="E715" s="149"/>
      <c r="H715" s="149"/>
      <c r="K715" s="149"/>
      <c r="AE715" s="149"/>
      <c r="AG715" s="149"/>
      <c r="AI715" s="149"/>
      <c r="AK715" s="149"/>
    </row>
    <row r="716" ht="15.75" customHeight="1">
      <c r="C716" s="148"/>
      <c r="E716" s="149"/>
      <c r="H716" s="149"/>
      <c r="K716" s="149"/>
      <c r="AE716" s="149"/>
      <c r="AG716" s="149"/>
      <c r="AI716" s="149"/>
      <c r="AK716" s="149"/>
    </row>
    <row r="717" ht="15.75" customHeight="1">
      <c r="C717" s="148"/>
      <c r="E717" s="149"/>
      <c r="H717" s="149"/>
      <c r="K717" s="149"/>
      <c r="AE717" s="149"/>
      <c r="AG717" s="149"/>
      <c r="AI717" s="149"/>
      <c r="AK717" s="149"/>
    </row>
    <row r="718" ht="15.75" customHeight="1">
      <c r="C718" s="148"/>
      <c r="E718" s="149"/>
      <c r="H718" s="149"/>
      <c r="K718" s="149"/>
      <c r="AE718" s="149"/>
      <c r="AG718" s="149"/>
      <c r="AI718" s="149"/>
      <c r="AK718" s="149"/>
    </row>
    <row r="719" ht="15.75" customHeight="1">
      <c r="C719" s="148"/>
      <c r="E719" s="149"/>
      <c r="H719" s="149"/>
      <c r="K719" s="149"/>
      <c r="AE719" s="149"/>
      <c r="AG719" s="149"/>
      <c r="AI719" s="149"/>
      <c r="AK719" s="149"/>
    </row>
    <row r="720" ht="15.75" customHeight="1">
      <c r="C720" s="148"/>
      <c r="E720" s="149"/>
      <c r="H720" s="149"/>
      <c r="K720" s="149"/>
      <c r="AE720" s="149"/>
      <c r="AG720" s="149"/>
      <c r="AI720" s="149"/>
      <c r="AK720" s="149"/>
    </row>
    <row r="721" ht="15.75" customHeight="1">
      <c r="C721" s="148"/>
      <c r="E721" s="149"/>
      <c r="H721" s="149"/>
      <c r="K721" s="149"/>
      <c r="AE721" s="149"/>
      <c r="AG721" s="149"/>
      <c r="AI721" s="149"/>
      <c r="AK721" s="149"/>
    </row>
    <row r="722" ht="15.75" customHeight="1">
      <c r="C722" s="148"/>
      <c r="E722" s="149"/>
      <c r="H722" s="149"/>
      <c r="K722" s="149"/>
      <c r="AE722" s="149"/>
      <c r="AG722" s="149"/>
      <c r="AI722" s="149"/>
      <c r="AK722" s="149"/>
    </row>
    <row r="723" ht="15.75" customHeight="1">
      <c r="C723" s="148"/>
      <c r="E723" s="149"/>
      <c r="H723" s="149"/>
      <c r="K723" s="149"/>
      <c r="AE723" s="149"/>
      <c r="AG723" s="149"/>
      <c r="AI723" s="149"/>
      <c r="AK723" s="149"/>
    </row>
    <row r="724" ht="15.75" customHeight="1">
      <c r="C724" s="148"/>
      <c r="E724" s="149"/>
      <c r="H724" s="149"/>
      <c r="K724" s="149"/>
      <c r="AE724" s="149"/>
      <c r="AG724" s="149"/>
      <c r="AI724" s="149"/>
      <c r="AK724" s="149"/>
    </row>
    <row r="725" ht="15.75" customHeight="1">
      <c r="C725" s="148"/>
      <c r="E725" s="149"/>
      <c r="H725" s="149"/>
      <c r="K725" s="149"/>
      <c r="AE725" s="149"/>
      <c r="AG725" s="149"/>
      <c r="AI725" s="149"/>
      <c r="AK725" s="149"/>
    </row>
    <row r="726" ht="15.75" customHeight="1">
      <c r="C726" s="148"/>
      <c r="E726" s="149"/>
      <c r="H726" s="149"/>
      <c r="K726" s="149"/>
      <c r="AE726" s="149"/>
      <c r="AG726" s="149"/>
      <c r="AI726" s="149"/>
      <c r="AK726" s="149"/>
    </row>
    <row r="727" ht="15.75" customHeight="1">
      <c r="C727" s="148"/>
      <c r="E727" s="149"/>
      <c r="H727" s="149"/>
      <c r="K727" s="149"/>
      <c r="AE727" s="149"/>
      <c r="AG727" s="149"/>
      <c r="AI727" s="149"/>
      <c r="AK727" s="149"/>
    </row>
    <row r="728" ht="15.75" customHeight="1">
      <c r="C728" s="148"/>
      <c r="E728" s="149"/>
      <c r="H728" s="149"/>
      <c r="K728" s="149"/>
      <c r="AE728" s="149"/>
      <c r="AG728" s="149"/>
      <c r="AI728" s="149"/>
      <c r="AK728" s="149"/>
    </row>
    <row r="729" ht="15.75" customHeight="1">
      <c r="C729" s="148"/>
      <c r="E729" s="149"/>
      <c r="H729" s="149"/>
      <c r="K729" s="149"/>
      <c r="AE729" s="149"/>
      <c r="AG729" s="149"/>
      <c r="AI729" s="149"/>
      <c r="AK729" s="149"/>
    </row>
    <row r="730" ht="15.75" customHeight="1">
      <c r="C730" s="148"/>
      <c r="E730" s="149"/>
      <c r="H730" s="149"/>
      <c r="K730" s="149"/>
      <c r="AE730" s="149"/>
      <c r="AG730" s="149"/>
      <c r="AI730" s="149"/>
      <c r="AK730" s="149"/>
    </row>
    <row r="731" ht="15.75" customHeight="1">
      <c r="C731" s="148"/>
      <c r="E731" s="149"/>
      <c r="H731" s="149"/>
      <c r="K731" s="149"/>
      <c r="AE731" s="149"/>
      <c r="AG731" s="149"/>
      <c r="AI731" s="149"/>
      <c r="AK731" s="149"/>
    </row>
    <row r="732" ht="15.75" customHeight="1">
      <c r="C732" s="148"/>
      <c r="E732" s="149"/>
      <c r="H732" s="149"/>
      <c r="K732" s="149"/>
      <c r="AE732" s="149"/>
      <c r="AG732" s="149"/>
      <c r="AI732" s="149"/>
      <c r="AK732" s="149"/>
    </row>
    <row r="733" ht="15.75" customHeight="1">
      <c r="C733" s="148"/>
      <c r="E733" s="149"/>
      <c r="H733" s="149"/>
      <c r="K733" s="149"/>
      <c r="AE733" s="149"/>
      <c r="AG733" s="149"/>
      <c r="AI733" s="149"/>
      <c r="AK733" s="149"/>
    </row>
    <row r="734" ht="15.75" customHeight="1">
      <c r="C734" s="148"/>
      <c r="E734" s="149"/>
      <c r="H734" s="149"/>
      <c r="K734" s="149"/>
      <c r="AE734" s="149"/>
      <c r="AG734" s="149"/>
      <c r="AI734" s="149"/>
      <c r="AK734" s="149"/>
    </row>
    <row r="735" ht="15.75" customHeight="1">
      <c r="C735" s="148"/>
      <c r="E735" s="149"/>
      <c r="H735" s="149"/>
      <c r="K735" s="149"/>
      <c r="AE735" s="149"/>
      <c r="AG735" s="149"/>
      <c r="AI735" s="149"/>
      <c r="AK735" s="149"/>
    </row>
    <row r="736" ht="15.75" customHeight="1">
      <c r="C736" s="148"/>
      <c r="E736" s="149"/>
      <c r="H736" s="149"/>
      <c r="K736" s="149"/>
      <c r="AE736" s="149"/>
      <c r="AG736" s="149"/>
      <c r="AI736" s="149"/>
      <c r="AK736" s="149"/>
    </row>
    <row r="737" ht="15.75" customHeight="1">
      <c r="C737" s="148"/>
      <c r="E737" s="149"/>
      <c r="H737" s="149"/>
      <c r="K737" s="149"/>
      <c r="AE737" s="149"/>
      <c r="AG737" s="149"/>
      <c r="AI737" s="149"/>
      <c r="AK737" s="149"/>
    </row>
    <row r="738" ht="15.75" customHeight="1">
      <c r="C738" s="148"/>
      <c r="E738" s="149"/>
      <c r="H738" s="149"/>
      <c r="K738" s="149"/>
      <c r="AE738" s="149"/>
      <c r="AG738" s="149"/>
      <c r="AI738" s="149"/>
      <c r="AK738" s="149"/>
    </row>
    <row r="739" ht="15.75" customHeight="1">
      <c r="C739" s="148"/>
      <c r="E739" s="149"/>
      <c r="H739" s="149"/>
      <c r="K739" s="149"/>
      <c r="AE739" s="149"/>
      <c r="AG739" s="149"/>
      <c r="AI739" s="149"/>
      <c r="AK739" s="149"/>
    </row>
    <row r="740" ht="15.75" customHeight="1">
      <c r="C740" s="148"/>
      <c r="E740" s="149"/>
      <c r="H740" s="149"/>
      <c r="K740" s="149"/>
      <c r="AE740" s="149"/>
      <c r="AG740" s="149"/>
      <c r="AI740" s="149"/>
      <c r="AK740" s="149"/>
    </row>
    <row r="741" ht="15.75" customHeight="1">
      <c r="C741" s="148"/>
      <c r="E741" s="149"/>
      <c r="H741" s="149"/>
      <c r="K741" s="149"/>
      <c r="AE741" s="149"/>
      <c r="AG741" s="149"/>
      <c r="AI741" s="149"/>
      <c r="AK741" s="149"/>
    </row>
    <row r="742" ht="15.75" customHeight="1">
      <c r="C742" s="148"/>
      <c r="E742" s="149"/>
      <c r="H742" s="149"/>
      <c r="K742" s="149"/>
      <c r="AE742" s="149"/>
      <c r="AG742" s="149"/>
      <c r="AI742" s="149"/>
      <c r="AK742" s="149"/>
    </row>
    <row r="743" ht="15.75" customHeight="1">
      <c r="C743" s="148"/>
      <c r="E743" s="149"/>
      <c r="H743" s="149"/>
      <c r="K743" s="149"/>
      <c r="AE743" s="149"/>
      <c r="AG743" s="149"/>
      <c r="AI743" s="149"/>
      <c r="AK743" s="149"/>
    </row>
    <row r="744" ht="15.75" customHeight="1">
      <c r="C744" s="148"/>
      <c r="E744" s="149"/>
      <c r="H744" s="149"/>
      <c r="K744" s="149"/>
      <c r="AE744" s="149"/>
      <c r="AG744" s="149"/>
      <c r="AI744" s="149"/>
      <c r="AK744" s="149"/>
    </row>
    <row r="745" ht="15.75" customHeight="1">
      <c r="C745" s="148"/>
      <c r="E745" s="149"/>
      <c r="H745" s="149"/>
      <c r="K745" s="149"/>
      <c r="AE745" s="149"/>
      <c r="AG745" s="149"/>
      <c r="AI745" s="149"/>
      <c r="AK745" s="149"/>
    </row>
    <row r="746" ht="15.75" customHeight="1">
      <c r="C746" s="148"/>
      <c r="E746" s="149"/>
      <c r="H746" s="149"/>
      <c r="K746" s="149"/>
      <c r="AE746" s="149"/>
      <c r="AG746" s="149"/>
      <c r="AI746" s="149"/>
      <c r="AK746" s="149"/>
    </row>
    <row r="747" ht="15.75" customHeight="1">
      <c r="C747" s="148"/>
      <c r="E747" s="149"/>
      <c r="H747" s="149"/>
      <c r="K747" s="149"/>
      <c r="AE747" s="149"/>
      <c r="AG747" s="149"/>
      <c r="AI747" s="149"/>
      <c r="AK747" s="149"/>
    </row>
    <row r="748" ht="15.75" customHeight="1">
      <c r="C748" s="148"/>
      <c r="E748" s="149"/>
      <c r="H748" s="149"/>
      <c r="K748" s="149"/>
      <c r="AE748" s="149"/>
      <c r="AG748" s="149"/>
      <c r="AI748" s="149"/>
      <c r="AK748" s="149"/>
    </row>
    <row r="749" ht="15.75" customHeight="1">
      <c r="C749" s="148"/>
      <c r="E749" s="149"/>
      <c r="H749" s="149"/>
      <c r="K749" s="149"/>
      <c r="AE749" s="149"/>
      <c r="AG749" s="149"/>
      <c r="AI749" s="149"/>
      <c r="AK749" s="149"/>
    </row>
    <row r="750" ht="15.75" customHeight="1">
      <c r="C750" s="148"/>
      <c r="E750" s="149"/>
      <c r="H750" s="149"/>
      <c r="K750" s="149"/>
      <c r="AE750" s="149"/>
      <c r="AG750" s="149"/>
      <c r="AI750" s="149"/>
      <c r="AK750" s="149"/>
    </row>
    <row r="751" ht="15.75" customHeight="1">
      <c r="C751" s="148"/>
      <c r="E751" s="149"/>
      <c r="H751" s="149"/>
      <c r="K751" s="149"/>
      <c r="AE751" s="149"/>
      <c r="AG751" s="149"/>
      <c r="AI751" s="149"/>
      <c r="AK751" s="149"/>
    </row>
    <row r="752" ht="15.75" customHeight="1">
      <c r="C752" s="148"/>
      <c r="E752" s="149"/>
      <c r="H752" s="149"/>
      <c r="K752" s="149"/>
      <c r="AE752" s="149"/>
      <c r="AG752" s="149"/>
      <c r="AI752" s="149"/>
      <c r="AK752" s="149"/>
    </row>
    <row r="753" ht="15.75" customHeight="1">
      <c r="C753" s="148"/>
      <c r="E753" s="149"/>
      <c r="H753" s="149"/>
      <c r="K753" s="149"/>
      <c r="AE753" s="149"/>
      <c r="AG753" s="149"/>
      <c r="AI753" s="149"/>
      <c r="AK753" s="149"/>
    </row>
    <row r="754" ht="15.75" customHeight="1">
      <c r="C754" s="148"/>
      <c r="E754" s="149"/>
      <c r="H754" s="149"/>
      <c r="K754" s="149"/>
      <c r="AE754" s="149"/>
      <c r="AG754" s="149"/>
      <c r="AI754" s="149"/>
      <c r="AK754" s="149"/>
    </row>
    <row r="755" ht="15.75" customHeight="1">
      <c r="C755" s="148"/>
      <c r="E755" s="149"/>
      <c r="H755" s="149"/>
      <c r="K755" s="149"/>
      <c r="AE755" s="149"/>
      <c r="AG755" s="149"/>
      <c r="AI755" s="149"/>
      <c r="AK755" s="149"/>
    </row>
    <row r="756" ht="15.75" customHeight="1">
      <c r="C756" s="148"/>
      <c r="E756" s="149"/>
      <c r="H756" s="149"/>
      <c r="K756" s="149"/>
      <c r="AE756" s="149"/>
      <c r="AG756" s="149"/>
      <c r="AI756" s="149"/>
      <c r="AK756" s="149"/>
    </row>
    <row r="757" ht="15.75" customHeight="1">
      <c r="C757" s="148"/>
      <c r="E757" s="149"/>
      <c r="H757" s="149"/>
      <c r="K757" s="149"/>
      <c r="AE757" s="149"/>
      <c r="AG757" s="149"/>
      <c r="AI757" s="149"/>
      <c r="AK757" s="149"/>
    </row>
    <row r="758" ht="15.75" customHeight="1">
      <c r="C758" s="148"/>
      <c r="E758" s="149"/>
      <c r="H758" s="149"/>
      <c r="K758" s="149"/>
      <c r="AE758" s="149"/>
      <c r="AG758" s="149"/>
      <c r="AI758" s="149"/>
      <c r="AK758" s="149"/>
    </row>
    <row r="759" ht="15.75" customHeight="1">
      <c r="C759" s="148"/>
      <c r="E759" s="149"/>
      <c r="H759" s="149"/>
      <c r="K759" s="149"/>
      <c r="AE759" s="149"/>
      <c r="AG759" s="149"/>
      <c r="AI759" s="149"/>
      <c r="AK759" s="149"/>
    </row>
    <row r="760" ht="15.75" customHeight="1">
      <c r="C760" s="148"/>
      <c r="E760" s="149"/>
      <c r="H760" s="149"/>
      <c r="K760" s="149"/>
      <c r="AE760" s="149"/>
      <c r="AG760" s="149"/>
      <c r="AI760" s="149"/>
      <c r="AK760" s="149"/>
    </row>
    <row r="761" ht="15.75" customHeight="1">
      <c r="C761" s="148"/>
      <c r="E761" s="149"/>
      <c r="H761" s="149"/>
      <c r="K761" s="149"/>
      <c r="AE761" s="149"/>
      <c r="AG761" s="149"/>
      <c r="AI761" s="149"/>
      <c r="AK761" s="149"/>
    </row>
    <row r="762" ht="15.75" customHeight="1">
      <c r="C762" s="148"/>
      <c r="E762" s="149"/>
      <c r="H762" s="149"/>
      <c r="K762" s="149"/>
      <c r="AE762" s="149"/>
      <c r="AG762" s="149"/>
      <c r="AI762" s="149"/>
      <c r="AK762" s="149"/>
    </row>
    <row r="763" ht="15.75" customHeight="1">
      <c r="C763" s="148"/>
      <c r="E763" s="149"/>
      <c r="H763" s="149"/>
      <c r="K763" s="149"/>
      <c r="AE763" s="149"/>
      <c r="AG763" s="149"/>
      <c r="AI763" s="149"/>
      <c r="AK763" s="149"/>
    </row>
    <row r="764" ht="15.75" customHeight="1">
      <c r="C764" s="148"/>
      <c r="E764" s="149"/>
      <c r="H764" s="149"/>
      <c r="K764" s="149"/>
      <c r="AE764" s="149"/>
      <c r="AG764" s="149"/>
      <c r="AI764" s="149"/>
      <c r="AK764" s="149"/>
    </row>
    <row r="765" ht="15.75" customHeight="1">
      <c r="C765" s="148"/>
      <c r="E765" s="149"/>
      <c r="H765" s="149"/>
      <c r="K765" s="149"/>
      <c r="AE765" s="149"/>
      <c r="AG765" s="149"/>
      <c r="AI765" s="149"/>
      <c r="AK765" s="149"/>
    </row>
    <row r="766" ht="15.75" customHeight="1">
      <c r="C766" s="148"/>
      <c r="E766" s="149"/>
      <c r="H766" s="149"/>
      <c r="K766" s="149"/>
      <c r="AE766" s="149"/>
      <c r="AG766" s="149"/>
      <c r="AI766" s="149"/>
      <c r="AK766" s="149"/>
    </row>
    <row r="767" ht="15.75" customHeight="1">
      <c r="C767" s="148"/>
      <c r="E767" s="149"/>
      <c r="H767" s="149"/>
      <c r="K767" s="149"/>
      <c r="AE767" s="149"/>
      <c r="AG767" s="149"/>
      <c r="AI767" s="149"/>
      <c r="AK767" s="149"/>
    </row>
    <row r="768" ht="15.75" customHeight="1">
      <c r="C768" s="148"/>
      <c r="E768" s="149"/>
      <c r="H768" s="149"/>
      <c r="K768" s="149"/>
      <c r="AE768" s="149"/>
      <c r="AG768" s="149"/>
      <c r="AI768" s="149"/>
      <c r="AK768" s="149"/>
    </row>
    <row r="769" ht="15.75" customHeight="1">
      <c r="C769" s="148"/>
      <c r="E769" s="149"/>
      <c r="H769" s="149"/>
      <c r="K769" s="149"/>
      <c r="AE769" s="149"/>
      <c r="AG769" s="149"/>
      <c r="AI769" s="149"/>
      <c r="AK769" s="149"/>
    </row>
    <row r="770" ht="15.75" customHeight="1">
      <c r="C770" s="148"/>
      <c r="E770" s="149"/>
      <c r="H770" s="149"/>
      <c r="K770" s="149"/>
      <c r="AE770" s="149"/>
      <c r="AG770" s="149"/>
      <c r="AI770" s="149"/>
      <c r="AK770" s="149"/>
    </row>
    <row r="771" ht="15.75" customHeight="1">
      <c r="C771" s="148"/>
      <c r="E771" s="149"/>
      <c r="H771" s="149"/>
      <c r="K771" s="149"/>
      <c r="AE771" s="149"/>
      <c r="AG771" s="149"/>
      <c r="AI771" s="149"/>
      <c r="AK771" s="149"/>
    </row>
    <row r="772" ht="15.75" customHeight="1">
      <c r="C772" s="148"/>
      <c r="E772" s="149"/>
      <c r="H772" s="149"/>
      <c r="K772" s="149"/>
      <c r="AE772" s="149"/>
      <c r="AG772" s="149"/>
      <c r="AI772" s="149"/>
      <c r="AK772" s="149"/>
    </row>
    <row r="773" ht="15.75" customHeight="1">
      <c r="C773" s="148"/>
      <c r="E773" s="149"/>
      <c r="H773" s="149"/>
      <c r="K773" s="149"/>
      <c r="AE773" s="149"/>
      <c r="AG773" s="149"/>
      <c r="AI773" s="149"/>
      <c r="AK773" s="149"/>
    </row>
    <row r="774" ht="15.75" customHeight="1">
      <c r="C774" s="148"/>
      <c r="E774" s="149"/>
      <c r="H774" s="149"/>
      <c r="K774" s="149"/>
      <c r="AE774" s="149"/>
      <c r="AG774" s="149"/>
      <c r="AI774" s="149"/>
      <c r="AK774" s="149"/>
    </row>
    <row r="775" ht="15.75" customHeight="1">
      <c r="C775" s="148"/>
      <c r="E775" s="149"/>
      <c r="H775" s="149"/>
      <c r="K775" s="149"/>
      <c r="AE775" s="149"/>
      <c r="AG775" s="149"/>
      <c r="AI775" s="149"/>
      <c r="AK775" s="149"/>
    </row>
    <row r="776" ht="15.75" customHeight="1">
      <c r="C776" s="148"/>
      <c r="E776" s="149"/>
      <c r="H776" s="149"/>
      <c r="K776" s="149"/>
      <c r="AE776" s="149"/>
      <c r="AG776" s="149"/>
      <c r="AI776" s="149"/>
      <c r="AK776" s="149"/>
    </row>
    <row r="777" ht="15.75" customHeight="1">
      <c r="C777" s="148"/>
      <c r="E777" s="149"/>
      <c r="H777" s="149"/>
      <c r="K777" s="149"/>
      <c r="AE777" s="149"/>
      <c r="AG777" s="149"/>
      <c r="AI777" s="149"/>
      <c r="AK777" s="149"/>
    </row>
    <row r="778" ht="15.75" customHeight="1">
      <c r="C778" s="148"/>
      <c r="E778" s="149"/>
      <c r="H778" s="149"/>
      <c r="K778" s="149"/>
      <c r="AE778" s="149"/>
      <c r="AG778" s="149"/>
      <c r="AI778" s="149"/>
      <c r="AK778" s="149"/>
    </row>
    <row r="779" ht="15.75" customHeight="1">
      <c r="C779" s="148"/>
      <c r="E779" s="149"/>
      <c r="H779" s="149"/>
      <c r="K779" s="149"/>
      <c r="AE779" s="149"/>
      <c r="AG779" s="149"/>
      <c r="AI779" s="149"/>
      <c r="AK779" s="149"/>
    </row>
    <row r="780" ht="15.75" customHeight="1">
      <c r="C780" s="148"/>
      <c r="E780" s="149"/>
      <c r="H780" s="149"/>
      <c r="K780" s="149"/>
      <c r="AE780" s="149"/>
      <c r="AG780" s="149"/>
      <c r="AI780" s="149"/>
      <c r="AK780" s="149"/>
    </row>
    <row r="781" ht="15.75" customHeight="1">
      <c r="C781" s="148"/>
      <c r="E781" s="149"/>
      <c r="H781" s="149"/>
      <c r="K781" s="149"/>
      <c r="AE781" s="149"/>
      <c r="AG781" s="149"/>
      <c r="AI781" s="149"/>
      <c r="AK781" s="149"/>
    </row>
    <row r="782" ht="15.75" customHeight="1">
      <c r="C782" s="148"/>
      <c r="E782" s="149"/>
      <c r="H782" s="149"/>
      <c r="K782" s="149"/>
      <c r="AE782" s="149"/>
      <c r="AG782" s="149"/>
      <c r="AI782" s="149"/>
      <c r="AK782" s="149"/>
    </row>
    <row r="783" ht="15.75" customHeight="1">
      <c r="C783" s="148"/>
      <c r="E783" s="149"/>
      <c r="H783" s="149"/>
      <c r="K783" s="149"/>
      <c r="AE783" s="149"/>
      <c r="AG783" s="149"/>
      <c r="AI783" s="149"/>
      <c r="AK783" s="149"/>
    </row>
    <row r="784" ht="15.75" customHeight="1">
      <c r="C784" s="148"/>
      <c r="E784" s="149"/>
      <c r="H784" s="149"/>
      <c r="K784" s="149"/>
      <c r="AE784" s="149"/>
      <c r="AG784" s="149"/>
      <c r="AI784" s="149"/>
      <c r="AK784" s="149"/>
    </row>
    <row r="785" ht="15.75" customHeight="1">
      <c r="C785" s="148"/>
      <c r="E785" s="149"/>
      <c r="H785" s="149"/>
      <c r="K785" s="149"/>
      <c r="AE785" s="149"/>
      <c r="AG785" s="149"/>
      <c r="AI785" s="149"/>
      <c r="AK785" s="149"/>
    </row>
    <row r="786" ht="15.75" customHeight="1">
      <c r="C786" s="148"/>
      <c r="E786" s="149"/>
      <c r="H786" s="149"/>
      <c r="K786" s="149"/>
      <c r="AE786" s="149"/>
      <c r="AG786" s="149"/>
      <c r="AI786" s="149"/>
      <c r="AK786" s="149"/>
    </row>
    <row r="787" ht="15.75" customHeight="1">
      <c r="C787" s="148"/>
      <c r="E787" s="149"/>
      <c r="H787" s="149"/>
      <c r="K787" s="149"/>
      <c r="AE787" s="149"/>
      <c r="AG787" s="149"/>
      <c r="AI787" s="149"/>
      <c r="AK787" s="149"/>
    </row>
    <row r="788" ht="15.75" customHeight="1">
      <c r="C788" s="148"/>
      <c r="E788" s="149"/>
      <c r="H788" s="149"/>
      <c r="K788" s="149"/>
      <c r="AE788" s="149"/>
      <c r="AG788" s="149"/>
      <c r="AI788" s="149"/>
      <c r="AK788" s="149"/>
    </row>
    <row r="789" ht="15.75" customHeight="1">
      <c r="C789" s="148"/>
      <c r="E789" s="149"/>
      <c r="H789" s="149"/>
      <c r="K789" s="149"/>
      <c r="AE789" s="149"/>
      <c r="AG789" s="149"/>
      <c r="AI789" s="149"/>
      <c r="AK789" s="149"/>
    </row>
    <row r="790" ht="15.75" customHeight="1">
      <c r="C790" s="148"/>
      <c r="E790" s="149"/>
      <c r="H790" s="149"/>
      <c r="K790" s="149"/>
      <c r="AE790" s="149"/>
      <c r="AG790" s="149"/>
      <c r="AI790" s="149"/>
      <c r="AK790" s="149"/>
    </row>
    <row r="791" ht="15.75" customHeight="1">
      <c r="C791" s="148"/>
      <c r="E791" s="149"/>
      <c r="H791" s="149"/>
      <c r="K791" s="149"/>
      <c r="AE791" s="149"/>
      <c r="AG791" s="149"/>
      <c r="AI791" s="149"/>
      <c r="AK791" s="149"/>
    </row>
    <row r="792" ht="15.75" customHeight="1">
      <c r="C792" s="148"/>
      <c r="E792" s="149"/>
      <c r="H792" s="149"/>
      <c r="K792" s="149"/>
      <c r="AE792" s="149"/>
      <c r="AG792" s="149"/>
      <c r="AI792" s="149"/>
      <c r="AK792" s="149"/>
    </row>
    <row r="793" ht="15.75" customHeight="1">
      <c r="C793" s="148"/>
      <c r="E793" s="149"/>
      <c r="H793" s="149"/>
      <c r="K793" s="149"/>
      <c r="AE793" s="149"/>
      <c r="AG793" s="149"/>
      <c r="AI793" s="149"/>
      <c r="AK793" s="149"/>
    </row>
    <row r="794" ht="15.75" customHeight="1">
      <c r="C794" s="148"/>
      <c r="E794" s="149"/>
      <c r="H794" s="149"/>
      <c r="K794" s="149"/>
      <c r="AE794" s="149"/>
      <c r="AG794" s="149"/>
      <c r="AI794" s="149"/>
      <c r="AK794" s="149"/>
    </row>
    <row r="795" ht="15.75" customHeight="1">
      <c r="C795" s="148"/>
      <c r="E795" s="149"/>
      <c r="H795" s="149"/>
      <c r="K795" s="149"/>
      <c r="AE795" s="149"/>
      <c r="AG795" s="149"/>
      <c r="AI795" s="149"/>
      <c r="AK795" s="149"/>
    </row>
    <row r="796" ht="15.75" customHeight="1">
      <c r="C796" s="148"/>
      <c r="E796" s="149"/>
      <c r="H796" s="149"/>
      <c r="K796" s="149"/>
      <c r="AE796" s="149"/>
      <c r="AG796" s="149"/>
      <c r="AI796" s="149"/>
      <c r="AK796" s="149"/>
    </row>
    <row r="797" ht="15.75" customHeight="1">
      <c r="C797" s="148"/>
      <c r="E797" s="149"/>
      <c r="H797" s="149"/>
      <c r="K797" s="149"/>
      <c r="AE797" s="149"/>
      <c r="AG797" s="149"/>
      <c r="AI797" s="149"/>
      <c r="AK797" s="149"/>
    </row>
    <row r="798" ht="15.75" customHeight="1">
      <c r="C798" s="148"/>
      <c r="E798" s="149"/>
      <c r="H798" s="149"/>
      <c r="K798" s="149"/>
      <c r="AE798" s="149"/>
      <c r="AG798" s="149"/>
      <c r="AI798" s="149"/>
      <c r="AK798" s="149"/>
    </row>
    <row r="799" ht="15.75" customHeight="1">
      <c r="C799" s="148"/>
      <c r="E799" s="149"/>
      <c r="H799" s="149"/>
      <c r="K799" s="149"/>
      <c r="AE799" s="149"/>
      <c r="AG799" s="149"/>
      <c r="AI799" s="149"/>
      <c r="AK799" s="149"/>
    </row>
    <row r="800" ht="15.75" customHeight="1">
      <c r="C800" s="148"/>
      <c r="E800" s="149"/>
      <c r="H800" s="149"/>
      <c r="K800" s="149"/>
      <c r="AE800" s="149"/>
      <c r="AG800" s="149"/>
      <c r="AI800" s="149"/>
      <c r="AK800" s="149"/>
    </row>
    <row r="801" ht="15.75" customHeight="1">
      <c r="C801" s="148"/>
      <c r="E801" s="149"/>
      <c r="H801" s="149"/>
      <c r="K801" s="149"/>
      <c r="AE801" s="149"/>
      <c r="AG801" s="149"/>
      <c r="AI801" s="149"/>
      <c r="AK801" s="149"/>
    </row>
    <row r="802" ht="15.75" customHeight="1">
      <c r="C802" s="148"/>
      <c r="E802" s="149"/>
      <c r="H802" s="149"/>
      <c r="K802" s="149"/>
      <c r="AE802" s="149"/>
      <c r="AG802" s="149"/>
      <c r="AI802" s="149"/>
      <c r="AK802" s="149"/>
    </row>
    <row r="803" ht="15.75" customHeight="1">
      <c r="C803" s="148"/>
      <c r="E803" s="149"/>
      <c r="H803" s="149"/>
      <c r="K803" s="149"/>
      <c r="AE803" s="149"/>
      <c r="AG803" s="149"/>
      <c r="AI803" s="149"/>
      <c r="AK803" s="149"/>
    </row>
    <row r="804" ht="15.75" customHeight="1">
      <c r="C804" s="148"/>
      <c r="E804" s="149"/>
      <c r="H804" s="149"/>
      <c r="K804" s="149"/>
      <c r="AE804" s="149"/>
      <c r="AG804" s="149"/>
      <c r="AI804" s="149"/>
      <c r="AK804" s="149"/>
    </row>
    <row r="805" ht="15.75" customHeight="1">
      <c r="C805" s="148"/>
      <c r="E805" s="149"/>
      <c r="H805" s="149"/>
      <c r="K805" s="149"/>
      <c r="AE805" s="149"/>
      <c r="AG805" s="149"/>
      <c r="AI805" s="149"/>
      <c r="AK805" s="149"/>
    </row>
    <row r="806" ht="15.75" customHeight="1">
      <c r="C806" s="148"/>
      <c r="E806" s="149"/>
      <c r="H806" s="149"/>
      <c r="K806" s="149"/>
      <c r="AE806" s="149"/>
      <c r="AG806" s="149"/>
      <c r="AI806" s="149"/>
      <c r="AK806" s="149"/>
    </row>
    <row r="807" ht="15.75" customHeight="1">
      <c r="C807" s="148"/>
      <c r="E807" s="149"/>
      <c r="H807" s="149"/>
      <c r="K807" s="149"/>
      <c r="AE807" s="149"/>
      <c r="AG807" s="149"/>
      <c r="AI807" s="149"/>
      <c r="AK807" s="149"/>
    </row>
    <row r="808" ht="15.75" customHeight="1">
      <c r="C808" s="148"/>
      <c r="E808" s="149"/>
      <c r="H808" s="149"/>
      <c r="K808" s="149"/>
      <c r="AE808" s="149"/>
      <c r="AG808" s="149"/>
      <c r="AI808" s="149"/>
      <c r="AK808" s="149"/>
    </row>
    <row r="809" ht="15.75" customHeight="1">
      <c r="C809" s="148"/>
      <c r="E809" s="149"/>
      <c r="H809" s="149"/>
      <c r="K809" s="149"/>
      <c r="AE809" s="149"/>
      <c r="AG809" s="149"/>
      <c r="AI809" s="149"/>
      <c r="AK809" s="149"/>
    </row>
    <row r="810" ht="15.75" customHeight="1">
      <c r="C810" s="148"/>
      <c r="E810" s="149"/>
      <c r="H810" s="149"/>
      <c r="K810" s="149"/>
      <c r="AE810" s="149"/>
      <c r="AG810" s="149"/>
      <c r="AI810" s="149"/>
      <c r="AK810" s="149"/>
    </row>
    <row r="811" ht="15.75" customHeight="1">
      <c r="C811" s="148"/>
      <c r="E811" s="149"/>
      <c r="H811" s="149"/>
      <c r="K811" s="149"/>
      <c r="AE811" s="149"/>
      <c r="AG811" s="149"/>
      <c r="AI811" s="149"/>
      <c r="AK811" s="149"/>
    </row>
    <row r="812" ht="15.75" customHeight="1">
      <c r="C812" s="148"/>
      <c r="E812" s="149"/>
      <c r="H812" s="149"/>
      <c r="K812" s="149"/>
      <c r="AE812" s="149"/>
      <c r="AG812" s="149"/>
      <c r="AI812" s="149"/>
      <c r="AK812" s="149"/>
    </row>
    <row r="813" ht="15.75" customHeight="1">
      <c r="C813" s="148"/>
      <c r="E813" s="149"/>
      <c r="H813" s="149"/>
      <c r="K813" s="149"/>
      <c r="AE813" s="149"/>
      <c r="AG813" s="149"/>
      <c r="AI813" s="149"/>
      <c r="AK813" s="149"/>
    </row>
    <row r="814" ht="15.75" customHeight="1">
      <c r="C814" s="148"/>
      <c r="E814" s="149"/>
      <c r="H814" s="149"/>
      <c r="K814" s="149"/>
      <c r="AE814" s="149"/>
      <c r="AG814" s="149"/>
      <c r="AI814" s="149"/>
      <c r="AK814" s="149"/>
    </row>
    <row r="815" ht="15.75" customHeight="1">
      <c r="C815" s="148"/>
      <c r="E815" s="149"/>
      <c r="H815" s="149"/>
      <c r="K815" s="149"/>
      <c r="AE815" s="149"/>
      <c r="AG815" s="149"/>
      <c r="AI815" s="149"/>
      <c r="AK815" s="149"/>
    </row>
    <row r="816" ht="15.75" customHeight="1">
      <c r="C816" s="148"/>
      <c r="E816" s="149"/>
      <c r="H816" s="149"/>
      <c r="K816" s="149"/>
      <c r="AE816" s="149"/>
      <c r="AG816" s="149"/>
      <c r="AI816" s="149"/>
      <c r="AK816" s="149"/>
    </row>
    <row r="817" ht="15.75" customHeight="1">
      <c r="C817" s="148"/>
      <c r="E817" s="149"/>
      <c r="H817" s="149"/>
      <c r="K817" s="149"/>
      <c r="AE817" s="149"/>
      <c r="AG817" s="149"/>
      <c r="AI817" s="149"/>
      <c r="AK817" s="149"/>
    </row>
    <row r="818" ht="15.75" customHeight="1">
      <c r="C818" s="148"/>
      <c r="E818" s="149"/>
      <c r="H818" s="149"/>
      <c r="K818" s="149"/>
      <c r="AE818" s="149"/>
      <c r="AG818" s="149"/>
      <c r="AI818" s="149"/>
      <c r="AK818" s="149"/>
    </row>
    <row r="819" ht="15.75" customHeight="1">
      <c r="C819" s="148"/>
      <c r="E819" s="149"/>
      <c r="H819" s="149"/>
      <c r="K819" s="149"/>
      <c r="AE819" s="149"/>
      <c r="AG819" s="149"/>
      <c r="AI819" s="149"/>
      <c r="AK819" s="149"/>
    </row>
    <row r="820" ht="15.75" customHeight="1">
      <c r="C820" s="148"/>
      <c r="E820" s="149"/>
      <c r="H820" s="149"/>
      <c r="K820" s="149"/>
      <c r="AE820" s="149"/>
      <c r="AG820" s="149"/>
      <c r="AI820" s="149"/>
      <c r="AK820" s="149"/>
    </row>
    <row r="821" ht="15.75" customHeight="1">
      <c r="C821" s="148"/>
      <c r="E821" s="149"/>
      <c r="H821" s="149"/>
      <c r="K821" s="149"/>
      <c r="AE821" s="149"/>
      <c r="AG821" s="149"/>
      <c r="AI821" s="149"/>
      <c r="AK821" s="149"/>
    </row>
    <row r="822" ht="15.75" customHeight="1">
      <c r="C822" s="148"/>
      <c r="E822" s="149"/>
      <c r="H822" s="149"/>
      <c r="K822" s="149"/>
      <c r="AE822" s="149"/>
      <c r="AG822" s="149"/>
      <c r="AI822" s="149"/>
      <c r="AK822" s="149"/>
    </row>
    <row r="823" ht="15.75" customHeight="1">
      <c r="C823" s="148"/>
      <c r="E823" s="149"/>
      <c r="H823" s="149"/>
      <c r="K823" s="149"/>
      <c r="AE823" s="149"/>
      <c r="AG823" s="149"/>
      <c r="AI823" s="149"/>
      <c r="AK823" s="149"/>
    </row>
    <row r="824" ht="15.75" customHeight="1">
      <c r="C824" s="148"/>
      <c r="E824" s="149"/>
      <c r="H824" s="149"/>
      <c r="K824" s="149"/>
      <c r="AE824" s="149"/>
      <c r="AG824" s="149"/>
      <c r="AI824" s="149"/>
      <c r="AK824" s="149"/>
    </row>
    <row r="825" ht="15.75" customHeight="1">
      <c r="C825" s="148"/>
      <c r="E825" s="149"/>
      <c r="H825" s="149"/>
      <c r="K825" s="149"/>
      <c r="AE825" s="149"/>
      <c r="AG825" s="149"/>
      <c r="AI825" s="149"/>
      <c r="AK825" s="149"/>
    </row>
    <row r="826" ht="15.75" customHeight="1">
      <c r="C826" s="148"/>
      <c r="E826" s="149"/>
      <c r="H826" s="149"/>
      <c r="K826" s="149"/>
      <c r="AE826" s="149"/>
      <c r="AG826" s="149"/>
      <c r="AI826" s="149"/>
      <c r="AK826" s="149"/>
    </row>
    <row r="827" ht="15.75" customHeight="1">
      <c r="C827" s="148"/>
      <c r="E827" s="149"/>
      <c r="H827" s="149"/>
      <c r="K827" s="149"/>
      <c r="AE827" s="149"/>
      <c r="AG827" s="149"/>
      <c r="AI827" s="149"/>
      <c r="AK827" s="149"/>
    </row>
    <row r="828" ht="15.75" customHeight="1">
      <c r="C828" s="148"/>
      <c r="E828" s="149"/>
      <c r="H828" s="149"/>
      <c r="K828" s="149"/>
      <c r="AE828" s="149"/>
      <c r="AG828" s="149"/>
      <c r="AI828" s="149"/>
      <c r="AK828" s="149"/>
    </row>
    <row r="829" ht="15.75" customHeight="1">
      <c r="C829" s="148"/>
      <c r="E829" s="149"/>
      <c r="H829" s="149"/>
      <c r="K829" s="149"/>
      <c r="AE829" s="149"/>
      <c r="AG829" s="149"/>
      <c r="AI829" s="149"/>
      <c r="AK829" s="149"/>
    </row>
    <row r="830" ht="15.75" customHeight="1">
      <c r="C830" s="148"/>
      <c r="E830" s="149"/>
      <c r="H830" s="149"/>
      <c r="K830" s="149"/>
      <c r="AE830" s="149"/>
      <c r="AG830" s="149"/>
      <c r="AI830" s="149"/>
      <c r="AK830" s="149"/>
    </row>
    <row r="831" ht="15.75" customHeight="1">
      <c r="C831" s="148"/>
      <c r="E831" s="149"/>
      <c r="H831" s="149"/>
      <c r="K831" s="149"/>
      <c r="AE831" s="149"/>
      <c r="AG831" s="149"/>
      <c r="AI831" s="149"/>
      <c r="AK831" s="149"/>
    </row>
    <row r="832" ht="15.75" customHeight="1">
      <c r="C832" s="148"/>
      <c r="E832" s="149"/>
      <c r="H832" s="149"/>
      <c r="K832" s="149"/>
      <c r="AE832" s="149"/>
      <c r="AG832" s="149"/>
      <c r="AI832" s="149"/>
      <c r="AK832" s="149"/>
    </row>
    <row r="833" ht="15.75" customHeight="1">
      <c r="C833" s="148"/>
      <c r="E833" s="149"/>
      <c r="H833" s="149"/>
      <c r="K833" s="149"/>
      <c r="AE833" s="149"/>
      <c r="AG833" s="149"/>
      <c r="AI833" s="149"/>
      <c r="AK833" s="149"/>
    </row>
    <row r="834" ht="15.75" customHeight="1">
      <c r="C834" s="148"/>
      <c r="E834" s="149"/>
      <c r="H834" s="149"/>
      <c r="K834" s="149"/>
      <c r="AE834" s="149"/>
      <c r="AG834" s="149"/>
      <c r="AI834" s="149"/>
      <c r="AK834" s="149"/>
    </row>
    <row r="835" ht="15.75" customHeight="1">
      <c r="C835" s="148"/>
      <c r="E835" s="149"/>
      <c r="H835" s="149"/>
      <c r="K835" s="149"/>
      <c r="AE835" s="149"/>
      <c r="AG835" s="149"/>
      <c r="AI835" s="149"/>
      <c r="AK835" s="149"/>
    </row>
    <row r="836" ht="15.75" customHeight="1">
      <c r="C836" s="148"/>
      <c r="E836" s="149"/>
      <c r="H836" s="149"/>
      <c r="K836" s="149"/>
      <c r="AE836" s="149"/>
      <c r="AG836" s="149"/>
      <c r="AI836" s="149"/>
      <c r="AK836" s="149"/>
    </row>
    <row r="837" ht="15.75" customHeight="1">
      <c r="C837" s="148"/>
      <c r="E837" s="149"/>
      <c r="H837" s="149"/>
      <c r="K837" s="149"/>
      <c r="AE837" s="149"/>
      <c r="AG837" s="149"/>
      <c r="AI837" s="149"/>
      <c r="AK837" s="149"/>
    </row>
    <row r="838" ht="15.75" customHeight="1">
      <c r="C838" s="148"/>
      <c r="E838" s="149"/>
      <c r="H838" s="149"/>
      <c r="K838" s="149"/>
      <c r="AE838" s="149"/>
      <c r="AG838" s="149"/>
      <c r="AI838" s="149"/>
      <c r="AK838" s="149"/>
    </row>
    <row r="839" ht="15.75" customHeight="1">
      <c r="C839" s="148"/>
      <c r="E839" s="149"/>
      <c r="H839" s="149"/>
      <c r="K839" s="149"/>
      <c r="AE839" s="149"/>
      <c r="AG839" s="149"/>
      <c r="AI839" s="149"/>
      <c r="AK839" s="149"/>
    </row>
    <row r="840" ht="15.75" customHeight="1">
      <c r="C840" s="148"/>
      <c r="E840" s="149"/>
      <c r="H840" s="149"/>
      <c r="K840" s="149"/>
      <c r="AE840" s="149"/>
      <c r="AG840" s="149"/>
      <c r="AI840" s="149"/>
      <c r="AK840" s="149"/>
    </row>
    <row r="841" ht="15.75" customHeight="1">
      <c r="C841" s="148"/>
      <c r="E841" s="149"/>
      <c r="H841" s="149"/>
      <c r="K841" s="149"/>
      <c r="AE841" s="149"/>
      <c r="AG841" s="149"/>
      <c r="AI841" s="149"/>
      <c r="AK841" s="149"/>
    </row>
    <row r="842" ht="15.75" customHeight="1">
      <c r="C842" s="148"/>
      <c r="E842" s="149"/>
      <c r="H842" s="149"/>
      <c r="K842" s="149"/>
      <c r="AE842" s="149"/>
      <c r="AG842" s="149"/>
      <c r="AI842" s="149"/>
      <c r="AK842" s="149"/>
    </row>
    <row r="843" ht="15.75" customHeight="1">
      <c r="C843" s="148"/>
      <c r="E843" s="149"/>
      <c r="H843" s="149"/>
      <c r="K843" s="149"/>
      <c r="AE843" s="149"/>
      <c r="AG843" s="149"/>
      <c r="AI843" s="149"/>
      <c r="AK843" s="149"/>
    </row>
    <row r="844" ht="15.75" customHeight="1">
      <c r="C844" s="148"/>
      <c r="E844" s="149"/>
      <c r="H844" s="149"/>
      <c r="K844" s="149"/>
      <c r="AE844" s="149"/>
      <c r="AG844" s="149"/>
      <c r="AI844" s="149"/>
      <c r="AK844" s="149"/>
    </row>
    <row r="845" ht="15.75" customHeight="1">
      <c r="C845" s="148"/>
      <c r="E845" s="149"/>
      <c r="H845" s="149"/>
      <c r="K845" s="149"/>
      <c r="AE845" s="149"/>
      <c r="AG845" s="149"/>
      <c r="AI845" s="149"/>
      <c r="AK845" s="149"/>
    </row>
    <row r="846" ht="15.75" customHeight="1">
      <c r="C846" s="148"/>
      <c r="E846" s="149"/>
      <c r="H846" s="149"/>
      <c r="K846" s="149"/>
      <c r="AE846" s="149"/>
      <c r="AG846" s="149"/>
      <c r="AI846" s="149"/>
      <c r="AK846" s="149"/>
    </row>
    <row r="847" ht="15.75" customHeight="1">
      <c r="C847" s="148"/>
      <c r="E847" s="149"/>
      <c r="H847" s="149"/>
      <c r="K847" s="149"/>
      <c r="AE847" s="149"/>
      <c r="AG847" s="149"/>
      <c r="AI847" s="149"/>
      <c r="AK847" s="149"/>
    </row>
    <row r="848" ht="15.75" customHeight="1">
      <c r="C848" s="148"/>
      <c r="E848" s="149"/>
      <c r="H848" s="149"/>
      <c r="K848" s="149"/>
      <c r="AE848" s="149"/>
      <c r="AG848" s="149"/>
      <c r="AI848" s="149"/>
      <c r="AK848" s="149"/>
    </row>
    <row r="849" ht="15.75" customHeight="1">
      <c r="C849" s="148"/>
      <c r="E849" s="149"/>
      <c r="H849" s="149"/>
      <c r="K849" s="149"/>
      <c r="AE849" s="149"/>
      <c r="AG849" s="149"/>
      <c r="AI849" s="149"/>
      <c r="AK849" s="149"/>
    </row>
    <row r="850" ht="15.75" customHeight="1">
      <c r="C850" s="148"/>
      <c r="E850" s="149"/>
      <c r="H850" s="149"/>
      <c r="K850" s="149"/>
      <c r="AE850" s="149"/>
      <c r="AG850" s="149"/>
      <c r="AI850" s="149"/>
      <c r="AK850" s="149"/>
    </row>
    <row r="851" ht="15.75" customHeight="1">
      <c r="C851" s="148"/>
      <c r="E851" s="149"/>
      <c r="H851" s="149"/>
      <c r="K851" s="149"/>
      <c r="AE851" s="149"/>
      <c r="AG851" s="149"/>
      <c r="AI851" s="149"/>
      <c r="AK851" s="149"/>
    </row>
    <row r="852" ht="15.75" customHeight="1">
      <c r="C852" s="148"/>
      <c r="E852" s="149"/>
      <c r="H852" s="149"/>
      <c r="K852" s="149"/>
      <c r="AE852" s="149"/>
      <c r="AG852" s="149"/>
      <c r="AI852" s="149"/>
      <c r="AK852" s="149"/>
    </row>
    <row r="853" ht="15.75" customHeight="1">
      <c r="C853" s="148"/>
      <c r="E853" s="149"/>
      <c r="H853" s="149"/>
      <c r="K853" s="149"/>
      <c r="AE853" s="149"/>
      <c r="AG853" s="149"/>
      <c r="AI853" s="149"/>
      <c r="AK853" s="149"/>
    </row>
    <row r="854" ht="15.75" customHeight="1">
      <c r="C854" s="148"/>
      <c r="E854" s="149"/>
      <c r="H854" s="149"/>
      <c r="K854" s="149"/>
      <c r="AE854" s="149"/>
      <c r="AG854" s="149"/>
      <c r="AI854" s="149"/>
      <c r="AK854" s="149"/>
    </row>
    <row r="855" ht="15.75" customHeight="1">
      <c r="C855" s="148"/>
      <c r="E855" s="149"/>
      <c r="H855" s="149"/>
      <c r="K855" s="149"/>
      <c r="AE855" s="149"/>
      <c r="AG855" s="149"/>
      <c r="AI855" s="149"/>
      <c r="AK855" s="149"/>
    </row>
    <row r="856" ht="15.75" customHeight="1">
      <c r="C856" s="148"/>
      <c r="E856" s="149"/>
      <c r="H856" s="149"/>
      <c r="K856" s="149"/>
      <c r="AE856" s="149"/>
      <c r="AG856" s="149"/>
      <c r="AI856" s="149"/>
      <c r="AK856" s="149"/>
    </row>
    <row r="857" ht="15.75" customHeight="1">
      <c r="C857" s="148"/>
      <c r="E857" s="149"/>
      <c r="H857" s="149"/>
      <c r="K857" s="149"/>
      <c r="AE857" s="149"/>
      <c r="AG857" s="149"/>
      <c r="AI857" s="149"/>
      <c r="AK857" s="149"/>
    </row>
    <row r="858" ht="15.75" customHeight="1">
      <c r="C858" s="148"/>
      <c r="E858" s="149"/>
      <c r="H858" s="149"/>
      <c r="K858" s="149"/>
      <c r="AE858" s="149"/>
      <c r="AG858" s="149"/>
      <c r="AI858" s="149"/>
      <c r="AK858" s="149"/>
    </row>
    <row r="859" ht="15.75" customHeight="1">
      <c r="C859" s="148"/>
      <c r="E859" s="149"/>
      <c r="H859" s="149"/>
      <c r="K859" s="149"/>
      <c r="AE859" s="149"/>
      <c r="AG859" s="149"/>
      <c r="AI859" s="149"/>
      <c r="AK859" s="149"/>
    </row>
    <row r="860" ht="15.75" customHeight="1">
      <c r="C860" s="148"/>
      <c r="E860" s="149"/>
      <c r="H860" s="149"/>
      <c r="K860" s="149"/>
      <c r="AE860" s="149"/>
      <c r="AG860" s="149"/>
      <c r="AI860" s="149"/>
      <c r="AK860" s="149"/>
    </row>
    <row r="861" ht="15.75" customHeight="1">
      <c r="C861" s="148"/>
      <c r="E861" s="149"/>
      <c r="H861" s="149"/>
      <c r="K861" s="149"/>
      <c r="AE861" s="149"/>
      <c r="AG861" s="149"/>
      <c r="AI861" s="149"/>
      <c r="AK861" s="149"/>
    </row>
    <row r="862" ht="15.75" customHeight="1">
      <c r="C862" s="148"/>
      <c r="E862" s="149"/>
      <c r="H862" s="149"/>
      <c r="K862" s="149"/>
      <c r="AE862" s="149"/>
      <c r="AG862" s="149"/>
      <c r="AI862" s="149"/>
      <c r="AK862" s="149"/>
    </row>
    <row r="863" ht="15.75" customHeight="1">
      <c r="C863" s="148"/>
      <c r="E863" s="149"/>
      <c r="H863" s="149"/>
      <c r="K863" s="149"/>
      <c r="AE863" s="149"/>
      <c r="AG863" s="149"/>
      <c r="AI863" s="149"/>
      <c r="AK863" s="149"/>
    </row>
    <row r="864" ht="15.75" customHeight="1">
      <c r="C864" s="148"/>
      <c r="E864" s="149"/>
      <c r="H864" s="149"/>
      <c r="K864" s="149"/>
      <c r="AE864" s="149"/>
      <c r="AG864" s="149"/>
      <c r="AI864" s="149"/>
      <c r="AK864" s="149"/>
    </row>
    <row r="865" ht="15.75" customHeight="1">
      <c r="C865" s="148"/>
      <c r="E865" s="149"/>
      <c r="H865" s="149"/>
      <c r="K865" s="149"/>
      <c r="AE865" s="149"/>
      <c r="AG865" s="149"/>
      <c r="AI865" s="149"/>
      <c r="AK865" s="149"/>
    </row>
    <row r="866" ht="15.75" customHeight="1">
      <c r="C866" s="148"/>
      <c r="E866" s="149"/>
      <c r="H866" s="149"/>
      <c r="K866" s="149"/>
      <c r="AE866" s="149"/>
      <c r="AG866" s="149"/>
      <c r="AI866" s="149"/>
      <c r="AK866" s="149"/>
    </row>
    <row r="867" ht="15.75" customHeight="1">
      <c r="C867" s="148"/>
      <c r="E867" s="149"/>
      <c r="H867" s="149"/>
      <c r="K867" s="149"/>
      <c r="AE867" s="149"/>
      <c r="AG867" s="149"/>
      <c r="AI867" s="149"/>
      <c r="AK867" s="149"/>
    </row>
    <row r="868" ht="15.75" customHeight="1">
      <c r="C868" s="148"/>
      <c r="E868" s="149"/>
      <c r="H868" s="149"/>
      <c r="K868" s="149"/>
      <c r="AE868" s="149"/>
      <c r="AG868" s="149"/>
      <c r="AI868" s="149"/>
      <c r="AK868" s="149"/>
    </row>
    <row r="869" ht="15.75" customHeight="1">
      <c r="C869" s="148"/>
      <c r="E869" s="149"/>
      <c r="H869" s="149"/>
      <c r="K869" s="149"/>
      <c r="AE869" s="149"/>
      <c r="AG869" s="149"/>
      <c r="AI869" s="149"/>
      <c r="AK869" s="149"/>
    </row>
    <row r="870" ht="15.75" customHeight="1">
      <c r="C870" s="148"/>
      <c r="E870" s="149"/>
      <c r="H870" s="149"/>
      <c r="K870" s="149"/>
      <c r="AE870" s="149"/>
      <c r="AG870" s="149"/>
      <c r="AI870" s="149"/>
      <c r="AK870" s="149"/>
    </row>
    <row r="871" ht="15.75" customHeight="1">
      <c r="C871" s="148"/>
      <c r="E871" s="149"/>
      <c r="H871" s="149"/>
      <c r="K871" s="149"/>
      <c r="AE871" s="149"/>
      <c r="AG871" s="149"/>
      <c r="AI871" s="149"/>
      <c r="AK871" s="149"/>
    </row>
    <row r="872" ht="15.75" customHeight="1">
      <c r="C872" s="148"/>
      <c r="E872" s="149"/>
      <c r="H872" s="149"/>
      <c r="K872" s="149"/>
      <c r="AE872" s="149"/>
      <c r="AG872" s="149"/>
      <c r="AI872" s="149"/>
      <c r="AK872" s="149"/>
    </row>
    <row r="873" ht="15.75" customHeight="1">
      <c r="C873" s="148"/>
      <c r="E873" s="149"/>
      <c r="H873" s="149"/>
      <c r="K873" s="149"/>
      <c r="AE873" s="149"/>
      <c r="AG873" s="149"/>
      <c r="AI873" s="149"/>
      <c r="AK873" s="149"/>
    </row>
    <row r="874" ht="15.75" customHeight="1">
      <c r="C874" s="148"/>
      <c r="E874" s="149"/>
      <c r="H874" s="149"/>
      <c r="K874" s="149"/>
      <c r="AE874" s="149"/>
      <c r="AG874" s="149"/>
      <c r="AI874" s="149"/>
      <c r="AK874" s="149"/>
    </row>
    <row r="875" ht="15.75" customHeight="1">
      <c r="C875" s="148"/>
      <c r="E875" s="149"/>
      <c r="H875" s="149"/>
      <c r="K875" s="149"/>
      <c r="AE875" s="149"/>
      <c r="AG875" s="149"/>
      <c r="AI875" s="149"/>
      <c r="AK875" s="149"/>
    </row>
    <row r="876" ht="15.75" customHeight="1">
      <c r="C876" s="148"/>
      <c r="E876" s="149"/>
      <c r="H876" s="149"/>
      <c r="K876" s="149"/>
      <c r="AE876" s="149"/>
      <c r="AG876" s="149"/>
      <c r="AI876" s="149"/>
      <c r="AK876" s="149"/>
    </row>
    <row r="877" ht="15.75" customHeight="1">
      <c r="C877" s="148"/>
      <c r="E877" s="149"/>
      <c r="H877" s="149"/>
      <c r="K877" s="149"/>
      <c r="AE877" s="149"/>
      <c r="AG877" s="149"/>
      <c r="AI877" s="149"/>
      <c r="AK877" s="149"/>
    </row>
    <row r="878" ht="15.75" customHeight="1">
      <c r="C878" s="148"/>
      <c r="E878" s="149"/>
      <c r="H878" s="149"/>
      <c r="K878" s="149"/>
      <c r="AE878" s="149"/>
      <c r="AG878" s="149"/>
      <c r="AI878" s="149"/>
      <c r="AK878" s="149"/>
    </row>
    <row r="879" ht="15.75" customHeight="1">
      <c r="C879" s="148"/>
      <c r="E879" s="149"/>
      <c r="H879" s="149"/>
      <c r="K879" s="149"/>
      <c r="AE879" s="149"/>
      <c r="AG879" s="149"/>
      <c r="AI879" s="149"/>
      <c r="AK879" s="149"/>
    </row>
    <row r="880" ht="15.75" customHeight="1">
      <c r="C880" s="148"/>
      <c r="E880" s="149"/>
      <c r="H880" s="149"/>
      <c r="K880" s="149"/>
      <c r="AE880" s="149"/>
      <c r="AG880" s="149"/>
      <c r="AI880" s="149"/>
      <c r="AK880" s="149"/>
    </row>
    <row r="881" ht="15.75" customHeight="1">
      <c r="C881" s="148"/>
      <c r="E881" s="149"/>
      <c r="H881" s="149"/>
      <c r="K881" s="149"/>
      <c r="AE881" s="149"/>
      <c r="AG881" s="149"/>
      <c r="AI881" s="149"/>
      <c r="AK881" s="149"/>
    </row>
    <row r="882" ht="15.75" customHeight="1">
      <c r="C882" s="148"/>
      <c r="E882" s="149"/>
      <c r="H882" s="149"/>
      <c r="K882" s="149"/>
      <c r="AE882" s="149"/>
      <c r="AG882" s="149"/>
      <c r="AI882" s="149"/>
      <c r="AK882" s="149"/>
    </row>
    <row r="883" ht="15.75" customHeight="1">
      <c r="C883" s="148"/>
      <c r="E883" s="149"/>
      <c r="H883" s="149"/>
      <c r="K883" s="149"/>
      <c r="AE883" s="149"/>
      <c r="AG883" s="149"/>
      <c r="AI883" s="149"/>
      <c r="AK883" s="149"/>
    </row>
    <row r="884" ht="15.75" customHeight="1">
      <c r="C884" s="148"/>
      <c r="E884" s="149"/>
      <c r="H884" s="149"/>
      <c r="K884" s="149"/>
      <c r="AE884" s="149"/>
      <c r="AG884" s="149"/>
      <c r="AI884" s="149"/>
      <c r="AK884" s="149"/>
    </row>
    <row r="885" ht="15.75" customHeight="1">
      <c r="C885" s="148"/>
      <c r="E885" s="149"/>
      <c r="H885" s="149"/>
      <c r="K885" s="149"/>
      <c r="AE885" s="149"/>
      <c r="AG885" s="149"/>
      <c r="AI885" s="149"/>
      <c r="AK885" s="149"/>
    </row>
    <row r="886" ht="15.75" customHeight="1">
      <c r="C886" s="148"/>
      <c r="E886" s="149"/>
      <c r="H886" s="149"/>
      <c r="K886" s="149"/>
      <c r="AE886" s="149"/>
      <c r="AG886" s="149"/>
      <c r="AI886" s="149"/>
      <c r="AK886" s="149"/>
    </row>
    <row r="887" ht="15.75" customHeight="1">
      <c r="C887" s="148"/>
      <c r="E887" s="149"/>
      <c r="H887" s="149"/>
      <c r="K887" s="149"/>
      <c r="AE887" s="149"/>
      <c r="AG887" s="149"/>
      <c r="AI887" s="149"/>
      <c r="AK887" s="149"/>
    </row>
    <row r="888" ht="15.75" customHeight="1">
      <c r="C888" s="148"/>
      <c r="E888" s="149"/>
      <c r="H888" s="149"/>
      <c r="K888" s="149"/>
      <c r="AE888" s="149"/>
      <c r="AG888" s="149"/>
      <c r="AI888" s="149"/>
      <c r="AK888" s="149"/>
    </row>
    <row r="889" ht="15.75" customHeight="1">
      <c r="C889" s="148"/>
      <c r="E889" s="149"/>
      <c r="H889" s="149"/>
      <c r="K889" s="149"/>
      <c r="AE889" s="149"/>
      <c r="AG889" s="149"/>
      <c r="AI889" s="149"/>
      <c r="AK889" s="149"/>
    </row>
    <row r="890" ht="15.75" customHeight="1">
      <c r="C890" s="148"/>
      <c r="E890" s="149"/>
      <c r="H890" s="149"/>
      <c r="K890" s="149"/>
      <c r="AE890" s="149"/>
      <c r="AG890" s="149"/>
      <c r="AI890" s="149"/>
      <c r="AK890" s="149"/>
    </row>
    <row r="891" ht="15.75" customHeight="1">
      <c r="C891" s="148"/>
      <c r="E891" s="149"/>
      <c r="H891" s="149"/>
      <c r="K891" s="149"/>
      <c r="AE891" s="149"/>
      <c r="AG891" s="149"/>
      <c r="AI891" s="149"/>
      <c r="AK891" s="149"/>
    </row>
    <row r="892" ht="15.75" customHeight="1">
      <c r="C892" s="148"/>
      <c r="E892" s="149"/>
      <c r="H892" s="149"/>
      <c r="K892" s="149"/>
      <c r="AE892" s="149"/>
      <c r="AG892" s="149"/>
      <c r="AI892" s="149"/>
      <c r="AK892" s="149"/>
    </row>
    <row r="893" ht="15.75" customHeight="1">
      <c r="C893" s="148"/>
      <c r="E893" s="149"/>
      <c r="H893" s="149"/>
      <c r="K893" s="149"/>
      <c r="AE893" s="149"/>
      <c r="AG893" s="149"/>
      <c r="AI893" s="149"/>
      <c r="AK893" s="149"/>
    </row>
    <row r="894" ht="15.75" customHeight="1">
      <c r="C894" s="148"/>
      <c r="E894" s="149"/>
      <c r="H894" s="149"/>
      <c r="K894" s="149"/>
      <c r="AE894" s="149"/>
      <c r="AG894" s="149"/>
      <c r="AI894" s="149"/>
      <c r="AK894" s="149"/>
    </row>
    <row r="895" ht="15.75" customHeight="1">
      <c r="C895" s="148"/>
      <c r="E895" s="149"/>
      <c r="H895" s="149"/>
      <c r="K895" s="149"/>
      <c r="AE895" s="149"/>
      <c r="AG895" s="149"/>
      <c r="AI895" s="149"/>
      <c r="AK895" s="149"/>
    </row>
    <row r="896" ht="15.75" customHeight="1">
      <c r="C896" s="148"/>
      <c r="E896" s="149"/>
      <c r="H896" s="149"/>
      <c r="K896" s="149"/>
      <c r="AE896" s="149"/>
      <c r="AG896" s="149"/>
      <c r="AI896" s="149"/>
      <c r="AK896" s="149"/>
    </row>
    <row r="897" ht="15.75" customHeight="1">
      <c r="C897" s="148"/>
      <c r="E897" s="149"/>
      <c r="H897" s="149"/>
      <c r="K897" s="149"/>
      <c r="AE897" s="149"/>
      <c r="AG897" s="149"/>
      <c r="AI897" s="149"/>
      <c r="AK897" s="149"/>
    </row>
    <row r="898" ht="15.75" customHeight="1">
      <c r="C898" s="148"/>
      <c r="E898" s="149"/>
      <c r="H898" s="149"/>
      <c r="K898" s="149"/>
      <c r="AE898" s="149"/>
      <c r="AG898" s="149"/>
      <c r="AI898" s="149"/>
      <c r="AK898" s="149"/>
    </row>
    <row r="899" ht="15.75" customHeight="1">
      <c r="C899" s="148"/>
      <c r="E899" s="149"/>
      <c r="H899" s="149"/>
      <c r="K899" s="149"/>
      <c r="AE899" s="149"/>
      <c r="AG899" s="149"/>
      <c r="AI899" s="149"/>
      <c r="AK899" s="149"/>
    </row>
    <row r="900" ht="15.75" customHeight="1">
      <c r="C900" s="148"/>
      <c r="E900" s="149"/>
      <c r="H900" s="149"/>
      <c r="K900" s="149"/>
      <c r="AE900" s="149"/>
      <c r="AG900" s="149"/>
      <c r="AI900" s="149"/>
      <c r="AK900" s="149"/>
    </row>
    <row r="901" ht="15.75" customHeight="1">
      <c r="C901" s="148"/>
      <c r="E901" s="149"/>
      <c r="H901" s="149"/>
      <c r="K901" s="149"/>
      <c r="AE901" s="149"/>
      <c r="AG901" s="149"/>
      <c r="AI901" s="149"/>
      <c r="AK901" s="149"/>
    </row>
    <row r="902" ht="15.75" customHeight="1">
      <c r="C902" s="148"/>
      <c r="E902" s="149"/>
      <c r="H902" s="149"/>
      <c r="K902" s="149"/>
      <c r="AE902" s="149"/>
      <c r="AG902" s="149"/>
      <c r="AI902" s="149"/>
      <c r="AK902" s="149"/>
    </row>
    <row r="903" ht="15.75" customHeight="1">
      <c r="C903" s="148"/>
      <c r="E903" s="149"/>
      <c r="H903" s="149"/>
      <c r="K903" s="149"/>
      <c r="AE903" s="149"/>
      <c r="AG903" s="149"/>
      <c r="AI903" s="149"/>
      <c r="AK903" s="149"/>
    </row>
    <row r="904" ht="15.75" customHeight="1">
      <c r="C904" s="148"/>
      <c r="E904" s="149"/>
      <c r="H904" s="149"/>
      <c r="K904" s="149"/>
      <c r="AE904" s="149"/>
      <c r="AG904" s="149"/>
      <c r="AI904" s="149"/>
      <c r="AK904" s="149"/>
    </row>
    <row r="905" ht="15.75" customHeight="1">
      <c r="C905" s="148"/>
      <c r="E905" s="149"/>
      <c r="H905" s="149"/>
      <c r="K905" s="149"/>
      <c r="AE905" s="149"/>
      <c r="AG905" s="149"/>
      <c r="AI905" s="149"/>
      <c r="AK905" s="149"/>
    </row>
    <row r="906" ht="15.75" customHeight="1">
      <c r="C906" s="148"/>
      <c r="E906" s="149"/>
      <c r="H906" s="149"/>
      <c r="K906" s="149"/>
      <c r="AE906" s="149"/>
      <c r="AG906" s="149"/>
      <c r="AI906" s="149"/>
      <c r="AK906" s="149"/>
    </row>
    <row r="907" ht="15.75" customHeight="1">
      <c r="C907" s="148"/>
      <c r="E907" s="149"/>
      <c r="H907" s="149"/>
      <c r="K907" s="149"/>
      <c r="AE907" s="149"/>
      <c r="AG907" s="149"/>
      <c r="AI907" s="149"/>
      <c r="AK907" s="149"/>
    </row>
    <row r="908" ht="15.75" customHeight="1">
      <c r="C908" s="148"/>
      <c r="E908" s="149"/>
      <c r="H908" s="149"/>
      <c r="K908" s="149"/>
      <c r="AE908" s="149"/>
      <c r="AG908" s="149"/>
      <c r="AI908" s="149"/>
      <c r="AK908" s="149"/>
    </row>
    <row r="909" ht="15.75" customHeight="1">
      <c r="C909" s="148"/>
      <c r="E909" s="149"/>
      <c r="H909" s="149"/>
      <c r="K909" s="149"/>
      <c r="AE909" s="149"/>
      <c r="AG909" s="149"/>
      <c r="AI909" s="149"/>
      <c r="AK909" s="149"/>
    </row>
    <row r="910" ht="15.75" customHeight="1">
      <c r="C910" s="148"/>
      <c r="E910" s="149"/>
      <c r="H910" s="149"/>
      <c r="K910" s="149"/>
      <c r="AE910" s="149"/>
      <c r="AG910" s="149"/>
      <c r="AI910" s="149"/>
      <c r="AK910" s="149"/>
    </row>
    <row r="911" ht="15.75" customHeight="1">
      <c r="C911" s="148"/>
      <c r="E911" s="149"/>
      <c r="H911" s="149"/>
      <c r="K911" s="149"/>
      <c r="AE911" s="149"/>
      <c r="AG911" s="149"/>
      <c r="AI911" s="149"/>
      <c r="AK911" s="149"/>
    </row>
    <row r="912" ht="15.75" customHeight="1">
      <c r="C912" s="148"/>
      <c r="E912" s="149"/>
      <c r="H912" s="149"/>
      <c r="K912" s="149"/>
      <c r="AE912" s="149"/>
      <c r="AG912" s="149"/>
      <c r="AI912" s="149"/>
      <c r="AK912" s="149"/>
    </row>
    <row r="913" ht="15.75" customHeight="1">
      <c r="C913" s="148"/>
      <c r="E913" s="149"/>
      <c r="H913" s="149"/>
      <c r="K913" s="149"/>
      <c r="AE913" s="149"/>
      <c r="AG913" s="149"/>
      <c r="AI913" s="149"/>
      <c r="AK913" s="149"/>
    </row>
    <row r="914" ht="15.75" customHeight="1">
      <c r="C914" s="148"/>
      <c r="E914" s="149"/>
      <c r="H914" s="149"/>
      <c r="K914" s="149"/>
      <c r="AE914" s="149"/>
      <c r="AG914" s="149"/>
      <c r="AI914" s="149"/>
      <c r="AK914" s="149"/>
    </row>
    <row r="915" ht="15.75" customHeight="1">
      <c r="C915" s="148"/>
      <c r="E915" s="149"/>
      <c r="H915" s="149"/>
      <c r="K915" s="149"/>
      <c r="AE915" s="149"/>
      <c r="AG915" s="149"/>
      <c r="AI915" s="149"/>
      <c r="AK915" s="149"/>
    </row>
    <row r="916" ht="15.75" customHeight="1">
      <c r="C916" s="148"/>
      <c r="E916" s="149"/>
      <c r="H916" s="149"/>
      <c r="K916" s="149"/>
      <c r="AE916" s="149"/>
      <c r="AG916" s="149"/>
      <c r="AI916" s="149"/>
      <c r="AK916" s="149"/>
    </row>
    <row r="917" ht="15.75" customHeight="1">
      <c r="C917" s="148"/>
      <c r="E917" s="149"/>
      <c r="H917" s="149"/>
      <c r="K917" s="149"/>
      <c r="AE917" s="149"/>
      <c r="AG917" s="149"/>
      <c r="AI917" s="149"/>
      <c r="AK917" s="149"/>
    </row>
    <row r="918" ht="15.75" customHeight="1">
      <c r="C918" s="148"/>
      <c r="E918" s="149"/>
      <c r="H918" s="149"/>
      <c r="K918" s="149"/>
      <c r="AE918" s="149"/>
      <c r="AG918" s="149"/>
      <c r="AI918" s="149"/>
      <c r="AK918" s="149"/>
    </row>
    <row r="919" ht="15.75" customHeight="1">
      <c r="C919" s="148"/>
      <c r="E919" s="149"/>
      <c r="H919" s="149"/>
      <c r="K919" s="149"/>
      <c r="AE919" s="149"/>
      <c r="AG919" s="149"/>
      <c r="AI919" s="149"/>
      <c r="AK919" s="149"/>
    </row>
    <row r="920" ht="15.75" customHeight="1">
      <c r="C920" s="148"/>
      <c r="E920" s="149"/>
      <c r="H920" s="149"/>
      <c r="K920" s="149"/>
      <c r="AE920" s="149"/>
      <c r="AG920" s="149"/>
      <c r="AI920" s="149"/>
      <c r="AK920" s="149"/>
    </row>
    <row r="921" ht="15.75" customHeight="1">
      <c r="C921" s="148"/>
      <c r="E921" s="149"/>
      <c r="H921" s="149"/>
      <c r="K921" s="149"/>
      <c r="AE921" s="149"/>
      <c r="AG921" s="149"/>
      <c r="AI921" s="149"/>
      <c r="AK921" s="149"/>
    </row>
    <row r="922" ht="15.75" customHeight="1">
      <c r="C922" s="148"/>
      <c r="E922" s="149"/>
      <c r="H922" s="149"/>
      <c r="K922" s="149"/>
      <c r="AE922" s="149"/>
      <c r="AG922" s="149"/>
      <c r="AI922" s="149"/>
      <c r="AK922" s="149"/>
    </row>
    <row r="923" ht="15.75" customHeight="1">
      <c r="C923" s="148"/>
      <c r="E923" s="149"/>
      <c r="H923" s="149"/>
      <c r="K923" s="149"/>
      <c r="AE923" s="149"/>
      <c r="AG923" s="149"/>
      <c r="AI923" s="149"/>
      <c r="AK923" s="149"/>
    </row>
    <row r="924" ht="15.75" customHeight="1">
      <c r="C924" s="148"/>
      <c r="E924" s="149"/>
      <c r="H924" s="149"/>
      <c r="K924" s="149"/>
      <c r="AE924" s="149"/>
      <c r="AG924" s="149"/>
      <c r="AI924" s="149"/>
      <c r="AK924" s="149"/>
    </row>
    <row r="925" ht="15.75" customHeight="1">
      <c r="C925" s="148"/>
      <c r="E925" s="149"/>
      <c r="H925" s="149"/>
      <c r="K925" s="149"/>
      <c r="AE925" s="149"/>
      <c r="AG925" s="149"/>
      <c r="AI925" s="149"/>
      <c r="AK925" s="149"/>
    </row>
    <row r="926" ht="15.75" customHeight="1">
      <c r="C926" s="148"/>
      <c r="E926" s="149"/>
      <c r="H926" s="149"/>
      <c r="K926" s="149"/>
      <c r="AE926" s="149"/>
      <c r="AG926" s="149"/>
      <c r="AI926" s="149"/>
      <c r="AK926" s="149"/>
    </row>
    <row r="927" ht="15.75" customHeight="1">
      <c r="C927" s="148"/>
      <c r="E927" s="149"/>
      <c r="H927" s="149"/>
      <c r="K927" s="149"/>
      <c r="AE927" s="149"/>
      <c r="AG927" s="149"/>
      <c r="AI927" s="149"/>
      <c r="AK927" s="149"/>
    </row>
    <row r="928" ht="15.75" customHeight="1">
      <c r="C928" s="148"/>
      <c r="E928" s="149"/>
      <c r="H928" s="149"/>
      <c r="K928" s="149"/>
      <c r="AE928" s="149"/>
      <c r="AG928" s="149"/>
      <c r="AI928" s="149"/>
      <c r="AK928" s="149"/>
    </row>
    <row r="929" ht="15.75" customHeight="1">
      <c r="C929" s="148"/>
      <c r="E929" s="149"/>
      <c r="H929" s="149"/>
      <c r="K929" s="149"/>
      <c r="AE929" s="149"/>
      <c r="AG929" s="149"/>
      <c r="AI929" s="149"/>
      <c r="AK929" s="149"/>
    </row>
    <row r="930" ht="15.75" customHeight="1">
      <c r="C930" s="148"/>
      <c r="E930" s="149"/>
      <c r="H930" s="149"/>
      <c r="K930" s="149"/>
      <c r="AE930" s="149"/>
      <c r="AG930" s="149"/>
      <c r="AI930" s="149"/>
      <c r="AK930" s="149"/>
    </row>
    <row r="931" ht="15.75" customHeight="1">
      <c r="C931" s="148"/>
      <c r="E931" s="149"/>
      <c r="H931" s="149"/>
      <c r="K931" s="149"/>
      <c r="AE931" s="149"/>
      <c r="AG931" s="149"/>
      <c r="AI931" s="149"/>
      <c r="AK931" s="149"/>
    </row>
    <row r="932" ht="15.75" customHeight="1">
      <c r="C932" s="148"/>
      <c r="E932" s="149"/>
      <c r="H932" s="149"/>
      <c r="K932" s="149"/>
      <c r="AE932" s="149"/>
      <c r="AG932" s="149"/>
      <c r="AI932" s="149"/>
      <c r="AK932" s="149"/>
    </row>
    <row r="933" ht="15.75" customHeight="1">
      <c r="C933" s="148"/>
      <c r="E933" s="149"/>
      <c r="H933" s="149"/>
      <c r="K933" s="149"/>
      <c r="AE933" s="149"/>
      <c r="AG933" s="149"/>
      <c r="AI933" s="149"/>
      <c r="AK933" s="149"/>
    </row>
    <row r="934" ht="15.75" customHeight="1">
      <c r="C934" s="148"/>
      <c r="E934" s="149"/>
      <c r="H934" s="149"/>
      <c r="K934" s="149"/>
      <c r="AE934" s="149"/>
      <c r="AG934" s="149"/>
      <c r="AI934" s="149"/>
      <c r="AK934" s="149"/>
    </row>
    <row r="935" ht="15.75" customHeight="1">
      <c r="C935" s="148"/>
      <c r="E935" s="149"/>
      <c r="H935" s="149"/>
      <c r="K935" s="149"/>
      <c r="AE935" s="149"/>
      <c r="AG935" s="149"/>
      <c r="AI935" s="149"/>
      <c r="AK935" s="149"/>
    </row>
    <row r="936" ht="15.75" customHeight="1">
      <c r="C936" s="148"/>
      <c r="E936" s="149"/>
      <c r="H936" s="149"/>
      <c r="K936" s="149"/>
      <c r="AE936" s="149"/>
      <c r="AG936" s="149"/>
      <c r="AI936" s="149"/>
      <c r="AK936" s="149"/>
    </row>
    <row r="937" ht="15.75" customHeight="1">
      <c r="C937" s="148"/>
      <c r="E937" s="149"/>
      <c r="H937" s="149"/>
      <c r="K937" s="149"/>
      <c r="AE937" s="149"/>
      <c r="AG937" s="149"/>
      <c r="AI937" s="149"/>
      <c r="AK937" s="149"/>
    </row>
    <row r="938" ht="15.75" customHeight="1">
      <c r="C938" s="148"/>
      <c r="E938" s="149"/>
      <c r="H938" s="149"/>
      <c r="K938" s="149"/>
      <c r="AE938" s="149"/>
      <c r="AG938" s="149"/>
      <c r="AI938" s="149"/>
      <c r="AK938" s="149"/>
    </row>
    <row r="939" ht="15.75" customHeight="1">
      <c r="C939" s="148"/>
      <c r="E939" s="149"/>
      <c r="H939" s="149"/>
      <c r="K939" s="149"/>
      <c r="AE939" s="149"/>
      <c r="AG939" s="149"/>
      <c r="AI939" s="149"/>
      <c r="AK939" s="149"/>
    </row>
    <row r="940" ht="15.75" customHeight="1">
      <c r="C940" s="148"/>
      <c r="E940" s="149"/>
      <c r="H940" s="149"/>
      <c r="K940" s="149"/>
      <c r="AE940" s="149"/>
      <c r="AG940" s="149"/>
      <c r="AI940" s="149"/>
      <c r="AK940" s="149"/>
    </row>
    <row r="941" ht="15.75" customHeight="1">
      <c r="C941" s="148"/>
      <c r="E941" s="149"/>
      <c r="H941" s="149"/>
      <c r="K941" s="149"/>
      <c r="AE941" s="149"/>
      <c r="AG941" s="149"/>
      <c r="AI941" s="149"/>
      <c r="AK941" s="149"/>
    </row>
    <row r="942" ht="15.75" customHeight="1">
      <c r="C942" s="148"/>
      <c r="E942" s="149"/>
      <c r="H942" s="149"/>
      <c r="K942" s="149"/>
      <c r="AE942" s="149"/>
      <c r="AG942" s="149"/>
      <c r="AI942" s="149"/>
      <c r="AK942" s="149"/>
    </row>
    <row r="943" ht="15.75" customHeight="1">
      <c r="C943" s="148"/>
      <c r="E943" s="149"/>
      <c r="H943" s="149"/>
      <c r="K943" s="149"/>
      <c r="AE943" s="149"/>
      <c r="AG943" s="149"/>
      <c r="AI943" s="149"/>
      <c r="AK943" s="149"/>
    </row>
    <row r="944" ht="15.75" customHeight="1">
      <c r="C944" s="148"/>
      <c r="E944" s="149"/>
      <c r="H944" s="149"/>
      <c r="K944" s="149"/>
      <c r="AE944" s="149"/>
      <c r="AG944" s="149"/>
      <c r="AI944" s="149"/>
      <c r="AK944" s="149"/>
    </row>
    <row r="945" ht="15.75" customHeight="1">
      <c r="C945" s="148"/>
      <c r="E945" s="149"/>
      <c r="H945" s="149"/>
      <c r="K945" s="149"/>
      <c r="AE945" s="149"/>
      <c r="AG945" s="149"/>
      <c r="AI945" s="149"/>
      <c r="AK945" s="149"/>
    </row>
    <row r="946" ht="15.75" customHeight="1">
      <c r="C946" s="148"/>
      <c r="E946" s="149"/>
      <c r="H946" s="149"/>
      <c r="K946" s="149"/>
      <c r="AE946" s="149"/>
      <c r="AG946" s="149"/>
      <c r="AI946" s="149"/>
      <c r="AK946" s="149"/>
    </row>
    <row r="947" ht="15.75" customHeight="1">
      <c r="C947" s="148"/>
      <c r="E947" s="149"/>
      <c r="H947" s="149"/>
      <c r="K947" s="149"/>
      <c r="AE947" s="149"/>
      <c r="AG947" s="149"/>
      <c r="AI947" s="149"/>
      <c r="AK947" s="149"/>
    </row>
    <row r="948" ht="15.75" customHeight="1">
      <c r="C948" s="148"/>
      <c r="E948" s="149"/>
      <c r="H948" s="149"/>
      <c r="K948" s="149"/>
      <c r="AE948" s="149"/>
      <c r="AG948" s="149"/>
      <c r="AI948" s="149"/>
      <c r="AK948" s="149"/>
    </row>
    <row r="949" ht="15.75" customHeight="1">
      <c r="C949" s="148"/>
      <c r="E949" s="149"/>
      <c r="H949" s="149"/>
      <c r="K949" s="149"/>
      <c r="AE949" s="149"/>
      <c r="AG949" s="149"/>
      <c r="AI949" s="149"/>
      <c r="AK949" s="149"/>
    </row>
    <row r="950" ht="15.75" customHeight="1">
      <c r="C950" s="148"/>
      <c r="E950" s="149"/>
      <c r="H950" s="149"/>
      <c r="K950" s="149"/>
      <c r="AE950" s="149"/>
      <c r="AG950" s="149"/>
      <c r="AI950" s="149"/>
      <c r="AK950" s="149"/>
    </row>
    <row r="951" ht="15.75" customHeight="1">
      <c r="C951" s="148"/>
      <c r="E951" s="149"/>
      <c r="H951" s="149"/>
      <c r="K951" s="149"/>
      <c r="AE951" s="149"/>
      <c r="AG951" s="149"/>
      <c r="AI951" s="149"/>
      <c r="AK951" s="149"/>
    </row>
    <row r="952" ht="15.75" customHeight="1">
      <c r="C952" s="148"/>
      <c r="E952" s="149"/>
      <c r="H952" s="149"/>
      <c r="K952" s="149"/>
      <c r="AE952" s="149"/>
      <c r="AG952" s="149"/>
      <c r="AI952" s="149"/>
      <c r="AK952" s="149"/>
    </row>
    <row r="953" ht="15.75" customHeight="1">
      <c r="C953" s="148"/>
      <c r="E953" s="149"/>
      <c r="H953" s="149"/>
      <c r="K953" s="149"/>
      <c r="AE953" s="149"/>
      <c r="AG953" s="149"/>
      <c r="AI953" s="149"/>
      <c r="AK953" s="149"/>
    </row>
    <row r="954" ht="15.75" customHeight="1">
      <c r="C954" s="148"/>
      <c r="E954" s="149"/>
      <c r="H954" s="149"/>
      <c r="K954" s="149"/>
      <c r="AE954" s="149"/>
      <c r="AG954" s="149"/>
      <c r="AI954" s="149"/>
      <c r="AK954" s="149"/>
    </row>
    <row r="955" ht="15.75" customHeight="1">
      <c r="C955" s="148"/>
      <c r="E955" s="149"/>
      <c r="H955" s="149"/>
      <c r="K955" s="149"/>
      <c r="AE955" s="149"/>
      <c r="AG955" s="149"/>
      <c r="AI955" s="149"/>
      <c r="AK955" s="149"/>
    </row>
    <row r="956" ht="15.75" customHeight="1">
      <c r="C956" s="148"/>
      <c r="E956" s="149"/>
      <c r="H956" s="149"/>
      <c r="K956" s="149"/>
      <c r="AE956" s="149"/>
      <c r="AG956" s="149"/>
      <c r="AI956" s="149"/>
      <c r="AK956" s="149"/>
    </row>
    <row r="957" ht="15.75" customHeight="1">
      <c r="C957" s="148"/>
      <c r="E957" s="149"/>
      <c r="H957" s="149"/>
      <c r="K957" s="149"/>
      <c r="AE957" s="149"/>
      <c r="AG957" s="149"/>
      <c r="AI957" s="149"/>
      <c r="AK957" s="149"/>
    </row>
    <row r="958" ht="15.75" customHeight="1">
      <c r="C958" s="148"/>
      <c r="E958" s="149"/>
      <c r="H958" s="149"/>
      <c r="K958" s="149"/>
      <c r="AE958" s="149"/>
      <c r="AG958" s="149"/>
      <c r="AI958" s="149"/>
      <c r="AK958" s="149"/>
    </row>
    <row r="959" ht="15.75" customHeight="1">
      <c r="C959" s="148"/>
      <c r="E959" s="149"/>
      <c r="H959" s="149"/>
      <c r="K959" s="149"/>
      <c r="AE959" s="149"/>
      <c r="AG959" s="149"/>
      <c r="AI959" s="149"/>
      <c r="AK959" s="149"/>
    </row>
    <row r="960" ht="15.75" customHeight="1">
      <c r="C960" s="148"/>
      <c r="E960" s="149"/>
      <c r="H960" s="149"/>
      <c r="K960" s="149"/>
      <c r="AE960" s="149"/>
      <c r="AG960" s="149"/>
      <c r="AI960" s="149"/>
      <c r="AK960" s="149"/>
    </row>
    <row r="961" ht="15.75" customHeight="1">
      <c r="C961" s="148"/>
      <c r="E961" s="149"/>
      <c r="H961" s="149"/>
      <c r="K961" s="149"/>
      <c r="AE961" s="149"/>
      <c r="AG961" s="149"/>
      <c r="AI961" s="149"/>
      <c r="AK961" s="149"/>
    </row>
    <row r="962" ht="15.75" customHeight="1">
      <c r="C962" s="148"/>
      <c r="E962" s="149"/>
      <c r="H962" s="149"/>
      <c r="K962" s="149"/>
      <c r="AE962" s="149"/>
      <c r="AG962" s="149"/>
      <c r="AI962" s="149"/>
      <c r="AK962" s="149"/>
    </row>
    <row r="963" ht="15.75" customHeight="1">
      <c r="C963" s="148"/>
      <c r="E963" s="149"/>
      <c r="H963" s="149"/>
      <c r="K963" s="149"/>
      <c r="AE963" s="149"/>
      <c r="AG963" s="149"/>
      <c r="AI963" s="149"/>
      <c r="AK963" s="149"/>
    </row>
    <row r="964" ht="15.75" customHeight="1">
      <c r="C964" s="148"/>
      <c r="E964" s="149"/>
      <c r="H964" s="149"/>
      <c r="K964" s="149"/>
      <c r="AE964" s="149"/>
      <c r="AG964" s="149"/>
      <c r="AI964" s="149"/>
      <c r="AK964" s="149"/>
    </row>
    <row r="965" ht="15.75" customHeight="1">
      <c r="C965" s="148"/>
      <c r="E965" s="149"/>
      <c r="H965" s="149"/>
      <c r="K965" s="149"/>
      <c r="AE965" s="149"/>
      <c r="AG965" s="149"/>
      <c r="AI965" s="149"/>
      <c r="AK965" s="149"/>
    </row>
    <row r="966" ht="15.75" customHeight="1">
      <c r="C966" s="148"/>
      <c r="E966" s="149"/>
      <c r="H966" s="149"/>
      <c r="K966" s="149"/>
      <c r="AE966" s="149"/>
      <c r="AG966" s="149"/>
      <c r="AI966" s="149"/>
      <c r="AK966" s="149"/>
    </row>
    <row r="967" ht="15.75" customHeight="1">
      <c r="C967" s="148"/>
      <c r="E967" s="149"/>
      <c r="H967" s="149"/>
      <c r="K967" s="149"/>
      <c r="AE967" s="149"/>
      <c r="AG967" s="149"/>
      <c r="AI967" s="149"/>
      <c r="AK967" s="149"/>
    </row>
    <row r="968" ht="15.75" customHeight="1">
      <c r="C968" s="148"/>
      <c r="E968" s="149"/>
      <c r="H968" s="149"/>
      <c r="K968" s="149"/>
      <c r="AE968" s="149"/>
      <c r="AG968" s="149"/>
      <c r="AI968" s="149"/>
      <c r="AK968" s="149"/>
    </row>
    <row r="969" ht="15.75" customHeight="1">
      <c r="C969" s="148"/>
      <c r="E969" s="149"/>
      <c r="H969" s="149"/>
      <c r="K969" s="149"/>
      <c r="AE969" s="149"/>
      <c r="AG969" s="149"/>
      <c r="AI969" s="149"/>
      <c r="AK969" s="149"/>
    </row>
    <row r="970" ht="15.75" customHeight="1">
      <c r="C970" s="148"/>
      <c r="E970" s="149"/>
      <c r="H970" s="149"/>
      <c r="K970" s="149"/>
      <c r="AE970" s="149"/>
      <c r="AG970" s="149"/>
      <c r="AI970" s="149"/>
      <c r="AK970" s="149"/>
    </row>
    <row r="971" ht="15.75" customHeight="1">
      <c r="C971" s="148"/>
      <c r="E971" s="149"/>
      <c r="H971" s="149"/>
      <c r="K971" s="149"/>
      <c r="AE971" s="149"/>
      <c r="AG971" s="149"/>
      <c r="AI971" s="149"/>
      <c r="AK971" s="149"/>
    </row>
    <row r="972" ht="15.75" customHeight="1">
      <c r="C972" s="148"/>
      <c r="E972" s="149"/>
      <c r="H972" s="149"/>
      <c r="K972" s="149"/>
      <c r="AE972" s="149"/>
      <c r="AG972" s="149"/>
      <c r="AI972" s="149"/>
      <c r="AK972" s="149"/>
    </row>
    <row r="973" ht="15.75" customHeight="1">
      <c r="C973" s="148"/>
      <c r="E973" s="149"/>
      <c r="H973" s="149"/>
      <c r="K973" s="149"/>
      <c r="AE973" s="149"/>
      <c r="AG973" s="149"/>
      <c r="AI973" s="149"/>
      <c r="AK973" s="149"/>
    </row>
    <row r="974" ht="15.75" customHeight="1">
      <c r="C974" s="148"/>
      <c r="E974" s="149"/>
      <c r="H974" s="149"/>
      <c r="K974" s="149"/>
      <c r="AE974" s="149"/>
      <c r="AG974" s="149"/>
      <c r="AI974" s="149"/>
      <c r="AK974" s="149"/>
    </row>
    <row r="975" ht="15.75" customHeight="1">
      <c r="C975" s="148"/>
      <c r="E975" s="149"/>
      <c r="H975" s="149"/>
      <c r="K975" s="149"/>
      <c r="AE975" s="149"/>
      <c r="AG975" s="149"/>
      <c r="AI975" s="149"/>
      <c r="AK975" s="149"/>
    </row>
    <row r="976" ht="15.75" customHeight="1">
      <c r="C976" s="148"/>
      <c r="E976" s="149"/>
      <c r="H976" s="149"/>
      <c r="K976" s="149"/>
      <c r="AE976" s="149"/>
      <c r="AG976" s="149"/>
      <c r="AI976" s="149"/>
      <c r="AK976" s="149"/>
    </row>
    <row r="977" ht="15.75" customHeight="1">
      <c r="C977" s="148"/>
      <c r="E977" s="149"/>
      <c r="H977" s="149"/>
      <c r="K977" s="149"/>
      <c r="AE977" s="149"/>
      <c r="AG977" s="149"/>
      <c r="AI977" s="149"/>
      <c r="AK977" s="149"/>
    </row>
    <row r="978" ht="15.75" customHeight="1">
      <c r="C978" s="148"/>
      <c r="E978" s="149"/>
      <c r="H978" s="149"/>
      <c r="K978" s="149"/>
      <c r="AE978" s="149"/>
      <c r="AG978" s="149"/>
      <c r="AI978" s="149"/>
      <c r="AK978" s="149"/>
    </row>
    <row r="979" ht="15.75" customHeight="1">
      <c r="C979" s="148"/>
      <c r="E979" s="149"/>
      <c r="H979" s="149"/>
      <c r="K979" s="149"/>
      <c r="AE979" s="149"/>
      <c r="AG979" s="149"/>
      <c r="AI979" s="149"/>
      <c r="AK979" s="149"/>
    </row>
    <row r="980" ht="15.75" customHeight="1">
      <c r="C980" s="148"/>
      <c r="E980" s="149"/>
      <c r="H980" s="149"/>
      <c r="K980" s="149"/>
      <c r="AE980" s="149"/>
      <c r="AG980" s="149"/>
      <c r="AI980" s="149"/>
      <c r="AK980" s="149"/>
    </row>
    <row r="981" ht="15.75" customHeight="1">
      <c r="C981" s="148"/>
      <c r="E981" s="149"/>
      <c r="H981" s="149"/>
      <c r="K981" s="149"/>
      <c r="AE981" s="149"/>
      <c r="AG981" s="149"/>
      <c r="AI981" s="149"/>
      <c r="AK981" s="149"/>
    </row>
    <row r="982" ht="15.75" customHeight="1">
      <c r="C982" s="148"/>
      <c r="E982" s="149"/>
      <c r="H982" s="149"/>
      <c r="K982" s="149"/>
      <c r="AE982" s="149"/>
      <c r="AG982" s="149"/>
      <c r="AI982" s="149"/>
      <c r="AK982" s="149"/>
    </row>
    <row r="983" ht="15.75" customHeight="1">
      <c r="C983" s="148"/>
      <c r="E983" s="149"/>
      <c r="H983" s="149"/>
      <c r="K983" s="149"/>
      <c r="AE983" s="149"/>
      <c r="AG983" s="149"/>
      <c r="AI983" s="149"/>
      <c r="AK983" s="149"/>
    </row>
    <row r="984" ht="15.75" customHeight="1">
      <c r="C984" s="148"/>
      <c r="E984" s="149"/>
      <c r="H984" s="149"/>
      <c r="K984" s="149"/>
      <c r="AE984" s="149"/>
      <c r="AG984" s="149"/>
      <c r="AI984" s="149"/>
      <c r="AK984" s="149"/>
    </row>
    <row r="985" ht="15.75" customHeight="1">
      <c r="C985" s="148"/>
      <c r="E985" s="149"/>
      <c r="H985" s="149"/>
      <c r="K985" s="149"/>
      <c r="AE985" s="149"/>
      <c r="AG985" s="149"/>
      <c r="AI985" s="149"/>
      <c r="AK985" s="149"/>
    </row>
    <row r="986" ht="15.75" customHeight="1">
      <c r="C986" s="148"/>
      <c r="E986" s="149"/>
      <c r="H986" s="149"/>
      <c r="K986" s="149"/>
      <c r="AE986" s="149"/>
      <c r="AG986" s="149"/>
      <c r="AI986" s="149"/>
      <c r="AK986" s="149"/>
    </row>
    <row r="987" ht="15.75" customHeight="1">
      <c r="C987" s="148"/>
      <c r="E987" s="149"/>
      <c r="H987" s="149"/>
      <c r="K987" s="149"/>
      <c r="AE987" s="149"/>
      <c r="AG987" s="149"/>
      <c r="AI987" s="149"/>
      <c r="AK987" s="149"/>
    </row>
    <row r="988" ht="15.75" customHeight="1">
      <c r="C988" s="148"/>
      <c r="E988" s="149"/>
      <c r="H988" s="149"/>
      <c r="K988" s="149"/>
      <c r="AE988" s="149"/>
      <c r="AG988" s="149"/>
      <c r="AI988" s="149"/>
      <c r="AK988" s="149"/>
    </row>
    <row r="989" ht="15.75" customHeight="1">
      <c r="C989" s="148"/>
      <c r="E989" s="149"/>
      <c r="H989" s="149"/>
      <c r="K989" s="149"/>
      <c r="AE989" s="149"/>
      <c r="AG989" s="149"/>
      <c r="AI989" s="149"/>
      <c r="AK989" s="149"/>
    </row>
    <row r="990" ht="15.75" customHeight="1">
      <c r="C990" s="148"/>
      <c r="E990" s="149"/>
      <c r="H990" s="149"/>
      <c r="K990" s="149"/>
      <c r="AE990" s="149"/>
      <c r="AG990" s="149"/>
      <c r="AI990" s="149"/>
      <c r="AK990" s="149"/>
    </row>
    <row r="991" ht="15.75" customHeight="1">
      <c r="C991" s="148"/>
      <c r="E991" s="149"/>
      <c r="H991" s="149"/>
      <c r="K991" s="149"/>
      <c r="AE991" s="149"/>
      <c r="AG991" s="149"/>
      <c r="AI991" s="149"/>
      <c r="AK991" s="149"/>
    </row>
    <row r="992" ht="15.75" customHeight="1">
      <c r="C992" s="148"/>
      <c r="E992" s="149"/>
      <c r="H992" s="149"/>
      <c r="K992" s="149"/>
      <c r="AE992" s="149"/>
      <c r="AG992" s="149"/>
      <c r="AI992" s="149"/>
      <c r="AK992" s="149"/>
    </row>
    <row r="993" ht="15.75" customHeight="1">
      <c r="C993" s="148"/>
      <c r="E993" s="149"/>
      <c r="H993" s="149"/>
      <c r="K993" s="149"/>
      <c r="AE993" s="149"/>
      <c r="AG993" s="149"/>
      <c r="AI993" s="149"/>
      <c r="AK993" s="149"/>
    </row>
    <row r="994" ht="15.75" customHeight="1">
      <c r="C994" s="148"/>
      <c r="E994" s="149"/>
      <c r="H994" s="149"/>
      <c r="K994" s="149"/>
      <c r="AE994" s="149"/>
      <c r="AG994" s="149"/>
      <c r="AI994" s="149"/>
      <c r="AK994" s="149"/>
    </row>
    <row r="995" ht="15.75" customHeight="1">
      <c r="C995" s="148"/>
      <c r="E995" s="149"/>
      <c r="H995" s="149"/>
      <c r="K995" s="149"/>
      <c r="AE995" s="149"/>
      <c r="AG995" s="149"/>
      <c r="AI995" s="149"/>
      <c r="AK995" s="149"/>
    </row>
    <row r="996" ht="15.75" customHeight="1">
      <c r="C996" s="148"/>
      <c r="E996" s="149"/>
      <c r="H996" s="149"/>
      <c r="K996" s="149"/>
      <c r="AE996" s="149"/>
      <c r="AG996" s="149"/>
      <c r="AI996" s="149"/>
      <c r="AK996" s="149"/>
    </row>
    <row r="997" ht="15.75" customHeight="1">
      <c r="C997" s="148"/>
      <c r="E997" s="149"/>
      <c r="H997" s="149"/>
      <c r="K997" s="149"/>
      <c r="AE997" s="149"/>
      <c r="AG997" s="149"/>
      <c r="AI997" s="149"/>
      <c r="AK997" s="149"/>
    </row>
    <row r="998" ht="15.75" customHeight="1">
      <c r="C998" s="148"/>
      <c r="E998" s="149"/>
      <c r="H998" s="149"/>
      <c r="K998" s="149"/>
      <c r="AE998" s="149"/>
      <c r="AG998" s="149"/>
      <c r="AI998" s="149"/>
      <c r="AK998" s="149"/>
    </row>
    <row r="999" ht="15.75" customHeight="1">
      <c r="C999" s="148"/>
      <c r="E999" s="149"/>
      <c r="H999" s="149"/>
      <c r="K999" s="149"/>
      <c r="AE999" s="149"/>
      <c r="AG999" s="149"/>
      <c r="AI999" s="149"/>
      <c r="AK999" s="149"/>
    </row>
    <row r="1000" ht="15.75" customHeight="1">
      <c r="C1000" s="148"/>
      <c r="E1000" s="149"/>
      <c r="H1000" s="149"/>
      <c r="K1000" s="149"/>
      <c r="AE1000" s="149"/>
      <c r="AG1000" s="149"/>
      <c r="AI1000" s="149"/>
      <c r="AK1000" s="149"/>
    </row>
    <row r="1001" ht="15.75" customHeight="1">
      <c r="C1001" s="148"/>
      <c r="E1001" s="149"/>
      <c r="H1001" s="149"/>
      <c r="K1001" s="149"/>
      <c r="AE1001" s="149"/>
      <c r="AG1001" s="149"/>
      <c r="AI1001" s="149"/>
      <c r="AK1001" s="149"/>
    </row>
    <row r="1002" ht="15.75" customHeight="1">
      <c r="C1002" s="148"/>
      <c r="E1002" s="149"/>
      <c r="H1002" s="149"/>
      <c r="K1002" s="149"/>
      <c r="AE1002" s="149"/>
      <c r="AG1002" s="149"/>
      <c r="AI1002" s="149"/>
      <c r="AK1002" s="149"/>
    </row>
    <row r="1003" ht="15.75" customHeight="1">
      <c r="C1003" s="148"/>
      <c r="E1003" s="149"/>
      <c r="H1003" s="149"/>
      <c r="K1003" s="149"/>
      <c r="AE1003" s="149"/>
      <c r="AG1003" s="149"/>
      <c r="AI1003" s="149"/>
      <c r="AK1003" s="149"/>
    </row>
    <row r="1004" ht="15.75" customHeight="1">
      <c r="C1004" s="148"/>
      <c r="E1004" s="149"/>
      <c r="H1004" s="149"/>
      <c r="K1004" s="149"/>
      <c r="AE1004" s="149"/>
      <c r="AG1004" s="149"/>
      <c r="AI1004" s="149"/>
      <c r="AK1004" s="149"/>
    </row>
    <row r="1005" ht="15.75" customHeight="1">
      <c r="C1005" s="148"/>
      <c r="E1005" s="149"/>
      <c r="H1005" s="149"/>
      <c r="K1005" s="149"/>
      <c r="AE1005" s="149"/>
      <c r="AG1005" s="149"/>
      <c r="AI1005" s="149"/>
      <c r="AK1005" s="149"/>
    </row>
    <row r="1006" ht="15.75" customHeight="1">
      <c r="C1006" s="148"/>
      <c r="E1006" s="149"/>
      <c r="H1006" s="149"/>
      <c r="K1006" s="149"/>
      <c r="AE1006" s="149"/>
      <c r="AG1006" s="149"/>
      <c r="AI1006" s="149"/>
      <c r="AK1006" s="149"/>
    </row>
    <row r="1007" ht="15.75" customHeight="1">
      <c r="C1007" s="148"/>
      <c r="E1007" s="149"/>
      <c r="H1007" s="149"/>
      <c r="K1007" s="149"/>
      <c r="AE1007" s="149"/>
      <c r="AG1007" s="149"/>
      <c r="AI1007" s="149"/>
      <c r="AK1007" s="149"/>
    </row>
    <row r="1008" ht="15.75" customHeight="1">
      <c r="C1008" s="148"/>
      <c r="E1008" s="149"/>
      <c r="H1008" s="149"/>
      <c r="K1008" s="149"/>
      <c r="AE1008" s="149"/>
      <c r="AG1008" s="149"/>
      <c r="AI1008" s="149"/>
      <c r="AK1008" s="149"/>
    </row>
    <row r="1009" ht="15.75" customHeight="1">
      <c r="C1009" s="148"/>
      <c r="E1009" s="149"/>
      <c r="H1009" s="149"/>
      <c r="K1009" s="149"/>
      <c r="AE1009" s="149"/>
      <c r="AG1009" s="149"/>
      <c r="AI1009" s="149"/>
      <c r="AK1009" s="149"/>
    </row>
    <row r="1010" ht="15.75" customHeight="1">
      <c r="C1010" s="148"/>
      <c r="E1010" s="149"/>
      <c r="H1010" s="149"/>
      <c r="K1010" s="149"/>
      <c r="AE1010" s="149"/>
      <c r="AG1010" s="149"/>
      <c r="AI1010" s="149"/>
      <c r="AK1010" s="149"/>
    </row>
    <row r="1011" ht="15.75" customHeight="1">
      <c r="C1011" s="148"/>
      <c r="E1011" s="149"/>
      <c r="H1011" s="149"/>
      <c r="K1011" s="149"/>
      <c r="AE1011" s="149"/>
      <c r="AG1011" s="149"/>
      <c r="AI1011" s="149"/>
      <c r="AK1011" s="149"/>
    </row>
    <row r="1012" ht="15.75" customHeight="1">
      <c r="C1012" s="148"/>
      <c r="E1012" s="149"/>
      <c r="H1012" s="149"/>
      <c r="K1012" s="149"/>
      <c r="AE1012" s="149"/>
      <c r="AG1012" s="149"/>
      <c r="AI1012" s="149"/>
      <c r="AK1012" s="149"/>
    </row>
    <row r="1013" ht="15.75" customHeight="1">
      <c r="C1013" s="148"/>
      <c r="E1013" s="149"/>
      <c r="H1013" s="149"/>
      <c r="K1013" s="149"/>
      <c r="AE1013" s="149"/>
      <c r="AG1013" s="149"/>
      <c r="AI1013" s="149"/>
      <c r="AK1013" s="149"/>
    </row>
    <row r="1014" ht="15.75" customHeight="1">
      <c r="C1014" s="148"/>
      <c r="E1014" s="149"/>
      <c r="H1014" s="149"/>
      <c r="K1014" s="149"/>
      <c r="AE1014" s="149"/>
      <c r="AG1014" s="149"/>
      <c r="AI1014" s="149"/>
      <c r="AK1014" s="149"/>
    </row>
    <row r="1015" ht="15.75" customHeight="1">
      <c r="C1015" s="148"/>
      <c r="E1015" s="149"/>
      <c r="H1015" s="149"/>
      <c r="K1015" s="149"/>
      <c r="AE1015" s="149"/>
      <c r="AG1015" s="149"/>
      <c r="AI1015" s="149"/>
      <c r="AK1015" s="149"/>
    </row>
    <row r="1016" ht="15.75" customHeight="1">
      <c r="C1016" s="148"/>
      <c r="E1016" s="149"/>
      <c r="H1016" s="149"/>
      <c r="K1016" s="149"/>
      <c r="AE1016" s="149"/>
      <c r="AG1016" s="149"/>
      <c r="AI1016" s="149"/>
      <c r="AK1016" s="149"/>
    </row>
    <row r="1017" ht="15.75" customHeight="1">
      <c r="C1017" s="148"/>
      <c r="E1017" s="149"/>
      <c r="H1017" s="149"/>
      <c r="K1017" s="149"/>
      <c r="AE1017" s="149"/>
      <c r="AG1017" s="149"/>
      <c r="AI1017" s="149"/>
      <c r="AK1017" s="149"/>
    </row>
    <row r="1018" ht="15.75" customHeight="1">
      <c r="C1018" s="148"/>
      <c r="E1018" s="149"/>
      <c r="H1018" s="149"/>
      <c r="K1018" s="149"/>
      <c r="AE1018" s="149"/>
      <c r="AG1018" s="149"/>
      <c r="AI1018" s="149"/>
      <c r="AK1018" s="149"/>
    </row>
    <row r="1019" ht="15.75" customHeight="1">
      <c r="C1019" s="148"/>
      <c r="E1019" s="149"/>
      <c r="H1019" s="149"/>
      <c r="K1019" s="149"/>
      <c r="AE1019" s="149"/>
      <c r="AG1019" s="149"/>
      <c r="AI1019" s="149"/>
      <c r="AK1019" s="149"/>
    </row>
    <row r="1020" ht="15.75" customHeight="1">
      <c r="C1020" s="148"/>
      <c r="E1020" s="149"/>
      <c r="H1020" s="149"/>
      <c r="K1020" s="149"/>
      <c r="AE1020" s="149"/>
      <c r="AG1020" s="149"/>
      <c r="AI1020" s="149"/>
      <c r="AK1020" s="149"/>
    </row>
    <row r="1021" ht="15.75" customHeight="1">
      <c r="C1021" s="148"/>
      <c r="E1021" s="149"/>
      <c r="H1021" s="149"/>
      <c r="K1021" s="149"/>
      <c r="AE1021" s="149"/>
      <c r="AG1021" s="149"/>
      <c r="AI1021" s="149"/>
      <c r="AK1021" s="149"/>
    </row>
    <row r="1022" ht="15.75" customHeight="1">
      <c r="C1022" s="148"/>
      <c r="E1022" s="149"/>
      <c r="H1022" s="149"/>
      <c r="K1022" s="149"/>
      <c r="AE1022" s="149"/>
      <c r="AG1022" s="149"/>
      <c r="AI1022" s="149"/>
      <c r="AK1022" s="149"/>
    </row>
    <row r="1023" ht="15.75" customHeight="1">
      <c r="C1023" s="148"/>
      <c r="E1023" s="149"/>
      <c r="H1023" s="149"/>
      <c r="K1023" s="149"/>
      <c r="AE1023" s="149"/>
      <c r="AG1023" s="149"/>
      <c r="AI1023" s="150"/>
      <c r="AK1023" s="149"/>
    </row>
    <row r="1024" ht="15.75" customHeight="1"/>
    <row r="1025" ht="15.75" customHeight="1"/>
  </sheetData>
  <autoFilter ref="$B$1:$B$1023"/>
  <customSheetViews>
    <customSheetView guid="{FB45F536-359E-4C12-AF91-677596234328}" filter="1" showAutoFilter="1">
      <autoFilter ref="$A$1:$AK$1025"/>
    </customSheetView>
  </customSheetViews>
  <mergeCells count="5">
    <mergeCell ref="AD1:AG1"/>
    <mergeCell ref="AH1:AI1"/>
    <mergeCell ref="AJ1:AK1"/>
    <mergeCell ref="AD2:AE2"/>
    <mergeCell ref="AF2:AG2"/>
  </mergeCells>
  <dataValidations>
    <dataValidation type="list" allowBlank="1" showErrorMessage="1" sqref="AI139:AI140 AK140:AK141 AI144 AK144 AI146:AI147 AK146:AK147 AI152:AI153 AK152:AK153 AI196 AK196">
      <formula1>"leve,moderada,severa"</formula1>
    </dataValidation>
    <dataValidation type="list" allowBlank="1" showErrorMessage="1" sqref="AE3:AE4 AG3:AG4 AE10 AG10 AE13 AG13 AE15 AG15 AE17:AE23 AG17:AG23 AE25:AE26 AG25:AG26 AE28:AE29 AG28:AG29 AE31 AG31 AE33:AE45 AG33:AG45 AE47:AE54 AG47:AG54 AE56:AE61 AG56:AG61 AE63 AG63 AE70 AG70 AI75 AK75 AE72:AE77 AG72:AG77 AE79:AE97 AG79:AG97 AE99:AE116 AG99:AG116 AE118 AG118 AI132 AK132 AE120:AE138 AG120:AG138 AI151 AK151">
      <formula1>"ausencia,posible,probablemente significativa"</formula1>
    </dataValidation>
    <dataValidation type="list" allowBlank="1" showErrorMessage="1" sqref="AI6 AK6 AI9 AK9 AI15 AK15">
      <formula1>"ausencia,leve,moderada,severa"</formula1>
    </dataValidation>
    <dataValidation type="list" allowBlank="1" showErrorMessage="1" sqref="Q3:Q74 T3:T74 W3:W74 Z3:Z74 E3:E189 H3:H189 K3:K189 N3:N189 Q76:Q189 T76:T189 W76:W189 Z76:Z189 AC3:AC189 E191:E216 H191:H216 K191:K216 N191:N216 Q191:Q216 T191:T216 W191:W216 Z191:Z216 AC191:AC216">
      <formula1>"normal,disminuido,levemente disminuido"</formula1>
    </dataValidation>
    <dataValidation type="list" allowBlank="1" showErrorMessage="1" sqref="AI17:AI18 AK17:AK18 AI20 AK20 AI22:AI23 AK22:AK23 AI25:AI26 AK25:AK26 AI29:AI37 AK29:AK37 AI39:AI41 AK39:AK41 AI46:AI47 AK46:AK47 AI50 AK50 AI52:AI54 AK52:AK54 AI58 AK58 AI61 AK61 AI64 AK64 AI70 AK70 AI72 AK72 AI74 AK74 AI81:AI83 AK81:AK83 AI89 AK89 AI91 AK91 AI98 AK98 AI119:AI120 AK119:AK120 AI123 AK123 AI125:AI126 AK125:AK126 AI133 AK133 AI136 AK136 AK139 AI141:AI143 AK142:AK143 AI145 AK145 AI148:AI150 AK148:AK150 AI154:AI195 AK154:AK195 AI197:AI208 AK197:AK208 AI211:AI216 AK211:AK216">
      <formula1>"ausencia,leve,moderada,severa"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6.0"/>
    <col customWidth="1" min="3" max="3" width="16.75"/>
    <col customWidth="1" min="4" max="4" width="45.88"/>
    <col customWidth="1" min="5" max="5" width="29.13"/>
  </cols>
  <sheetData>
    <row r="1" ht="15.75" customHeight="1">
      <c r="A1" s="151" t="s">
        <v>683</v>
      </c>
      <c r="B1" s="152" t="s">
        <v>717</v>
      </c>
      <c r="C1" s="152" t="s">
        <v>718</v>
      </c>
      <c r="D1" s="153" t="s">
        <v>719</v>
      </c>
      <c r="E1" s="152" t="s">
        <v>720</v>
      </c>
      <c r="F1" s="152" t="s">
        <v>721</v>
      </c>
      <c r="G1" s="154"/>
    </row>
    <row r="2" ht="15.75" customHeight="1">
      <c r="A2" s="155" t="s">
        <v>128</v>
      </c>
      <c r="B2" s="156" t="s">
        <v>569</v>
      </c>
      <c r="C2" s="156" t="s">
        <v>569</v>
      </c>
      <c r="D2" s="157" t="s">
        <v>722</v>
      </c>
      <c r="F2" s="158"/>
      <c r="G2" s="159"/>
    </row>
    <row r="3" ht="15.75" customHeight="1">
      <c r="A3" s="155" t="s">
        <v>142</v>
      </c>
      <c r="B3" s="156" t="s">
        <v>569</v>
      </c>
      <c r="C3" s="156" t="s">
        <v>569</v>
      </c>
      <c r="D3" s="157" t="s">
        <v>723</v>
      </c>
      <c r="F3" s="158"/>
      <c r="G3" s="159"/>
    </row>
    <row r="4" ht="15.75" customHeight="1">
      <c r="A4" s="155" t="s">
        <v>148</v>
      </c>
      <c r="B4" s="156" t="s">
        <v>569</v>
      </c>
      <c r="C4" s="156" t="s">
        <v>569</v>
      </c>
      <c r="D4" s="157" t="s">
        <v>723</v>
      </c>
      <c r="F4" s="158"/>
      <c r="G4" s="159"/>
    </row>
    <row r="5" ht="15.75" customHeight="1">
      <c r="A5" s="155" t="s">
        <v>152</v>
      </c>
      <c r="B5" s="156" t="s">
        <v>569</v>
      </c>
      <c r="C5" s="156" t="s">
        <v>569</v>
      </c>
      <c r="D5" s="157" t="s">
        <v>723</v>
      </c>
      <c r="F5" s="158"/>
      <c r="G5" s="159"/>
    </row>
    <row r="6" ht="15.75" customHeight="1">
      <c r="A6" s="155" t="s">
        <v>154</v>
      </c>
      <c r="B6" s="156" t="s">
        <v>145</v>
      </c>
      <c r="C6" s="160"/>
      <c r="D6" s="161"/>
      <c r="F6" s="158"/>
      <c r="G6" s="159"/>
    </row>
    <row r="7" ht="15.75" customHeight="1">
      <c r="A7" s="155" t="s">
        <v>159</v>
      </c>
      <c r="B7" s="156" t="s">
        <v>569</v>
      </c>
      <c r="C7" s="156" t="s">
        <v>569</v>
      </c>
      <c r="D7" s="157" t="s">
        <v>722</v>
      </c>
      <c r="F7" s="158"/>
      <c r="G7" s="159"/>
    </row>
    <row r="8" ht="15.75" customHeight="1">
      <c r="A8" s="155" t="s">
        <v>163</v>
      </c>
      <c r="B8" s="156" t="s">
        <v>569</v>
      </c>
      <c r="C8" s="156" t="s">
        <v>569</v>
      </c>
      <c r="D8" s="157" t="s">
        <v>722</v>
      </c>
      <c r="F8" s="158"/>
      <c r="G8" s="159"/>
    </row>
    <row r="9" ht="15.75" customHeight="1">
      <c r="A9" s="155" t="s">
        <v>164</v>
      </c>
      <c r="B9" s="156" t="s">
        <v>569</v>
      </c>
      <c r="C9" s="156" t="s">
        <v>569</v>
      </c>
      <c r="D9" s="157" t="s">
        <v>722</v>
      </c>
      <c r="F9" s="158"/>
      <c r="G9" s="159"/>
    </row>
    <row r="10" ht="15.75" customHeight="1">
      <c r="A10" s="155" t="s">
        <v>168</v>
      </c>
      <c r="B10" s="156" t="s">
        <v>569</v>
      </c>
      <c r="C10" s="156" t="s">
        <v>569</v>
      </c>
      <c r="D10" s="157" t="s">
        <v>722</v>
      </c>
    </row>
    <row r="11" ht="15.75" customHeight="1">
      <c r="A11" s="155" t="s">
        <v>173</v>
      </c>
      <c r="B11" s="156" t="s">
        <v>569</v>
      </c>
      <c r="C11" s="156" t="s">
        <v>569</v>
      </c>
      <c r="D11" s="157" t="s">
        <v>723</v>
      </c>
      <c r="E11" s="162" t="s">
        <v>724</v>
      </c>
      <c r="F11" s="158"/>
      <c r="G11" s="159"/>
    </row>
    <row r="12" ht="15.75" customHeight="1">
      <c r="A12" s="163" t="s">
        <v>174</v>
      </c>
      <c r="B12" s="156" t="s">
        <v>145</v>
      </c>
      <c r="C12" s="160"/>
      <c r="D12" s="161"/>
      <c r="E12" s="162"/>
      <c r="F12" s="158"/>
      <c r="G12" s="159"/>
    </row>
    <row r="13" ht="15.75" customHeight="1">
      <c r="A13" s="155" t="s">
        <v>179</v>
      </c>
      <c r="B13" s="156" t="s">
        <v>569</v>
      </c>
      <c r="C13" s="156" t="s">
        <v>569</v>
      </c>
      <c r="D13" s="157" t="s">
        <v>725</v>
      </c>
      <c r="E13" s="162" t="s">
        <v>726</v>
      </c>
      <c r="F13" s="158"/>
      <c r="G13" s="159"/>
    </row>
    <row r="14" ht="15.75" customHeight="1">
      <c r="A14" s="155" t="s">
        <v>182</v>
      </c>
      <c r="B14" s="156" t="s">
        <v>569</v>
      </c>
      <c r="C14" s="156" t="s">
        <v>569</v>
      </c>
      <c r="D14" s="157" t="s">
        <v>725</v>
      </c>
      <c r="E14" s="162" t="s">
        <v>726</v>
      </c>
      <c r="F14" s="158"/>
      <c r="G14" s="159"/>
    </row>
    <row r="15" ht="15.75" customHeight="1">
      <c r="A15" s="155" t="s">
        <v>727</v>
      </c>
      <c r="B15" s="156" t="s">
        <v>569</v>
      </c>
      <c r="C15" s="156" t="s">
        <v>569</v>
      </c>
      <c r="D15" s="157" t="s">
        <v>725</v>
      </c>
      <c r="E15" s="162" t="s">
        <v>726</v>
      </c>
      <c r="F15" s="158"/>
      <c r="G15" s="159"/>
    </row>
    <row r="16" ht="15.75" customHeight="1">
      <c r="A16" s="155" t="s">
        <v>728</v>
      </c>
      <c r="B16" s="156" t="s">
        <v>145</v>
      </c>
      <c r="C16" s="160"/>
      <c r="D16" s="161"/>
      <c r="F16" s="158"/>
      <c r="G16" s="159"/>
    </row>
    <row r="17" ht="15.75" customHeight="1">
      <c r="A17" s="155" t="s">
        <v>189</v>
      </c>
      <c r="B17" s="156" t="s">
        <v>569</v>
      </c>
      <c r="C17" s="156" t="s">
        <v>569</v>
      </c>
      <c r="D17" s="157" t="s">
        <v>725</v>
      </c>
      <c r="E17" s="162" t="s">
        <v>726</v>
      </c>
      <c r="F17" s="158"/>
      <c r="G17" s="159"/>
    </row>
    <row r="18" ht="15.75" customHeight="1">
      <c r="A18" s="155" t="s">
        <v>194</v>
      </c>
      <c r="B18" s="156" t="s">
        <v>569</v>
      </c>
      <c r="C18" s="156" t="s">
        <v>569</v>
      </c>
      <c r="D18" s="157" t="s">
        <v>722</v>
      </c>
    </row>
    <row r="19" ht="17.25" customHeight="1">
      <c r="A19" s="155" t="s">
        <v>199</v>
      </c>
      <c r="B19" s="156" t="s">
        <v>145</v>
      </c>
      <c r="C19" s="160"/>
      <c r="D19" s="161"/>
    </row>
    <row r="20" ht="18.75" customHeight="1">
      <c r="A20" s="155" t="s">
        <v>204</v>
      </c>
      <c r="B20" s="156" t="s">
        <v>569</v>
      </c>
      <c r="C20" s="156" t="s">
        <v>569</v>
      </c>
      <c r="D20" s="157" t="s">
        <v>723</v>
      </c>
      <c r="E20" s="162" t="s">
        <v>726</v>
      </c>
      <c r="F20" s="158"/>
      <c r="G20" s="159"/>
    </row>
    <row r="21" ht="15.75" customHeight="1">
      <c r="A21" s="155" t="s">
        <v>208</v>
      </c>
      <c r="B21" s="156" t="s">
        <v>569</v>
      </c>
      <c r="C21" s="156" t="s">
        <v>569</v>
      </c>
      <c r="D21" s="164" t="s">
        <v>729</v>
      </c>
      <c r="E21" s="162" t="s">
        <v>730</v>
      </c>
      <c r="F21" s="158"/>
      <c r="G21" s="159"/>
    </row>
    <row r="22" ht="15.75" customHeight="1">
      <c r="A22" s="155" t="s">
        <v>210</v>
      </c>
      <c r="B22" s="156" t="s">
        <v>569</v>
      </c>
      <c r="C22" s="156" t="s">
        <v>569</v>
      </c>
      <c r="D22" s="164" t="s">
        <v>731</v>
      </c>
      <c r="F22" s="158"/>
      <c r="G22" s="159"/>
    </row>
    <row r="23" ht="15.75" customHeight="1">
      <c r="A23" s="155" t="s">
        <v>214</v>
      </c>
      <c r="B23" s="156" t="s">
        <v>569</v>
      </c>
      <c r="C23" s="156" t="s">
        <v>569</v>
      </c>
      <c r="D23" s="164" t="s">
        <v>731</v>
      </c>
      <c r="F23" s="158"/>
      <c r="G23" s="159"/>
    </row>
    <row r="24" ht="15.75" customHeight="1">
      <c r="A24" s="155" t="s">
        <v>217</v>
      </c>
      <c r="B24" s="156" t="s">
        <v>145</v>
      </c>
      <c r="C24" s="160"/>
      <c r="D24" s="161"/>
      <c r="G24" s="159"/>
    </row>
    <row r="25" ht="15.75" customHeight="1">
      <c r="A25" s="155" t="s">
        <v>220</v>
      </c>
      <c r="B25" s="156" t="s">
        <v>569</v>
      </c>
      <c r="C25" s="156" t="s">
        <v>569</v>
      </c>
      <c r="D25" s="164" t="s">
        <v>731</v>
      </c>
      <c r="F25" s="158"/>
      <c r="G25" s="159"/>
    </row>
    <row r="26" ht="15.75" customHeight="1">
      <c r="A26" s="155" t="s">
        <v>223</v>
      </c>
      <c r="B26" s="156" t="s">
        <v>569</v>
      </c>
      <c r="C26" s="156" t="s">
        <v>569</v>
      </c>
      <c r="D26" s="164" t="s">
        <v>732</v>
      </c>
      <c r="F26" s="158"/>
      <c r="G26" s="159"/>
    </row>
    <row r="27" ht="15.75" customHeight="1">
      <c r="A27" s="155" t="s">
        <v>226</v>
      </c>
      <c r="B27" s="156" t="s">
        <v>569</v>
      </c>
      <c r="C27" s="156" t="s">
        <v>569</v>
      </c>
      <c r="D27" s="157" t="s">
        <v>722</v>
      </c>
      <c r="F27" s="158"/>
      <c r="G27" s="159"/>
    </row>
    <row r="28" ht="15.75" customHeight="1">
      <c r="A28" s="155" t="s">
        <v>227</v>
      </c>
      <c r="B28" s="156" t="s">
        <v>569</v>
      </c>
      <c r="C28" s="156" t="s">
        <v>569</v>
      </c>
      <c r="D28" s="157" t="s">
        <v>725</v>
      </c>
      <c r="E28" s="162" t="s">
        <v>726</v>
      </c>
      <c r="F28" s="158"/>
      <c r="G28" s="159"/>
    </row>
    <row r="29" ht="15.75" customHeight="1">
      <c r="A29" s="155" t="s">
        <v>231</v>
      </c>
      <c r="B29" s="156" t="s">
        <v>569</v>
      </c>
      <c r="C29" s="156" t="s">
        <v>569</v>
      </c>
      <c r="D29" s="157" t="s">
        <v>725</v>
      </c>
      <c r="E29" s="162" t="s">
        <v>726</v>
      </c>
      <c r="F29" s="158"/>
      <c r="G29" s="159"/>
    </row>
    <row r="30" ht="15.75" customHeight="1">
      <c r="A30" s="155" t="s">
        <v>233</v>
      </c>
      <c r="B30" s="156" t="s">
        <v>569</v>
      </c>
      <c r="C30" s="156" t="s">
        <v>569</v>
      </c>
      <c r="D30" s="157" t="s">
        <v>725</v>
      </c>
      <c r="E30" s="162" t="s">
        <v>726</v>
      </c>
      <c r="F30" s="158"/>
      <c r="G30" s="142"/>
    </row>
    <row r="31" ht="15.75" customHeight="1">
      <c r="A31" s="155" t="s">
        <v>236</v>
      </c>
      <c r="B31" s="156" t="s">
        <v>569</v>
      </c>
      <c r="C31" s="156" t="s">
        <v>569</v>
      </c>
      <c r="D31" s="157" t="s">
        <v>723</v>
      </c>
      <c r="E31" s="130" t="s">
        <v>733</v>
      </c>
      <c r="F31" s="158"/>
      <c r="G31" s="159"/>
    </row>
    <row r="32" ht="15.75" customHeight="1">
      <c r="A32" s="155" t="s">
        <v>237</v>
      </c>
      <c r="B32" s="156" t="s">
        <v>569</v>
      </c>
      <c r="C32" s="156" t="s">
        <v>569</v>
      </c>
      <c r="D32" s="157" t="s">
        <v>722</v>
      </c>
      <c r="F32" s="158"/>
      <c r="G32" s="159"/>
    </row>
    <row r="33" ht="15.75" customHeight="1">
      <c r="A33" s="155" t="s">
        <v>241</v>
      </c>
      <c r="B33" s="156" t="s">
        <v>569</v>
      </c>
      <c r="C33" s="156" t="s">
        <v>569</v>
      </c>
      <c r="D33" s="164" t="s">
        <v>731</v>
      </c>
      <c r="F33" s="158"/>
      <c r="G33" s="159"/>
    </row>
    <row r="34" ht="15.75" customHeight="1">
      <c r="A34" s="155" t="s">
        <v>242</v>
      </c>
      <c r="B34" s="156" t="s">
        <v>569</v>
      </c>
      <c r="C34" s="156" t="s">
        <v>569</v>
      </c>
      <c r="D34" s="157" t="s">
        <v>722</v>
      </c>
      <c r="F34" s="158"/>
      <c r="G34" s="159"/>
    </row>
    <row r="35" ht="15.75" customHeight="1">
      <c r="A35" s="155" t="s">
        <v>245</v>
      </c>
      <c r="B35" s="156" t="s">
        <v>569</v>
      </c>
      <c r="C35" s="156" t="s">
        <v>569</v>
      </c>
      <c r="D35" s="164" t="s">
        <v>731</v>
      </c>
      <c r="F35" s="158"/>
      <c r="G35" s="159"/>
    </row>
    <row r="36" ht="15.75" customHeight="1">
      <c r="A36" s="155" t="s">
        <v>249</v>
      </c>
      <c r="B36" s="156" t="s">
        <v>569</v>
      </c>
      <c r="C36" s="156" t="s">
        <v>569</v>
      </c>
      <c r="D36" s="164" t="s">
        <v>731</v>
      </c>
      <c r="F36" s="158"/>
      <c r="G36" s="159"/>
    </row>
    <row r="37" ht="15.75" customHeight="1">
      <c r="A37" s="155" t="s">
        <v>250</v>
      </c>
      <c r="B37" s="156" t="s">
        <v>569</v>
      </c>
      <c r="C37" s="156" t="s">
        <v>569</v>
      </c>
      <c r="D37" s="157" t="s">
        <v>725</v>
      </c>
      <c r="E37" s="162" t="s">
        <v>726</v>
      </c>
      <c r="F37" s="158"/>
      <c r="G37" s="159"/>
    </row>
    <row r="38" ht="15.75" customHeight="1">
      <c r="A38" s="155" t="s">
        <v>253</v>
      </c>
      <c r="B38" s="156" t="s">
        <v>569</v>
      </c>
      <c r="C38" s="156" t="s">
        <v>569</v>
      </c>
      <c r="D38" s="157" t="s">
        <v>725</v>
      </c>
      <c r="E38" s="162" t="s">
        <v>726</v>
      </c>
      <c r="F38" s="158"/>
      <c r="G38" s="162"/>
    </row>
    <row r="39" ht="15.75" customHeight="1">
      <c r="A39" s="155" t="s">
        <v>255</v>
      </c>
      <c r="B39" s="156" t="s">
        <v>569</v>
      </c>
      <c r="C39" s="156" t="s">
        <v>569</v>
      </c>
      <c r="D39" s="157" t="s">
        <v>723</v>
      </c>
      <c r="E39" s="162" t="s">
        <v>734</v>
      </c>
      <c r="F39" s="158"/>
      <c r="G39" s="159"/>
    </row>
    <row r="40" ht="15.75" customHeight="1">
      <c r="A40" s="155" t="s">
        <v>258</v>
      </c>
      <c r="B40" s="156" t="s">
        <v>569</v>
      </c>
      <c r="C40" s="156" t="s">
        <v>569</v>
      </c>
      <c r="D40" s="157" t="s">
        <v>725</v>
      </c>
      <c r="E40" s="162" t="s">
        <v>726</v>
      </c>
      <c r="F40" s="158"/>
      <c r="G40" s="142"/>
    </row>
    <row r="41" ht="15.75" customHeight="1">
      <c r="A41" s="155" t="s">
        <v>262</v>
      </c>
      <c r="B41" s="156" t="s">
        <v>569</v>
      </c>
      <c r="C41" s="156" t="s">
        <v>569</v>
      </c>
      <c r="D41" s="164" t="s">
        <v>731</v>
      </c>
      <c r="F41" s="158"/>
      <c r="G41" s="159"/>
    </row>
    <row r="42" ht="15.75" customHeight="1">
      <c r="A42" s="155" t="s">
        <v>265</v>
      </c>
      <c r="B42" s="156" t="s">
        <v>145</v>
      </c>
      <c r="C42" s="160"/>
      <c r="D42" s="161"/>
      <c r="F42" s="158"/>
      <c r="G42" s="159"/>
    </row>
    <row r="43" ht="15.75" customHeight="1">
      <c r="A43" s="155" t="s">
        <v>735</v>
      </c>
      <c r="B43" s="156" t="s">
        <v>569</v>
      </c>
      <c r="C43" s="156" t="s">
        <v>569</v>
      </c>
      <c r="D43" s="157" t="s">
        <v>723</v>
      </c>
      <c r="E43" s="130" t="s">
        <v>736</v>
      </c>
      <c r="F43" s="158"/>
      <c r="G43" s="159"/>
    </row>
    <row r="44" ht="15.75" customHeight="1">
      <c r="A44" s="155" t="s">
        <v>271</v>
      </c>
      <c r="B44" s="156" t="s">
        <v>569</v>
      </c>
      <c r="C44" s="156" t="s">
        <v>569</v>
      </c>
      <c r="D44" s="164" t="s">
        <v>731</v>
      </c>
      <c r="F44" s="158"/>
      <c r="G44" s="159"/>
    </row>
    <row r="45" ht="15.75" customHeight="1">
      <c r="A45" s="155" t="s">
        <v>274</v>
      </c>
      <c r="B45" s="156" t="s">
        <v>145</v>
      </c>
      <c r="C45" s="160"/>
      <c r="D45" s="161"/>
    </row>
    <row r="46" ht="15.75" customHeight="1">
      <c r="A46" s="155" t="s">
        <v>277</v>
      </c>
      <c r="B46" s="156" t="s">
        <v>569</v>
      </c>
      <c r="C46" s="156" t="s">
        <v>569</v>
      </c>
      <c r="D46" s="157" t="s">
        <v>723</v>
      </c>
      <c r="F46" s="158"/>
      <c r="G46" s="159"/>
    </row>
    <row r="47" ht="15.75" customHeight="1">
      <c r="A47" s="155" t="s">
        <v>281</v>
      </c>
      <c r="B47" s="156" t="s">
        <v>569</v>
      </c>
      <c r="C47" s="156" t="s">
        <v>569</v>
      </c>
      <c r="D47" s="157" t="s">
        <v>725</v>
      </c>
      <c r="E47" s="162" t="s">
        <v>726</v>
      </c>
      <c r="F47" s="158"/>
      <c r="G47" s="159"/>
    </row>
    <row r="48" ht="15.75" customHeight="1">
      <c r="A48" s="155" t="s">
        <v>282</v>
      </c>
      <c r="B48" s="156" t="s">
        <v>569</v>
      </c>
      <c r="C48" s="156" t="s">
        <v>569</v>
      </c>
      <c r="D48" s="157" t="s">
        <v>725</v>
      </c>
      <c r="E48" s="162" t="s">
        <v>726</v>
      </c>
      <c r="F48" s="158"/>
      <c r="G48" s="159"/>
    </row>
    <row r="49" ht="15.75" customHeight="1">
      <c r="A49" s="155" t="s">
        <v>283</v>
      </c>
      <c r="B49" s="156" t="s">
        <v>569</v>
      </c>
      <c r="C49" s="156" t="s">
        <v>569</v>
      </c>
      <c r="D49" s="164" t="s">
        <v>731</v>
      </c>
      <c r="F49" s="158"/>
      <c r="G49" s="159"/>
    </row>
    <row r="50" ht="15.75" customHeight="1">
      <c r="A50" s="155" t="s">
        <v>288</v>
      </c>
      <c r="B50" s="156" t="s">
        <v>569</v>
      </c>
      <c r="C50" s="156" t="s">
        <v>569</v>
      </c>
      <c r="D50" s="164" t="s">
        <v>731</v>
      </c>
      <c r="F50" s="162" t="s">
        <v>737</v>
      </c>
      <c r="G50" s="159"/>
    </row>
    <row r="51" ht="15.75" customHeight="1">
      <c r="A51" s="155" t="s">
        <v>291</v>
      </c>
      <c r="B51" s="156" t="s">
        <v>569</v>
      </c>
      <c r="C51" s="156" t="s">
        <v>569</v>
      </c>
      <c r="D51" s="164" t="s">
        <v>731</v>
      </c>
      <c r="F51" s="158"/>
      <c r="G51" s="159"/>
    </row>
    <row r="52" ht="15.75" customHeight="1">
      <c r="A52" s="155" t="s">
        <v>294</v>
      </c>
      <c r="B52" s="156" t="s">
        <v>569</v>
      </c>
      <c r="C52" s="156" t="s">
        <v>569</v>
      </c>
      <c r="D52" s="164" t="s">
        <v>731</v>
      </c>
      <c r="F52" s="158"/>
      <c r="G52" s="159"/>
    </row>
    <row r="53" ht="15.75" customHeight="1">
      <c r="A53" s="155" t="s">
        <v>298</v>
      </c>
      <c r="B53" s="156" t="s">
        <v>569</v>
      </c>
      <c r="C53" s="156" t="s">
        <v>569</v>
      </c>
      <c r="D53" s="164" t="s">
        <v>731</v>
      </c>
      <c r="F53" s="158"/>
      <c r="G53" s="159"/>
    </row>
    <row r="54" ht="15.75" customHeight="1">
      <c r="A54" s="155" t="s">
        <v>300</v>
      </c>
      <c r="B54" s="156" t="s">
        <v>569</v>
      </c>
      <c r="C54" s="156" t="s">
        <v>569</v>
      </c>
      <c r="D54" s="157" t="s">
        <v>725</v>
      </c>
      <c r="E54" s="162" t="s">
        <v>726</v>
      </c>
      <c r="F54" s="158"/>
      <c r="G54" s="159"/>
    </row>
    <row r="55" ht="15.75" customHeight="1">
      <c r="A55" s="155" t="s">
        <v>301</v>
      </c>
      <c r="B55" s="156" t="s">
        <v>569</v>
      </c>
      <c r="C55" s="156" t="s">
        <v>569</v>
      </c>
      <c r="D55" s="157" t="s">
        <v>725</v>
      </c>
      <c r="E55" s="162" t="s">
        <v>726</v>
      </c>
      <c r="F55" s="158"/>
      <c r="G55" s="159"/>
    </row>
    <row r="56" ht="15.75" customHeight="1">
      <c r="A56" s="155" t="s">
        <v>302</v>
      </c>
      <c r="B56" s="156" t="s">
        <v>569</v>
      </c>
      <c r="C56" s="156" t="s">
        <v>569</v>
      </c>
      <c r="D56" s="157" t="s">
        <v>725</v>
      </c>
      <c r="E56" s="162" t="s">
        <v>726</v>
      </c>
      <c r="F56" s="158"/>
      <c r="G56" s="159"/>
    </row>
    <row r="57" ht="15.75" customHeight="1">
      <c r="A57" s="155" t="s">
        <v>305</v>
      </c>
      <c r="B57" s="156" t="s">
        <v>569</v>
      </c>
      <c r="C57" s="156" t="s">
        <v>569</v>
      </c>
      <c r="D57" s="164" t="s">
        <v>731</v>
      </c>
      <c r="F57" s="158"/>
      <c r="G57" s="159"/>
    </row>
    <row r="58" ht="15.75" customHeight="1">
      <c r="A58" s="155" t="s">
        <v>309</v>
      </c>
      <c r="B58" s="156" t="s">
        <v>569</v>
      </c>
      <c r="C58" s="156" t="s">
        <v>569</v>
      </c>
      <c r="D58" s="157" t="s">
        <v>722</v>
      </c>
      <c r="F58" s="165"/>
      <c r="G58" s="159"/>
    </row>
    <row r="59" ht="15.75" customHeight="1">
      <c r="A59" s="155" t="s">
        <v>311</v>
      </c>
      <c r="B59" s="156" t="s">
        <v>569</v>
      </c>
      <c r="C59" s="156" t="s">
        <v>569</v>
      </c>
      <c r="D59" s="157" t="s">
        <v>723</v>
      </c>
      <c r="E59" s="162" t="s">
        <v>738</v>
      </c>
      <c r="F59" s="158"/>
      <c r="G59" s="159"/>
    </row>
    <row r="60" ht="20.25" customHeight="1">
      <c r="A60" s="155" t="s">
        <v>313</v>
      </c>
      <c r="B60" s="156" t="s">
        <v>569</v>
      </c>
      <c r="C60" s="156" t="s">
        <v>569</v>
      </c>
      <c r="D60" s="164" t="s">
        <v>731</v>
      </c>
      <c r="F60" s="162" t="s">
        <v>737</v>
      </c>
      <c r="G60" s="159"/>
    </row>
    <row r="61" ht="15.75" customHeight="1">
      <c r="A61" s="155" t="s">
        <v>315</v>
      </c>
      <c r="B61" s="156" t="s">
        <v>569</v>
      </c>
      <c r="C61" s="156" t="s">
        <v>569</v>
      </c>
      <c r="D61" s="164" t="s">
        <v>731</v>
      </c>
      <c r="F61" s="158"/>
      <c r="G61" s="142"/>
    </row>
    <row r="62" ht="15.75" customHeight="1">
      <c r="A62" s="155" t="s">
        <v>317</v>
      </c>
      <c r="B62" s="156" t="s">
        <v>569</v>
      </c>
      <c r="C62" s="156" t="s">
        <v>569</v>
      </c>
      <c r="D62" s="157" t="s">
        <v>723</v>
      </c>
      <c r="F62" s="158"/>
      <c r="G62" s="142"/>
    </row>
    <row r="63" ht="15.75" customHeight="1">
      <c r="A63" s="155" t="s">
        <v>319</v>
      </c>
      <c r="B63" s="156" t="s">
        <v>569</v>
      </c>
      <c r="C63" s="156" t="s">
        <v>569</v>
      </c>
      <c r="D63" s="157" t="s">
        <v>722</v>
      </c>
      <c r="F63" s="158"/>
      <c r="G63" s="142"/>
    </row>
    <row r="64" ht="15.75" customHeight="1">
      <c r="A64" s="155" t="s">
        <v>324</v>
      </c>
      <c r="B64" s="156" t="s">
        <v>569</v>
      </c>
      <c r="C64" s="156" t="s">
        <v>569</v>
      </c>
      <c r="D64" s="157" t="s">
        <v>725</v>
      </c>
      <c r="E64" s="162" t="s">
        <v>726</v>
      </c>
      <c r="F64" s="158"/>
      <c r="G64" s="142"/>
    </row>
    <row r="65" ht="15.75" customHeight="1">
      <c r="A65" s="155" t="s">
        <v>327</v>
      </c>
      <c r="B65" s="156" t="s">
        <v>569</v>
      </c>
      <c r="C65" s="156" t="s">
        <v>569</v>
      </c>
      <c r="D65" s="164" t="s">
        <v>739</v>
      </c>
      <c r="E65" s="162" t="s">
        <v>740</v>
      </c>
      <c r="F65" s="158"/>
      <c r="G65" s="142"/>
    </row>
    <row r="66" ht="15.75" customHeight="1">
      <c r="A66" s="155" t="s">
        <v>329</v>
      </c>
      <c r="B66" s="156" t="s">
        <v>569</v>
      </c>
      <c r="C66" s="156" t="s">
        <v>569</v>
      </c>
      <c r="D66" s="157" t="s">
        <v>741</v>
      </c>
      <c r="F66" s="159"/>
      <c r="G66" s="142"/>
    </row>
    <row r="67" ht="15.75" customHeight="1">
      <c r="A67" s="155" t="s">
        <v>336</v>
      </c>
      <c r="B67" s="156" t="s">
        <v>569</v>
      </c>
      <c r="C67" s="156" t="s">
        <v>569</v>
      </c>
      <c r="D67" s="157" t="s">
        <v>722</v>
      </c>
    </row>
    <row r="68" ht="15.75" customHeight="1">
      <c r="A68" s="155" t="s">
        <v>338</v>
      </c>
      <c r="B68" s="156" t="s">
        <v>569</v>
      </c>
      <c r="C68" s="156" t="s">
        <v>569</v>
      </c>
      <c r="D68" s="157" t="s">
        <v>722</v>
      </c>
    </row>
    <row r="69" ht="15.75" customHeight="1">
      <c r="A69" s="155" t="s">
        <v>342</v>
      </c>
      <c r="B69" s="156" t="s">
        <v>569</v>
      </c>
      <c r="C69" s="156" t="s">
        <v>569</v>
      </c>
      <c r="D69" s="157" t="s">
        <v>722</v>
      </c>
    </row>
    <row r="70" ht="15.75" customHeight="1">
      <c r="A70" s="155" t="s">
        <v>346</v>
      </c>
      <c r="B70" s="156" t="s">
        <v>569</v>
      </c>
      <c r="C70" s="156" t="s">
        <v>569</v>
      </c>
      <c r="D70" s="157" t="s">
        <v>722</v>
      </c>
    </row>
    <row r="71" ht="15.75" customHeight="1">
      <c r="A71" s="155" t="s">
        <v>347</v>
      </c>
      <c r="B71" s="156" t="s">
        <v>145</v>
      </c>
      <c r="C71" s="160"/>
      <c r="D71" s="161"/>
    </row>
    <row r="72" ht="15.75" customHeight="1">
      <c r="A72" s="155" t="s">
        <v>350</v>
      </c>
      <c r="B72" s="156" t="s">
        <v>569</v>
      </c>
      <c r="C72" s="156" t="s">
        <v>569</v>
      </c>
      <c r="D72" s="157" t="s">
        <v>722</v>
      </c>
    </row>
    <row r="73" ht="15.75" customHeight="1">
      <c r="A73" s="155" t="s">
        <v>351</v>
      </c>
      <c r="B73" s="156" t="s">
        <v>569</v>
      </c>
      <c r="C73" s="156" t="s">
        <v>569</v>
      </c>
      <c r="D73" s="157" t="s">
        <v>722</v>
      </c>
    </row>
    <row r="74" ht="15.75" customHeight="1">
      <c r="A74" s="155" t="s">
        <v>355</v>
      </c>
      <c r="B74" s="156" t="s">
        <v>569</v>
      </c>
      <c r="C74" s="166" t="s">
        <v>569</v>
      </c>
      <c r="D74" s="157" t="s">
        <v>723</v>
      </c>
      <c r="E74" s="162" t="s">
        <v>726</v>
      </c>
    </row>
    <row r="75" ht="15.75" customHeight="1">
      <c r="A75" s="155" t="s">
        <v>356</v>
      </c>
      <c r="B75" s="156" t="s">
        <v>569</v>
      </c>
      <c r="C75" s="166" t="s">
        <v>569</v>
      </c>
      <c r="D75" s="157" t="s">
        <v>722</v>
      </c>
    </row>
    <row r="76" ht="15.75" customHeight="1">
      <c r="A76" s="155" t="s">
        <v>357</v>
      </c>
      <c r="B76" s="156" t="s">
        <v>569</v>
      </c>
      <c r="C76" s="166" t="s">
        <v>569</v>
      </c>
      <c r="D76" s="157" t="s">
        <v>722</v>
      </c>
    </row>
    <row r="77" ht="15.75" customHeight="1">
      <c r="A77" s="155" t="s">
        <v>742</v>
      </c>
      <c r="B77" s="156" t="s">
        <v>569</v>
      </c>
      <c r="C77" s="166" t="s">
        <v>569</v>
      </c>
      <c r="D77" s="157" t="s">
        <v>723</v>
      </c>
    </row>
    <row r="78" ht="15.75" customHeight="1">
      <c r="A78" s="155" t="s">
        <v>358</v>
      </c>
      <c r="B78" s="156" t="s">
        <v>569</v>
      </c>
      <c r="C78" s="166" t="s">
        <v>569</v>
      </c>
      <c r="D78" s="157" t="s">
        <v>722</v>
      </c>
    </row>
    <row r="79" ht="15.75" customHeight="1">
      <c r="A79" s="155" t="s">
        <v>359</v>
      </c>
      <c r="B79" s="156" t="s">
        <v>569</v>
      </c>
      <c r="C79" s="166" t="s">
        <v>569</v>
      </c>
      <c r="D79" s="157" t="s">
        <v>722</v>
      </c>
    </row>
    <row r="80" ht="15.75" customHeight="1">
      <c r="A80" s="155" t="s">
        <v>361</v>
      </c>
      <c r="B80" s="156" t="s">
        <v>569</v>
      </c>
      <c r="C80" s="156" t="s">
        <v>569</v>
      </c>
      <c r="D80" s="157" t="s">
        <v>722</v>
      </c>
    </row>
    <row r="81" ht="15.75" customHeight="1">
      <c r="A81" s="155" t="s">
        <v>363</v>
      </c>
      <c r="B81" s="156" t="s">
        <v>569</v>
      </c>
      <c r="C81" s="156" t="s">
        <v>569</v>
      </c>
      <c r="D81" s="157" t="s">
        <v>722</v>
      </c>
    </row>
    <row r="82" ht="15.75" customHeight="1">
      <c r="A82" s="155" t="s">
        <v>364</v>
      </c>
      <c r="B82" s="156" t="s">
        <v>569</v>
      </c>
      <c r="C82" s="166" t="s">
        <v>569</v>
      </c>
      <c r="D82" s="157" t="s">
        <v>722</v>
      </c>
    </row>
    <row r="83" ht="15.75" customHeight="1">
      <c r="A83" s="155" t="s">
        <v>365</v>
      </c>
      <c r="B83" s="156" t="s">
        <v>569</v>
      </c>
      <c r="C83" s="166" t="s">
        <v>569</v>
      </c>
      <c r="D83" s="157" t="s">
        <v>722</v>
      </c>
    </row>
    <row r="84" ht="15.75" customHeight="1">
      <c r="A84" s="155" t="s">
        <v>368</v>
      </c>
      <c r="B84" s="156" t="s">
        <v>569</v>
      </c>
      <c r="C84" s="166" t="s">
        <v>569</v>
      </c>
      <c r="D84" s="157" t="s">
        <v>722</v>
      </c>
    </row>
    <row r="85" ht="15.75" customHeight="1">
      <c r="A85" s="155" t="s">
        <v>370</v>
      </c>
      <c r="B85" s="156" t="s">
        <v>569</v>
      </c>
      <c r="C85" s="166" t="s">
        <v>569</v>
      </c>
      <c r="D85" s="157" t="s">
        <v>722</v>
      </c>
    </row>
    <row r="86" ht="15.75" customHeight="1">
      <c r="A86" s="155" t="s">
        <v>371</v>
      </c>
      <c r="B86" s="156" t="s">
        <v>569</v>
      </c>
      <c r="C86" s="156" t="s">
        <v>569</v>
      </c>
      <c r="D86" s="157" t="s">
        <v>723</v>
      </c>
      <c r="E86" s="162" t="s">
        <v>726</v>
      </c>
    </row>
    <row r="87" ht="12.75" customHeight="1">
      <c r="A87" s="155" t="s">
        <v>372</v>
      </c>
      <c r="B87" s="156" t="s">
        <v>569</v>
      </c>
      <c r="C87" s="166" t="s">
        <v>569</v>
      </c>
      <c r="D87" s="157" t="s">
        <v>723</v>
      </c>
      <c r="E87" s="162" t="s">
        <v>726</v>
      </c>
    </row>
    <row r="88" ht="15.75" customHeight="1">
      <c r="A88" s="155" t="s">
        <v>374</v>
      </c>
      <c r="B88" s="156" t="s">
        <v>569</v>
      </c>
      <c r="C88" s="166" t="s">
        <v>569</v>
      </c>
      <c r="D88" s="157" t="s">
        <v>723</v>
      </c>
      <c r="E88" s="162" t="s">
        <v>726</v>
      </c>
    </row>
    <row r="89" ht="15.75" customHeight="1">
      <c r="A89" s="155" t="s">
        <v>375</v>
      </c>
      <c r="B89" s="156" t="s">
        <v>569</v>
      </c>
      <c r="C89" s="166" t="s">
        <v>569</v>
      </c>
      <c r="D89" s="157" t="s">
        <v>722</v>
      </c>
    </row>
    <row r="90" ht="15.75" customHeight="1">
      <c r="A90" s="155" t="s">
        <v>379</v>
      </c>
      <c r="B90" s="156" t="s">
        <v>569</v>
      </c>
      <c r="C90" s="166" t="s">
        <v>569</v>
      </c>
      <c r="D90" s="157" t="s">
        <v>722</v>
      </c>
    </row>
    <row r="91" ht="15.75" customHeight="1">
      <c r="A91" s="155" t="s">
        <v>381</v>
      </c>
      <c r="B91" s="156" t="s">
        <v>569</v>
      </c>
      <c r="C91" s="156" t="s">
        <v>569</v>
      </c>
      <c r="D91" s="157" t="s">
        <v>723</v>
      </c>
      <c r="E91" s="162" t="s">
        <v>743</v>
      </c>
    </row>
    <row r="92" ht="15.75" customHeight="1">
      <c r="A92" s="155" t="s">
        <v>383</v>
      </c>
      <c r="B92" s="156" t="s">
        <v>569</v>
      </c>
      <c r="C92" s="156" t="s">
        <v>569</v>
      </c>
      <c r="D92" s="157" t="s">
        <v>722</v>
      </c>
    </row>
    <row r="93" ht="15.75" customHeight="1">
      <c r="A93" s="155" t="s">
        <v>386</v>
      </c>
      <c r="B93" s="156" t="s">
        <v>569</v>
      </c>
      <c r="C93" s="156" t="s">
        <v>569</v>
      </c>
      <c r="D93" s="157" t="s">
        <v>722</v>
      </c>
    </row>
    <row r="94" ht="15.75" customHeight="1">
      <c r="A94" s="155" t="s">
        <v>387</v>
      </c>
      <c r="B94" s="156" t="s">
        <v>145</v>
      </c>
      <c r="C94" s="160"/>
      <c r="D94" s="161"/>
    </row>
    <row r="95" ht="15.75" customHeight="1">
      <c r="A95" s="155" t="s">
        <v>389</v>
      </c>
      <c r="B95" s="156" t="s">
        <v>569</v>
      </c>
      <c r="C95" s="156" t="s">
        <v>569</v>
      </c>
      <c r="D95" s="157" t="s">
        <v>723</v>
      </c>
      <c r="E95" s="162" t="s">
        <v>744</v>
      </c>
    </row>
    <row r="96" ht="15.75" customHeight="1">
      <c r="A96" s="155" t="s">
        <v>390</v>
      </c>
      <c r="B96" s="156" t="s">
        <v>569</v>
      </c>
      <c r="C96" s="156" t="s">
        <v>569</v>
      </c>
      <c r="D96" s="157" t="s">
        <v>722</v>
      </c>
    </row>
    <row r="97" ht="15.75" customHeight="1">
      <c r="A97" s="155" t="s">
        <v>395</v>
      </c>
      <c r="B97" s="156" t="s">
        <v>569</v>
      </c>
      <c r="C97" s="156" t="s">
        <v>569</v>
      </c>
      <c r="D97" s="157" t="s">
        <v>723</v>
      </c>
      <c r="E97" s="162" t="s">
        <v>745</v>
      </c>
    </row>
    <row r="98" ht="15.75" customHeight="1">
      <c r="A98" s="155" t="s">
        <v>399</v>
      </c>
      <c r="B98" s="156" t="s">
        <v>569</v>
      </c>
      <c r="C98" s="156" t="s">
        <v>569</v>
      </c>
      <c r="D98" s="157" t="s">
        <v>723</v>
      </c>
      <c r="E98" s="162" t="s">
        <v>746</v>
      </c>
    </row>
    <row r="99" ht="15.75" customHeight="1">
      <c r="A99" s="155" t="s">
        <v>403</v>
      </c>
      <c r="B99" s="156" t="s">
        <v>569</v>
      </c>
      <c r="C99" s="167" t="s">
        <v>145</v>
      </c>
      <c r="E99" s="168">
        <v>45570.0</v>
      </c>
    </row>
    <row r="100" ht="15.75" customHeight="1">
      <c r="A100" s="155" t="s">
        <v>406</v>
      </c>
      <c r="B100" s="156" t="s">
        <v>569</v>
      </c>
      <c r="C100" s="156" t="s">
        <v>569</v>
      </c>
      <c r="D100" s="157" t="s">
        <v>722</v>
      </c>
    </row>
    <row r="101" ht="15.75" customHeight="1">
      <c r="A101" s="155" t="s">
        <v>411</v>
      </c>
      <c r="B101" s="156" t="s">
        <v>569</v>
      </c>
      <c r="C101" s="156" t="s">
        <v>569</v>
      </c>
      <c r="D101" s="157" t="s">
        <v>722</v>
      </c>
    </row>
    <row r="102" ht="15.75" customHeight="1">
      <c r="A102" s="155" t="s">
        <v>412</v>
      </c>
      <c r="B102" s="156" t="s">
        <v>569</v>
      </c>
      <c r="C102" s="167" t="s">
        <v>145</v>
      </c>
      <c r="E102" s="168">
        <v>45243.0</v>
      </c>
    </row>
    <row r="103" ht="15.75" customHeight="1">
      <c r="A103" s="155" t="s">
        <v>414</v>
      </c>
      <c r="B103" s="156" t="s">
        <v>569</v>
      </c>
      <c r="C103" s="156" t="s">
        <v>569</v>
      </c>
      <c r="D103" s="157" t="s">
        <v>722</v>
      </c>
    </row>
    <row r="104" ht="15.75" customHeight="1">
      <c r="A104" s="155" t="s">
        <v>417</v>
      </c>
      <c r="B104" s="156" t="s">
        <v>569</v>
      </c>
      <c r="C104" s="156" t="s">
        <v>569</v>
      </c>
      <c r="D104" s="157" t="s">
        <v>722</v>
      </c>
    </row>
    <row r="105" ht="15.75" customHeight="1">
      <c r="A105" s="155" t="s">
        <v>418</v>
      </c>
      <c r="B105" s="156" t="s">
        <v>569</v>
      </c>
      <c r="C105" s="156" t="s">
        <v>569</v>
      </c>
      <c r="D105" s="157" t="s">
        <v>723</v>
      </c>
      <c r="E105" s="162" t="s">
        <v>747</v>
      </c>
    </row>
    <row r="106" ht="15.75" customHeight="1">
      <c r="A106" s="155" t="s">
        <v>419</v>
      </c>
      <c r="B106" s="156" t="s">
        <v>569</v>
      </c>
      <c r="C106" s="156" t="s">
        <v>569</v>
      </c>
      <c r="D106" s="157" t="s">
        <v>723</v>
      </c>
      <c r="E106" s="162" t="s">
        <v>726</v>
      </c>
    </row>
    <row r="107" ht="15.75" customHeight="1">
      <c r="A107" s="155" t="s">
        <v>422</v>
      </c>
      <c r="B107" s="156" t="s">
        <v>569</v>
      </c>
      <c r="C107" s="156" t="s">
        <v>569</v>
      </c>
      <c r="D107" s="157" t="s">
        <v>722</v>
      </c>
      <c r="E107" s="169"/>
    </row>
    <row r="108" ht="15.75" customHeight="1">
      <c r="A108" s="155" t="s">
        <v>423</v>
      </c>
      <c r="B108" s="156" t="s">
        <v>569</v>
      </c>
      <c r="C108" s="156" t="s">
        <v>569</v>
      </c>
      <c r="D108" s="157" t="s">
        <v>722</v>
      </c>
      <c r="E108" s="130"/>
    </row>
    <row r="109" ht="15.75" customHeight="1">
      <c r="A109" s="155" t="s">
        <v>425</v>
      </c>
      <c r="B109" s="156" t="s">
        <v>569</v>
      </c>
      <c r="C109" s="156" t="s">
        <v>569</v>
      </c>
      <c r="D109" s="157" t="s">
        <v>722</v>
      </c>
    </row>
    <row r="110" ht="15.75" customHeight="1">
      <c r="A110" s="155" t="s">
        <v>427</v>
      </c>
      <c r="B110" s="156" t="s">
        <v>569</v>
      </c>
      <c r="C110" s="156" t="s">
        <v>569</v>
      </c>
      <c r="D110" s="157" t="s">
        <v>723</v>
      </c>
      <c r="E110" s="162" t="s">
        <v>726</v>
      </c>
    </row>
    <row r="111" ht="15.75" customHeight="1">
      <c r="A111" s="155" t="s">
        <v>429</v>
      </c>
      <c r="B111" s="156" t="s">
        <v>569</v>
      </c>
      <c r="C111" s="156" t="s">
        <v>569</v>
      </c>
      <c r="D111" s="157" t="s">
        <v>722</v>
      </c>
    </row>
    <row r="112" ht="15.75" customHeight="1">
      <c r="A112" s="155" t="s">
        <v>432</v>
      </c>
      <c r="B112" s="156" t="s">
        <v>569</v>
      </c>
      <c r="C112" s="156" t="s">
        <v>569</v>
      </c>
      <c r="D112" s="157" t="s">
        <v>722</v>
      </c>
    </row>
    <row r="113" ht="15.75" customHeight="1">
      <c r="A113" s="155" t="s">
        <v>434</v>
      </c>
      <c r="B113" s="156" t="s">
        <v>569</v>
      </c>
      <c r="C113" s="156" t="s">
        <v>569</v>
      </c>
      <c r="D113" s="157" t="s">
        <v>722</v>
      </c>
    </row>
    <row r="114" ht="15.75" customHeight="1">
      <c r="A114" s="155" t="s">
        <v>436</v>
      </c>
      <c r="B114" s="156" t="s">
        <v>569</v>
      </c>
      <c r="C114" s="156" t="s">
        <v>569</v>
      </c>
      <c r="D114" s="157" t="s">
        <v>722</v>
      </c>
    </row>
    <row r="115" ht="15.75" customHeight="1">
      <c r="A115" s="155" t="s">
        <v>439</v>
      </c>
      <c r="B115" s="156" t="s">
        <v>569</v>
      </c>
      <c r="C115" s="156" t="s">
        <v>569</v>
      </c>
      <c r="D115" s="157" t="s">
        <v>722</v>
      </c>
    </row>
    <row r="116" ht="15.75" customHeight="1">
      <c r="A116" s="155" t="s">
        <v>440</v>
      </c>
      <c r="B116" s="156" t="s">
        <v>569</v>
      </c>
      <c r="C116" s="156" t="s">
        <v>569</v>
      </c>
      <c r="D116" s="157" t="s">
        <v>722</v>
      </c>
    </row>
    <row r="117" ht="15.75" customHeight="1">
      <c r="A117" s="155" t="s">
        <v>442</v>
      </c>
      <c r="B117" s="156" t="s">
        <v>569</v>
      </c>
      <c r="C117" s="156" t="s">
        <v>569</v>
      </c>
      <c r="D117" s="157" t="s">
        <v>723</v>
      </c>
      <c r="E117" s="162" t="s">
        <v>748</v>
      </c>
    </row>
    <row r="118" ht="15.75" customHeight="1">
      <c r="A118" s="155" t="s">
        <v>446</v>
      </c>
      <c r="B118" s="156" t="s">
        <v>569</v>
      </c>
      <c r="C118" s="156" t="s">
        <v>569</v>
      </c>
      <c r="D118" s="157" t="s">
        <v>749</v>
      </c>
      <c r="E118" s="130" t="s">
        <v>750</v>
      </c>
    </row>
    <row r="119" ht="15.75" customHeight="1">
      <c r="A119" s="155" t="s">
        <v>448</v>
      </c>
      <c r="B119" s="156" t="s">
        <v>569</v>
      </c>
      <c r="C119" s="156" t="s">
        <v>569</v>
      </c>
      <c r="D119" s="157" t="s">
        <v>749</v>
      </c>
      <c r="E119" s="130" t="s">
        <v>751</v>
      </c>
    </row>
    <row r="120" ht="15.75" customHeight="1">
      <c r="A120" s="155" t="s">
        <v>450</v>
      </c>
      <c r="B120" s="156" t="s">
        <v>569</v>
      </c>
      <c r="C120" s="167" t="s">
        <v>145</v>
      </c>
      <c r="E120" s="168">
        <v>45570.0</v>
      </c>
    </row>
    <row r="121" ht="15.75" customHeight="1">
      <c r="A121" s="155" t="s">
        <v>452</v>
      </c>
      <c r="B121" s="156" t="s">
        <v>569</v>
      </c>
      <c r="C121" s="156" t="s">
        <v>569</v>
      </c>
      <c r="D121" s="157" t="s">
        <v>722</v>
      </c>
    </row>
    <row r="122" ht="15.75" customHeight="1">
      <c r="A122" s="155" t="s">
        <v>454</v>
      </c>
      <c r="B122" s="156" t="s">
        <v>569</v>
      </c>
      <c r="C122" s="156" t="s">
        <v>569</v>
      </c>
      <c r="D122" s="157" t="s">
        <v>723</v>
      </c>
      <c r="E122" s="162" t="s">
        <v>726</v>
      </c>
    </row>
    <row r="123" ht="15.75" customHeight="1">
      <c r="A123" s="155" t="s">
        <v>456</v>
      </c>
      <c r="B123" s="156" t="s">
        <v>145</v>
      </c>
      <c r="C123" s="160"/>
      <c r="D123" s="161"/>
    </row>
    <row r="124" ht="15.75" customHeight="1">
      <c r="A124" s="155" t="s">
        <v>459</v>
      </c>
      <c r="B124" s="156" t="s">
        <v>569</v>
      </c>
      <c r="C124" s="156" t="s">
        <v>569</v>
      </c>
      <c r="D124" s="157" t="s">
        <v>722</v>
      </c>
    </row>
    <row r="125" ht="15.75" customHeight="1">
      <c r="A125" s="155" t="s">
        <v>463</v>
      </c>
      <c r="B125" s="156" t="s">
        <v>569</v>
      </c>
      <c r="C125" s="156" t="s">
        <v>569</v>
      </c>
      <c r="D125" s="157" t="s">
        <v>723</v>
      </c>
      <c r="E125" s="162" t="s">
        <v>726</v>
      </c>
    </row>
    <row r="126" ht="15.75" customHeight="1">
      <c r="A126" s="155" t="s">
        <v>467</v>
      </c>
      <c r="B126" s="156" t="s">
        <v>569</v>
      </c>
      <c r="C126" s="156" t="s">
        <v>569</v>
      </c>
      <c r="D126" s="157" t="s">
        <v>722</v>
      </c>
    </row>
    <row r="127" ht="15.75" customHeight="1">
      <c r="A127" s="155" t="s">
        <v>471</v>
      </c>
      <c r="B127" s="156" t="s">
        <v>569</v>
      </c>
      <c r="C127" s="156" t="s">
        <v>569</v>
      </c>
      <c r="D127" s="157" t="s">
        <v>722</v>
      </c>
    </row>
    <row r="128" ht="15.75" customHeight="1">
      <c r="A128" s="170" t="s">
        <v>473</v>
      </c>
      <c r="B128" s="156" t="s">
        <v>569</v>
      </c>
      <c r="C128" s="156" t="s">
        <v>569</v>
      </c>
      <c r="D128" s="157" t="s">
        <v>722</v>
      </c>
    </row>
    <row r="129" ht="15.75" customHeight="1">
      <c r="A129" s="170" t="s">
        <v>474</v>
      </c>
      <c r="B129" s="156" t="s">
        <v>569</v>
      </c>
      <c r="C129" s="156" t="s">
        <v>569</v>
      </c>
      <c r="D129" s="157" t="s">
        <v>723</v>
      </c>
      <c r="E129" s="162" t="s">
        <v>726</v>
      </c>
    </row>
    <row r="130" ht="15.75" customHeight="1">
      <c r="A130" s="170" t="s">
        <v>477</v>
      </c>
      <c r="B130" s="156" t="s">
        <v>569</v>
      </c>
      <c r="C130" s="156" t="s">
        <v>569</v>
      </c>
      <c r="D130" s="157" t="s">
        <v>723</v>
      </c>
      <c r="E130" s="162" t="s">
        <v>726</v>
      </c>
    </row>
    <row r="131" ht="15.75" customHeight="1">
      <c r="A131" s="170" t="s">
        <v>478</v>
      </c>
      <c r="B131" s="156" t="s">
        <v>569</v>
      </c>
      <c r="C131" s="156" t="s">
        <v>569</v>
      </c>
      <c r="D131" s="157" t="s">
        <v>723</v>
      </c>
      <c r="E131" s="162" t="s">
        <v>726</v>
      </c>
    </row>
    <row r="132" ht="15.75" customHeight="1">
      <c r="A132" s="170" t="s">
        <v>480</v>
      </c>
      <c r="B132" s="156" t="s">
        <v>569</v>
      </c>
      <c r="C132" s="156" t="s">
        <v>569</v>
      </c>
      <c r="D132" s="157" t="s">
        <v>722</v>
      </c>
    </row>
    <row r="133" ht="15.75" customHeight="1">
      <c r="A133" s="170" t="s">
        <v>484</v>
      </c>
      <c r="B133" s="156" t="s">
        <v>569</v>
      </c>
      <c r="C133" s="156" t="s">
        <v>569</v>
      </c>
      <c r="D133" s="157" t="s">
        <v>723</v>
      </c>
      <c r="E133" s="162" t="s">
        <v>726</v>
      </c>
    </row>
    <row r="134" ht="15.75" customHeight="1">
      <c r="A134" s="170" t="s">
        <v>488</v>
      </c>
      <c r="B134" s="156" t="s">
        <v>569</v>
      </c>
      <c r="C134" s="156" t="s">
        <v>569</v>
      </c>
      <c r="D134" s="157" t="s">
        <v>722</v>
      </c>
    </row>
    <row r="135" ht="15.75" customHeight="1">
      <c r="A135" s="170" t="s">
        <v>490</v>
      </c>
      <c r="B135" s="156" t="s">
        <v>569</v>
      </c>
      <c r="C135" s="156" t="s">
        <v>569</v>
      </c>
      <c r="D135" s="157" t="s">
        <v>722</v>
      </c>
    </row>
    <row r="136" ht="15.75" customHeight="1">
      <c r="A136" s="170" t="s">
        <v>491</v>
      </c>
      <c r="B136" s="156" t="s">
        <v>569</v>
      </c>
      <c r="C136" s="156" t="s">
        <v>569</v>
      </c>
      <c r="D136" s="157" t="s">
        <v>723</v>
      </c>
      <c r="E136" s="130" t="s">
        <v>726</v>
      </c>
    </row>
    <row r="137" ht="15.75" customHeight="1">
      <c r="A137" s="170" t="s">
        <v>492</v>
      </c>
      <c r="B137" s="156" t="s">
        <v>569</v>
      </c>
      <c r="C137" s="156" t="s">
        <v>569</v>
      </c>
      <c r="D137" s="157" t="s">
        <v>722</v>
      </c>
    </row>
    <row r="138" ht="15.75" customHeight="1">
      <c r="A138" s="170" t="s">
        <v>494</v>
      </c>
      <c r="B138" s="156" t="s">
        <v>569</v>
      </c>
      <c r="C138" s="156" t="s">
        <v>569</v>
      </c>
      <c r="D138" s="157" t="s">
        <v>722</v>
      </c>
    </row>
    <row r="139" ht="15.75" customHeight="1">
      <c r="A139" s="170" t="s">
        <v>497</v>
      </c>
      <c r="B139" s="156" t="s">
        <v>145</v>
      </c>
      <c r="C139" s="160"/>
      <c r="D139" s="161"/>
    </row>
    <row r="140" ht="15.75" customHeight="1">
      <c r="A140" s="171" t="s">
        <v>500</v>
      </c>
      <c r="B140" s="156" t="s">
        <v>569</v>
      </c>
      <c r="C140" s="156" t="s">
        <v>569</v>
      </c>
      <c r="D140" s="157" t="s">
        <v>722</v>
      </c>
    </row>
    <row r="141" ht="15.75" customHeight="1">
      <c r="A141" s="171" t="s">
        <v>503</v>
      </c>
      <c r="B141" s="156" t="s">
        <v>569</v>
      </c>
      <c r="C141" s="156" t="s">
        <v>569</v>
      </c>
      <c r="D141" s="157" t="s">
        <v>722</v>
      </c>
    </row>
    <row r="142" ht="15.75" customHeight="1">
      <c r="A142" s="171" t="s">
        <v>506</v>
      </c>
      <c r="B142" s="156" t="s">
        <v>569</v>
      </c>
      <c r="C142" s="156" t="s">
        <v>569</v>
      </c>
      <c r="D142" s="157" t="s">
        <v>722</v>
      </c>
    </row>
    <row r="143" ht="15.75" customHeight="1">
      <c r="A143" s="171" t="s">
        <v>510</v>
      </c>
      <c r="B143" s="156" t="s">
        <v>569</v>
      </c>
      <c r="C143" s="156" t="s">
        <v>569</v>
      </c>
      <c r="D143" s="157" t="s">
        <v>722</v>
      </c>
    </row>
    <row r="144" ht="15.75" customHeight="1">
      <c r="A144" s="171" t="s">
        <v>512</v>
      </c>
      <c r="B144" s="156" t="s">
        <v>569</v>
      </c>
      <c r="C144" s="156" t="s">
        <v>569</v>
      </c>
      <c r="D144" s="172" t="s">
        <v>749</v>
      </c>
    </row>
    <row r="145" ht="15.75" customHeight="1">
      <c r="A145" s="171" t="s">
        <v>515</v>
      </c>
      <c r="B145" s="156" t="s">
        <v>569</v>
      </c>
      <c r="C145" s="156" t="s">
        <v>569</v>
      </c>
      <c r="D145" s="157" t="s">
        <v>722</v>
      </c>
    </row>
    <row r="146" ht="15.75" customHeight="1">
      <c r="A146" s="171" t="s">
        <v>518</v>
      </c>
      <c r="B146" s="156" t="s">
        <v>569</v>
      </c>
      <c r="C146" s="167" t="s">
        <v>569</v>
      </c>
      <c r="D146" s="157" t="s">
        <v>722</v>
      </c>
    </row>
    <row r="147" ht="15.75" customHeight="1">
      <c r="A147" s="171" t="s">
        <v>520</v>
      </c>
      <c r="B147" s="156" t="s">
        <v>569</v>
      </c>
      <c r="C147" s="167" t="s">
        <v>569</v>
      </c>
      <c r="D147" s="157" t="s">
        <v>723</v>
      </c>
      <c r="E147" s="130" t="s">
        <v>726</v>
      </c>
    </row>
    <row r="148" ht="15.75" customHeight="1">
      <c r="A148" s="171" t="s">
        <v>521</v>
      </c>
      <c r="B148" s="156" t="s">
        <v>569</v>
      </c>
      <c r="C148" s="167" t="s">
        <v>569</v>
      </c>
      <c r="D148" s="157" t="s">
        <v>723</v>
      </c>
      <c r="E148" s="130" t="s">
        <v>726</v>
      </c>
    </row>
    <row r="149" ht="15.75" customHeight="1">
      <c r="A149" s="171" t="s">
        <v>523</v>
      </c>
      <c r="B149" s="156" t="s">
        <v>569</v>
      </c>
      <c r="C149" s="167" t="s">
        <v>569</v>
      </c>
      <c r="D149" s="157" t="s">
        <v>722</v>
      </c>
    </row>
    <row r="150" ht="15.75" customHeight="1">
      <c r="A150" s="171" t="s">
        <v>526</v>
      </c>
      <c r="B150" s="156" t="s">
        <v>569</v>
      </c>
      <c r="C150" s="167" t="s">
        <v>569</v>
      </c>
      <c r="D150" s="157" t="s">
        <v>722</v>
      </c>
    </row>
    <row r="151" ht="15.75" customHeight="1">
      <c r="A151" s="171" t="s">
        <v>527</v>
      </c>
      <c r="B151" s="156" t="s">
        <v>569</v>
      </c>
      <c r="C151" s="167" t="s">
        <v>569</v>
      </c>
      <c r="D151" s="157" t="s">
        <v>722</v>
      </c>
    </row>
    <row r="152" ht="15.75" customHeight="1">
      <c r="A152" s="170" t="s">
        <v>529</v>
      </c>
      <c r="B152" s="156" t="s">
        <v>145</v>
      </c>
      <c r="C152" s="160"/>
      <c r="D152" s="161"/>
    </row>
    <row r="153" ht="15.75" customHeight="1">
      <c r="A153" s="170" t="s">
        <v>532</v>
      </c>
      <c r="B153" s="156" t="s">
        <v>569</v>
      </c>
      <c r="C153" s="167" t="s">
        <v>569</v>
      </c>
      <c r="D153" s="157" t="s">
        <v>722</v>
      </c>
    </row>
    <row r="154" ht="15.75" customHeight="1">
      <c r="A154" s="170" t="s">
        <v>533</v>
      </c>
      <c r="B154" s="156" t="s">
        <v>569</v>
      </c>
      <c r="C154" s="167" t="s">
        <v>569</v>
      </c>
      <c r="D154" s="173" t="s">
        <v>749</v>
      </c>
      <c r="E154" s="134" t="s">
        <v>752</v>
      </c>
    </row>
    <row r="155" ht="15.75" customHeight="1">
      <c r="A155" s="170" t="s">
        <v>538</v>
      </c>
      <c r="B155" s="156" t="s">
        <v>569</v>
      </c>
      <c r="C155" s="167" t="s">
        <v>569</v>
      </c>
      <c r="D155" s="157" t="s">
        <v>723</v>
      </c>
      <c r="E155" s="130" t="s">
        <v>726</v>
      </c>
    </row>
    <row r="156" ht="15.75" customHeight="1">
      <c r="A156" s="171" t="s">
        <v>540</v>
      </c>
      <c r="B156" s="156" t="s">
        <v>569</v>
      </c>
      <c r="C156" s="167" t="s">
        <v>569</v>
      </c>
      <c r="D156" s="157" t="s">
        <v>722</v>
      </c>
    </row>
    <row r="157" ht="15.75" customHeight="1">
      <c r="A157" s="171" t="s">
        <v>542</v>
      </c>
      <c r="B157" s="156" t="s">
        <v>569</v>
      </c>
      <c r="C157" s="167" t="s">
        <v>569</v>
      </c>
      <c r="D157" s="157" t="s">
        <v>722</v>
      </c>
    </row>
    <row r="158" ht="15.75" customHeight="1">
      <c r="A158" s="171" t="s">
        <v>543</v>
      </c>
      <c r="B158" s="156" t="s">
        <v>569</v>
      </c>
      <c r="C158" s="167" t="s">
        <v>569</v>
      </c>
      <c r="D158" s="157" t="s">
        <v>722</v>
      </c>
    </row>
    <row r="159" ht="15.75" customHeight="1">
      <c r="A159" s="171" t="s">
        <v>546</v>
      </c>
      <c r="B159" s="156" t="s">
        <v>569</v>
      </c>
      <c r="C159" s="167" t="s">
        <v>569</v>
      </c>
      <c r="D159" s="157" t="s">
        <v>722</v>
      </c>
    </row>
    <row r="160" ht="15.75" customHeight="1">
      <c r="A160" s="171" t="s">
        <v>548</v>
      </c>
      <c r="B160" s="156" t="s">
        <v>569</v>
      </c>
      <c r="C160" s="167" t="s">
        <v>569</v>
      </c>
      <c r="D160" s="157" t="s">
        <v>722</v>
      </c>
    </row>
    <row r="161" ht="15.75" customHeight="1">
      <c r="A161" s="171" t="s">
        <v>550</v>
      </c>
      <c r="B161" s="167" t="s">
        <v>145</v>
      </c>
      <c r="C161" s="160"/>
      <c r="D161" s="161"/>
    </row>
    <row r="162" ht="15.75" customHeight="1">
      <c r="A162" s="171" t="s">
        <v>553</v>
      </c>
      <c r="B162" s="167" t="s">
        <v>569</v>
      </c>
      <c r="C162" s="167" t="s">
        <v>569</v>
      </c>
      <c r="D162" s="157" t="s">
        <v>722</v>
      </c>
    </row>
    <row r="163" ht="15.75" customHeight="1">
      <c r="A163" s="171" t="s">
        <v>555</v>
      </c>
      <c r="B163" s="156" t="s">
        <v>569</v>
      </c>
      <c r="C163" s="167" t="s">
        <v>569</v>
      </c>
      <c r="D163" s="157" t="s">
        <v>723</v>
      </c>
      <c r="E163" s="130" t="s">
        <v>726</v>
      </c>
    </row>
    <row r="164" ht="15.75" customHeight="1">
      <c r="A164" s="171" t="s">
        <v>557</v>
      </c>
      <c r="B164" s="156" t="s">
        <v>569</v>
      </c>
      <c r="C164" s="167" t="s">
        <v>569</v>
      </c>
      <c r="D164" s="157" t="s">
        <v>723</v>
      </c>
      <c r="E164" s="134" t="s">
        <v>753</v>
      </c>
    </row>
    <row r="165" ht="15.75" customHeight="1">
      <c r="A165" s="171" t="s">
        <v>559</v>
      </c>
      <c r="B165" s="156" t="s">
        <v>569</v>
      </c>
      <c r="C165" s="167" t="s">
        <v>569</v>
      </c>
      <c r="D165" s="157" t="s">
        <v>722</v>
      </c>
    </row>
    <row r="166" ht="15.75" customHeight="1">
      <c r="A166" s="171" t="s">
        <v>561</v>
      </c>
      <c r="B166" s="156" t="s">
        <v>569</v>
      </c>
      <c r="C166" s="167" t="s">
        <v>569</v>
      </c>
      <c r="D166" s="157" t="s">
        <v>722</v>
      </c>
    </row>
    <row r="167" ht="15.75" customHeight="1">
      <c r="A167" s="171" t="s">
        <v>563</v>
      </c>
      <c r="B167" s="156" t="s">
        <v>569</v>
      </c>
      <c r="C167" s="167" t="s">
        <v>569</v>
      </c>
      <c r="D167" s="157" t="s">
        <v>722</v>
      </c>
    </row>
    <row r="168" ht="15.75" customHeight="1">
      <c r="A168" s="171" t="s">
        <v>564</v>
      </c>
      <c r="B168" s="156" t="s">
        <v>569</v>
      </c>
      <c r="C168" s="167" t="s">
        <v>569</v>
      </c>
      <c r="D168" s="157" t="s">
        <v>722</v>
      </c>
    </row>
    <row r="169" ht="15.75" customHeight="1">
      <c r="A169" s="171" t="s">
        <v>567</v>
      </c>
      <c r="B169" s="156" t="s">
        <v>569</v>
      </c>
      <c r="C169" s="167" t="s">
        <v>569</v>
      </c>
      <c r="D169" s="157" t="s">
        <v>723</v>
      </c>
      <c r="E169" s="130" t="s">
        <v>726</v>
      </c>
    </row>
    <row r="170" ht="15.75" customHeight="1">
      <c r="A170" s="171" t="s">
        <v>570</v>
      </c>
      <c r="B170" s="156" t="s">
        <v>569</v>
      </c>
      <c r="C170" s="167" t="s">
        <v>569</v>
      </c>
      <c r="D170" s="157" t="s">
        <v>722</v>
      </c>
    </row>
    <row r="171" ht="15.75" customHeight="1">
      <c r="A171" s="171" t="s">
        <v>571</v>
      </c>
      <c r="B171" s="167" t="s">
        <v>569</v>
      </c>
      <c r="C171" s="167" t="s">
        <v>569</v>
      </c>
      <c r="D171" s="157" t="s">
        <v>722</v>
      </c>
      <c r="E171" s="174"/>
    </row>
    <row r="172" ht="15.75" customHeight="1">
      <c r="A172" s="171" t="s">
        <v>573</v>
      </c>
      <c r="B172" s="167" t="s">
        <v>569</v>
      </c>
      <c r="C172" s="167" t="s">
        <v>569</v>
      </c>
      <c r="D172" s="157" t="s">
        <v>723</v>
      </c>
      <c r="E172" s="130" t="s">
        <v>726</v>
      </c>
    </row>
    <row r="173" ht="15.75" customHeight="1">
      <c r="A173" s="171" t="s">
        <v>576</v>
      </c>
      <c r="B173" s="167" t="s">
        <v>569</v>
      </c>
      <c r="C173" s="167" t="s">
        <v>569</v>
      </c>
      <c r="D173" s="157" t="s">
        <v>722</v>
      </c>
      <c r="E173" s="174"/>
    </row>
    <row r="174" ht="15.75" customHeight="1">
      <c r="A174" s="171" t="s">
        <v>580</v>
      </c>
      <c r="B174" s="167" t="s">
        <v>569</v>
      </c>
      <c r="C174" s="167" t="s">
        <v>569</v>
      </c>
      <c r="D174" s="157" t="s">
        <v>722</v>
      </c>
      <c r="E174" s="174"/>
    </row>
    <row r="175" ht="15.75" customHeight="1">
      <c r="A175" s="171" t="s">
        <v>582</v>
      </c>
      <c r="B175" s="156" t="s">
        <v>569</v>
      </c>
      <c r="C175" s="167" t="s">
        <v>569</v>
      </c>
      <c r="D175" s="157" t="s">
        <v>723</v>
      </c>
      <c r="E175" s="130" t="s">
        <v>726</v>
      </c>
    </row>
    <row r="176" ht="15.75" customHeight="1">
      <c r="A176" s="171" t="s">
        <v>584</v>
      </c>
      <c r="B176" s="156" t="s">
        <v>569</v>
      </c>
      <c r="C176" s="167" t="s">
        <v>569</v>
      </c>
      <c r="D176" s="157" t="s">
        <v>723</v>
      </c>
      <c r="E176" s="130" t="s">
        <v>726</v>
      </c>
    </row>
    <row r="177" ht="15.75" customHeight="1">
      <c r="A177" s="171" t="s">
        <v>588</v>
      </c>
      <c r="B177" s="156" t="s">
        <v>569</v>
      </c>
      <c r="C177" s="167" t="s">
        <v>569</v>
      </c>
      <c r="D177" s="157" t="s">
        <v>723</v>
      </c>
      <c r="E177" s="134" t="s">
        <v>754</v>
      </c>
    </row>
    <row r="178" ht="15.75" customHeight="1">
      <c r="A178" s="171" t="s">
        <v>592</v>
      </c>
      <c r="B178" s="156" t="s">
        <v>569</v>
      </c>
      <c r="C178" s="167" t="s">
        <v>569</v>
      </c>
      <c r="D178" s="157" t="s">
        <v>722</v>
      </c>
      <c r="E178" s="134"/>
    </row>
    <row r="179" ht="15.75" customHeight="1">
      <c r="A179" s="171" t="s">
        <v>595</v>
      </c>
      <c r="B179" s="156" t="s">
        <v>569</v>
      </c>
      <c r="C179" s="167" t="s">
        <v>569</v>
      </c>
      <c r="D179" s="157" t="s">
        <v>723</v>
      </c>
      <c r="E179" s="130" t="s">
        <v>726</v>
      </c>
    </row>
    <row r="180" ht="15.75" customHeight="1">
      <c r="A180" s="171" t="s">
        <v>597</v>
      </c>
      <c r="B180" s="156" t="s">
        <v>569</v>
      </c>
      <c r="C180" s="167" t="s">
        <v>569</v>
      </c>
      <c r="D180" s="157" t="s">
        <v>722</v>
      </c>
    </row>
    <row r="181" ht="15.75" customHeight="1">
      <c r="A181" s="171" t="s">
        <v>598</v>
      </c>
      <c r="B181" s="156" t="s">
        <v>569</v>
      </c>
      <c r="C181" s="167" t="s">
        <v>569</v>
      </c>
      <c r="D181" s="157" t="s">
        <v>723</v>
      </c>
      <c r="E181" s="130" t="s">
        <v>726</v>
      </c>
    </row>
    <row r="182" ht="15.75" customHeight="1">
      <c r="A182" s="171" t="s">
        <v>601</v>
      </c>
      <c r="B182" s="156" t="s">
        <v>569</v>
      </c>
      <c r="C182" s="167" t="s">
        <v>569</v>
      </c>
      <c r="D182" s="157" t="s">
        <v>723</v>
      </c>
      <c r="E182" s="130" t="s">
        <v>726</v>
      </c>
    </row>
    <row r="183" ht="15.75" customHeight="1">
      <c r="A183" s="171" t="s">
        <v>604</v>
      </c>
      <c r="B183" s="156" t="s">
        <v>569</v>
      </c>
      <c r="C183" s="167" t="s">
        <v>569</v>
      </c>
      <c r="D183" s="157" t="s">
        <v>723</v>
      </c>
      <c r="E183" s="134" t="s">
        <v>755</v>
      </c>
    </row>
    <row r="184" ht="15.75" customHeight="1">
      <c r="A184" s="171" t="s">
        <v>606</v>
      </c>
      <c r="B184" s="156" t="s">
        <v>569</v>
      </c>
      <c r="C184" s="167" t="s">
        <v>569</v>
      </c>
      <c r="D184" s="157" t="s">
        <v>722</v>
      </c>
    </row>
    <row r="185" ht="15.75" customHeight="1">
      <c r="A185" s="171" t="s">
        <v>607</v>
      </c>
      <c r="B185" s="156" t="s">
        <v>569</v>
      </c>
      <c r="C185" s="167" t="s">
        <v>569</v>
      </c>
      <c r="D185" s="157" t="s">
        <v>722</v>
      </c>
    </row>
    <row r="186" ht="15.75" customHeight="1">
      <c r="A186" s="171" t="s">
        <v>609</v>
      </c>
      <c r="B186" s="156" t="s">
        <v>569</v>
      </c>
      <c r="C186" s="167" t="s">
        <v>569</v>
      </c>
      <c r="D186" s="157" t="s">
        <v>723</v>
      </c>
      <c r="E186" s="130" t="s">
        <v>726</v>
      </c>
    </row>
    <row r="187" ht="15.75" customHeight="1">
      <c r="A187" s="171" t="s">
        <v>610</v>
      </c>
      <c r="B187" s="156" t="s">
        <v>569</v>
      </c>
      <c r="C187" s="167" t="s">
        <v>569</v>
      </c>
      <c r="D187" s="157" t="s">
        <v>723</v>
      </c>
      <c r="E187" s="130" t="s">
        <v>726</v>
      </c>
    </row>
    <row r="188" ht="15.75" customHeight="1">
      <c r="A188" s="171" t="s">
        <v>613</v>
      </c>
      <c r="B188" s="156" t="s">
        <v>569</v>
      </c>
      <c r="C188" s="167" t="s">
        <v>569</v>
      </c>
      <c r="D188" s="157" t="s">
        <v>722</v>
      </c>
    </row>
    <row r="189" ht="15.75" customHeight="1">
      <c r="A189" s="171" t="s">
        <v>618</v>
      </c>
      <c r="B189" s="156" t="s">
        <v>569</v>
      </c>
      <c r="C189" s="167" t="s">
        <v>569</v>
      </c>
      <c r="D189" s="157" t="s">
        <v>722</v>
      </c>
    </row>
    <row r="190" ht="15.75" customHeight="1">
      <c r="A190" s="171" t="s">
        <v>623</v>
      </c>
      <c r="B190" s="156" t="s">
        <v>569</v>
      </c>
      <c r="C190" s="167" t="s">
        <v>569</v>
      </c>
      <c r="D190" s="157" t="s">
        <v>723</v>
      </c>
      <c r="E190" s="130" t="s">
        <v>726</v>
      </c>
    </row>
    <row r="191" ht="15.75" customHeight="1">
      <c r="A191" s="171" t="s">
        <v>626</v>
      </c>
      <c r="B191" s="156" t="s">
        <v>569</v>
      </c>
      <c r="C191" s="167" t="s">
        <v>569</v>
      </c>
      <c r="D191" s="173" t="s">
        <v>722</v>
      </c>
    </row>
    <row r="192" ht="15.75" customHeight="1">
      <c r="A192" s="171" t="s">
        <v>628</v>
      </c>
      <c r="B192" s="156" t="s">
        <v>569</v>
      </c>
      <c r="C192" s="167" t="s">
        <v>569</v>
      </c>
      <c r="D192" s="173" t="s">
        <v>722</v>
      </c>
    </row>
    <row r="193" ht="15.75" customHeight="1">
      <c r="A193" s="171" t="s">
        <v>629</v>
      </c>
      <c r="B193" s="156" t="s">
        <v>569</v>
      </c>
      <c r="C193" s="167" t="s">
        <v>569</v>
      </c>
      <c r="D193" s="173" t="s">
        <v>722</v>
      </c>
    </row>
    <row r="194" ht="15.75" customHeight="1">
      <c r="A194" s="171" t="s">
        <v>631</v>
      </c>
      <c r="B194" s="167" t="s">
        <v>145</v>
      </c>
      <c r="C194" s="160"/>
      <c r="D194" s="161"/>
    </row>
    <row r="195" ht="15.75" customHeight="1">
      <c r="A195" s="171" t="s">
        <v>632</v>
      </c>
      <c r="B195" s="156" t="s">
        <v>569</v>
      </c>
      <c r="C195" s="167" t="s">
        <v>569</v>
      </c>
      <c r="D195" s="157" t="s">
        <v>723</v>
      </c>
      <c r="E195" s="130" t="s">
        <v>726</v>
      </c>
    </row>
    <row r="196" ht="15.75" customHeight="1">
      <c r="A196" s="171" t="s">
        <v>636</v>
      </c>
      <c r="B196" s="156" t="s">
        <v>569</v>
      </c>
      <c r="C196" s="167" t="s">
        <v>569</v>
      </c>
      <c r="D196" s="173" t="s">
        <v>722</v>
      </c>
    </row>
    <row r="197" ht="15.75" customHeight="1">
      <c r="A197" s="171" t="s">
        <v>637</v>
      </c>
      <c r="B197" s="156" t="s">
        <v>569</v>
      </c>
      <c r="C197" s="167" t="s">
        <v>569</v>
      </c>
      <c r="D197" s="173" t="s">
        <v>722</v>
      </c>
    </row>
    <row r="198" ht="15.75" customHeight="1">
      <c r="A198" s="171" t="s">
        <v>638</v>
      </c>
      <c r="B198" s="156" t="s">
        <v>569</v>
      </c>
      <c r="C198" s="167" t="s">
        <v>569</v>
      </c>
      <c r="D198" s="173" t="s">
        <v>722</v>
      </c>
    </row>
    <row r="199" ht="15.75" customHeight="1">
      <c r="A199" s="171" t="s">
        <v>641</v>
      </c>
      <c r="B199" s="156" t="s">
        <v>569</v>
      </c>
      <c r="C199" s="167" t="s">
        <v>569</v>
      </c>
      <c r="D199" s="157" t="s">
        <v>723</v>
      </c>
      <c r="E199" s="130" t="s">
        <v>726</v>
      </c>
    </row>
    <row r="200" ht="15.75" customHeight="1">
      <c r="A200" s="171" t="s">
        <v>643</v>
      </c>
      <c r="B200" s="167" t="s">
        <v>145</v>
      </c>
      <c r="C200" s="160"/>
      <c r="D200" s="161"/>
    </row>
    <row r="201" ht="15.75" customHeight="1">
      <c r="A201" s="171" t="s">
        <v>647</v>
      </c>
      <c r="B201" s="156" t="s">
        <v>569</v>
      </c>
      <c r="C201" s="167" t="s">
        <v>569</v>
      </c>
      <c r="D201" s="173" t="s">
        <v>722</v>
      </c>
    </row>
    <row r="202" ht="15.75" customHeight="1">
      <c r="A202" s="171" t="s">
        <v>648</v>
      </c>
      <c r="B202" s="156" t="s">
        <v>569</v>
      </c>
      <c r="C202" s="167" t="s">
        <v>569</v>
      </c>
      <c r="D202" s="173" t="s">
        <v>722</v>
      </c>
    </row>
    <row r="203" ht="15.75" customHeight="1">
      <c r="A203" s="171" t="s">
        <v>650</v>
      </c>
      <c r="B203" s="156" t="s">
        <v>569</v>
      </c>
      <c r="C203" s="167" t="s">
        <v>569</v>
      </c>
      <c r="D203" s="173" t="s">
        <v>722</v>
      </c>
    </row>
    <row r="204" ht="15.75" customHeight="1">
      <c r="A204" s="171" t="s">
        <v>652</v>
      </c>
      <c r="B204" s="156" t="s">
        <v>569</v>
      </c>
      <c r="C204" s="167" t="s">
        <v>569</v>
      </c>
      <c r="D204" s="173" t="s">
        <v>722</v>
      </c>
    </row>
    <row r="205" ht="15.75" customHeight="1">
      <c r="A205" s="171" t="s">
        <v>656</v>
      </c>
      <c r="B205" s="156" t="s">
        <v>569</v>
      </c>
      <c r="C205" s="167" t="s">
        <v>569</v>
      </c>
      <c r="D205" s="173" t="s">
        <v>722</v>
      </c>
    </row>
    <row r="206" ht="15.75" customHeight="1">
      <c r="A206" s="171" t="s">
        <v>659</v>
      </c>
      <c r="B206" s="156" t="s">
        <v>569</v>
      </c>
      <c r="C206" s="167" t="s">
        <v>569</v>
      </c>
      <c r="D206" s="173" t="s">
        <v>722</v>
      </c>
    </row>
    <row r="207" ht="15.75" customHeight="1">
      <c r="A207" s="171" t="s">
        <v>662</v>
      </c>
      <c r="B207" s="156" t="s">
        <v>569</v>
      </c>
      <c r="C207" s="167" t="s">
        <v>569</v>
      </c>
      <c r="D207" s="173" t="s">
        <v>722</v>
      </c>
    </row>
    <row r="208" ht="15.75" customHeight="1">
      <c r="A208" s="171" t="s">
        <v>664</v>
      </c>
      <c r="B208" s="156" t="s">
        <v>569</v>
      </c>
      <c r="C208" s="167" t="s">
        <v>569</v>
      </c>
      <c r="D208" s="173" t="s">
        <v>722</v>
      </c>
    </row>
    <row r="209" ht="15.75" customHeight="1">
      <c r="A209" s="171" t="s">
        <v>665</v>
      </c>
      <c r="B209" s="156" t="s">
        <v>569</v>
      </c>
      <c r="C209" s="167" t="s">
        <v>569</v>
      </c>
      <c r="D209" s="157" t="s">
        <v>723</v>
      </c>
      <c r="E209" s="130" t="s">
        <v>726</v>
      </c>
    </row>
    <row r="210" ht="15.75" customHeight="1">
      <c r="A210" s="171" t="s">
        <v>666</v>
      </c>
      <c r="B210" s="156" t="s">
        <v>569</v>
      </c>
      <c r="C210" s="167" t="s">
        <v>569</v>
      </c>
      <c r="D210" s="157" t="s">
        <v>723</v>
      </c>
      <c r="E210" s="130" t="s">
        <v>726</v>
      </c>
    </row>
    <row r="211" ht="15.75" customHeight="1">
      <c r="A211" s="171" t="s">
        <v>671</v>
      </c>
      <c r="B211" s="156" t="s">
        <v>569</v>
      </c>
      <c r="C211" s="167" t="s">
        <v>569</v>
      </c>
      <c r="D211" s="157" t="s">
        <v>723</v>
      </c>
      <c r="E211" s="130" t="s">
        <v>726</v>
      </c>
    </row>
    <row r="212" ht="15.75" customHeight="1">
      <c r="A212" s="171" t="s">
        <v>673</v>
      </c>
      <c r="B212" s="156" t="s">
        <v>569</v>
      </c>
      <c r="C212" s="167" t="s">
        <v>569</v>
      </c>
      <c r="D212" s="157" t="s">
        <v>723</v>
      </c>
      <c r="E212" s="130" t="s">
        <v>726</v>
      </c>
    </row>
    <row r="213" ht="15.75" customHeight="1">
      <c r="A213" s="171" t="s">
        <v>675</v>
      </c>
      <c r="B213" s="156" t="s">
        <v>569</v>
      </c>
      <c r="C213" s="167" t="s">
        <v>569</v>
      </c>
      <c r="D213" s="173" t="s">
        <v>722</v>
      </c>
    </row>
    <row r="214" ht="15.75" customHeight="1">
      <c r="A214" s="171" t="s">
        <v>677</v>
      </c>
      <c r="B214" s="156" t="s">
        <v>569</v>
      </c>
      <c r="C214" s="167" t="s">
        <v>569</v>
      </c>
      <c r="D214" s="173" t="s">
        <v>722</v>
      </c>
    </row>
    <row r="215" ht="15.75" customHeight="1">
      <c r="A215" s="171" t="s">
        <v>679</v>
      </c>
      <c r="B215" s="156" t="s">
        <v>569</v>
      </c>
      <c r="C215" s="167" t="s">
        <v>569</v>
      </c>
      <c r="D215" s="173" t="s">
        <v>722</v>
      </c>
    </row>
    <row r="216" ht="15.75" customHeight="1">
      <c r="A216" s="171" t="s">
        <v>681</v>
      </c>
      <c r="B216" s="156" t="s">
        <v>569</v>
      </c>
      <c r="C216" s="167" t="s">
        <v>569</v>
      </c>
      <c r="D216" s="157" t="s">
        <v>723</v>
      </c>
      <c r="E216" s="130" t="s">
        <v>726</v>
      </c>
    </row>
    <row r="217" ht="15.75" customHeight="1">
      <c r="A217" s="171" t="s">
        <v>682</v>
      </c>
      <c r="B217" s="156" t="s">
        <v>569</v>
      </c>
      <c r="C217" s="167" t="s">
        <v>569</v>
      </c>
      <c r="D217" s="173" t="s">
        <v>722</v>
      </c>
    </row>
    <row r="218" ht="15.75" customHeight="1">
      <c r="D218" s="175"/>
    </row>
    <row r="219" ht="15.75" customHeight="1">
      <c r="D219" s="175"/>
    </row>
    <row r="220" ht="15.75" customHeight="1">
      <c r="D220" s="175"/>
    </row>
    <row r="221" ht="15.75" customHeight="1">
      <c r="D221" s="175"/>
    </row>
    <row r="222" ht="15.75" customHeight="1">
      <c r="D222" s="175"/>
    </row>
    <row r="223" ht="15.75" customHeight="1">
      <c r="D223" s="175"/>
    </row>
    <row r="224" ht="15.75" customHeight="1">
      <c r="D224" s="175"/>
    </row>
    <row r="225" ht="15.75" customHeight="1">
      <c r="D225" s="175"/>
    </row>
    <row r="226" ht="15.75" customHeight="1">
      <c r="D226" s="175"/>
    </row>
    <row r="227" ht="15.75" customHeight="1">
      <c r="D227" s="175"/>
    </row>
    <row r="228" ht="15.75" customHeight="1">
      <c r="D228" s="175"/>
    </row>
    <row r="229" ht="15.75" customHeight="1">
      <c r="D229" s="175"/>
    </row>
    <row r="230" ht="15.75" customHeight="1">
      <c r="D230" s="175"/>
    </row>
    <row r="231" ht="15.75" customHeight="1">
      <c r="D231" s="175"/>
    </row>
    <row r="232" ht="15.75" customHeight="1">
      <c r="D232" s="175"/>
    </row>
    <row r="233" ht="15.75" customHeight="1">
      <c r="D233" s="175"/>
    </row>
    <row r="234" ht="15.75" customHeight="1">
      <c r="D234" s="175"/>
    </row>
    <row r="235" ht="15.75" customHeight="1">
      <c r="D235" s="175"/>
    </row>
    <row r="236" ht="15.75" customHeight="1">
      <c r="D236" s="175"/>
    </row>
    <row r="237" ht="15.75" customHeight="1">
      <c r="D237" s="175"/>
    </row>
    <row r="238" ht="15.75" customHeight="1">
      <c r="D238" s="175"/>
    </row>
    <row r="239" ht="15.75" customHeight="1">
      <c r="D239" s="175"/>
    </row>
    <row r="240" ht="15.75" customHeight="1">
      <c r="D240" s="175"/>
    </row>
    <row r="241" ht="15.75" customHeight="1">
      <c r="D241" s="175"/>
    </row>
    <row r="242" ht="15.75" customHeight="1">
      <c r="D242" s="175"/>
    </row>
    <row r="243" ht="15.75" customHeight="1">
      <c r="D243" s="175"/>
    </row>
    <row r="244" ht="15.75" customHeight="1">
      <c r="D244" s="175"/>
    </row>
    <row r="245" ht="15.75" customHeight="1">
      <c r="D245" s="175"/>
    </row>
    <row r="246" ht="15.75" customHeight="1">
      <c r="D246" s="175"/>
    </row>
    <row r="247" ht="15.75" customHeight="1">
      <c r="D247" s="175"/>
    </row>
    <row r="248" ht="15.75" customHeight="1">
      <c r="D248" s="175"/>
    </row>
    <row r="249" ht="15.75" customHeight="1">
      <c r="D249" s="175"/>
    </row>
    <row r="250" ht="15.75" customHeight="1">
      <c r="D250" s="175"/>
    </row>
    <row r="251" ht="15.75" customHeight="1">
      <c r="D251" s="175"/>
    </row>
    <row r="252" ht="15.75" customHeight="1">
      <c r="D252" s="175"/>
    </row>
    <row r="253" ht="15.75" customHeight="1">
      <c r="D253" s="175"/>
    </row>
    <row r="254" ht="15.75" customHeight="1">
      <c r="D254" s="175"/>
    </row>
    <row r="255" ht="15.75" customHeight="1">
      <c r="D255" s="175"/>
    </row>
    <row r="256" ht="15.75" customHeight="1">
      <c r="D256" s="175"/>
    </row>
    <row r="257" ht="15.75" customHeight="1">
      <c r="D257" s="175"/>
    </row>
    <row r="258" ht="15.75" customHeight="1">
      <c r="D258" s="175"/>
    </row>
    <row r="259" ht="15.75" customHeight="1">
      <c r="D259" s="175"/>
    </row>
    <row r="260" ht="15.75" customHeight="1">
      <c r="D260" s="175"/>
    </row>
    <row r="261" ht="15.75" customHeight="1">
      <c r="D261" s="175"/>
    </row>
    <row r="262" ht="15.75" customHeight="1">
      <c r="D262" s="175"/>
    </row>
    <row r="263" ht="15.75" customHeight="1">
      <c r="D263" s="175"/>
    </row>
    <row r="264" ht="15.75" customHeight="1">
      <c r="D264" s="175"/>
    </row>
    <row r="265" ht="15.75" customHeight="1">
      <c r="D265" s="175"/>
    </row>
    <row r="266" ht="15.75" customHeight="1">
      <c r="D266" s="175"/>
    </row>
    <row r="267" ht="15.75" customHeight="1">
      <c r="D267" s="175"/>
    </row>
    <row r="268" ht="15.75" customHeight="1">
      <c r="D268" s="175"/>
    </row>
    <row r="269" ht="15.75" customHeight="1">
      <c r="D269" s="175"/>
    </row>
    <row r="270" ht="15.75" customHeight="1">
      <c r="D270" s="175"/>
    </row>
    <row r="271" ht="15.75" customHeight="1">
      <c r="D271" s="175"/>
    </row>
    <row r="272" ht="15.75" customHeight="1">
      <c r="D272" s="175"/>
    </row>
    <row r="273" ht="15.75" customHeight="1">
      <c r="D273" s="175"/>
    </row>
    <row r="274" ht="15.75" customHeight="1">
      <c r="D274" s="175"/>
    </row>
    <row r="275" ht="15.75" customHeight="1">
      <c r="D275" s="175"/>
    </row>
    <row r="276" ht="15.75" customHeight="1">
      <c r="D276" s="175"/>
    </row>
    <row r="277" ht="15.75" customHeight="1">
      <c r="D277" s="175"/>
    </row>
    <row r="278" ht="15.75" customHeight="1">
      <c r="D278" s="175"/>
    </row>
    <row r="279" ht="15.75" customHeight="1">
      <c r="D279" s="175"/>
    </row>
    <row r="280" ht="15.75" customHeight="1">
      <c r="D280" s="175"/>
    </row>
    <row r="281" ht="15.75" customHeight="1">
      <c r="D281" s="175"/>
    </row>
    <row r="282" ht="15.75" customHeight="1">
      <c r="D282" s="175"/>
    </row>
    <row r="283" ht="15.75" customHeight="1">
      <c r="D283" s="175"/>
    </row>
    <row r="284" ht="15.75" customHeight="1">
      <c r="D284" s="175"/>
    </row>
    <row r="285" ht="15.75" customHeight="1">
      <c r="D285" s="175"/>
    </row>
    <row r="286" ht="15.75" customHeight="1">
      <c r="D286" s="175"/>
    </row>
    <row r="287" ht="15.75" customHeight="1">
      <c r="D287" s="175"/>
    </row>
    <row r="288" ht="15.75" customHeight="1">
      <c r="D288" s="175"/>
    </row>
    <row r="289" ht="15.75" customHeight="1">
      <c r="D289" s="175"/>
    </row>
    <row r="290" ht="15.75" customHeight="1">
      <c r="D290" s="175"/>
    </row>
    <row r="291" ht="15.75" customHeight="1">
      <c r="D291" s="175"/>
    </row>
    <row r="292" ht="15.75" customHeight="1">
      <c r="D292" s="175"/>
    </row>
    <row r="293" ht="15.75" customHeight="1">
      <c r="D293" s="175"/>
    </row>
    <row r="294" ht="15.75" customHeight="1">
      <c r="D294" s="175"/>
    </row>
    <row r="295" ht="15.75" customHeight="1">
      <c r="D295" s="175"/>
    </row>
    <row r="296" ht="15.75" customHeight="1">
      <c r="D296" s="175"/>
    </row>
    <row r="297" ht="15.75" customHeight="1">
      <c r="D297" s="175"/>
    </row>
    <row r="298" ht="15.75" customHeight="1">
      <c r="D298" s="175"/>
    </row>
    <row r="299" ht="15.75" customHeight="1">
      <c r="D299" s="175"/>
    </row>
    <row r="300" ht="15.75" customHeight="1">
      <c r="D300" s="175"/>
    </row>
    <row r="301" ht="15.75" customHeight="1">
      <c r="D301" s="175"/>
    </row>
    <row r="302" ht="15.75" customHeight="1">
      <c r="D302" s="175"/>
    </row>
    <row r="303" ht="15.75" customHeight="1">
      <c r="D303" s="175"/>
    </row>
    <row r="304" ht="15.75" customHeight="1">
      <c r="D304" s="175"/>
    </row>
    <row r="305" ht="15.75" customHeight="1">
      <c r="D305" s="175"/>
    </row>
    <row r="306" ht="15.75" customHeight="1">
      <c r="D306" s="175"/>
    </row>
    <row r="307" ht="15.75" customHeight="1">
      <c r="D307" s="175"/>
    </row>
    <row r="308" ht="15.75" customHeight="1">
      <c r="D308" s="175"/>
    </row>
    <row r="309" ht="15.75" customHeight="1">
      <c r="D309" s="175"/>
    </row>
    <row r="310" ht="15.75" customHeight="1">
      <c r="D310" s="175"/>
    </row>
    <row r="311" ht="15.75" customHeight="1">
      <c r="D311" s="175"/>
    </row>
    <row r="312" ht="15.75" customHeight="1">
      <c r="D312" s="175"/>
    </row>
    <row r="313" ht="15.75" customHeight="1">
      <c r="D313" s="175"/>
    </row>
    <row r="314" ht="15.75" customHeight="1">
      <c r="D314" s="175"/>
    </row>
    <row r="315" ht="15.75" customHeight="1">
      <c r="D315" s="175"/>
    </row>
    <row r="316" ht="15.75" customHeight="1">
      <c r="D316" s="175"/>
    </row>
    <row r="317" ht="15.75" customHeight="1">
      <c r="D317" s="175"/>
    </row>
    <row r="318" ht="15.75" customHeight="1">
      <c r="D318" s="175"/>
    </row>
    <row r="319" ht="15.75" customHeight="1">
      <c r="D319" s="175"/>
    </row>
    <row r="320" ht="15.75" customHeight="1">
      <c r="D320" s="175"/>
    </row>
    <row r="321" ht="15.75" customHeight="1">
      <c r="D321" s="175"/>
    </row>
    <row r="322" ht="15.75" customHeight="1">
      <c r="D322" s="175"/>
    </row>
    <row r="323" ht="15.75" customHeight="1">
      <c r="D323" s="175"/>
    </row>
    <row r="324" ht="15.75" customHeight="1">
      <c r="D324" s="175"/>
    </row>
    <row r="325" ht="15.75" customHeight="1">
      <c r="D325" s="175"/>
    </row>
    <row r="326" ht="15.75" customHeight="1">
      <c r="D326" s="175"/>
    </row>
    <row r="327" ht="15.75" customHeight="1">
      <c r="D327" s="175"/>
    </row>
    <row r="328" ht="15.75" customHeight="1">
      <c r="D328" s="175"/>
    </row>
    <row r="329" ht="15.75" customHeight="1">
      <c r="D329" s="175"/>
    </row>
    <row r="330" ht="15.75" customHeight="1">
      <c r="D330" s="175"/>
    </row>
    <row r="331" ht="15.75" customHeight="1">
      <c r="D331" s="175"/>
    </row>
    <row r="332" ht="15.75" customHeight="1">
      <c r="D332" s="175"/>
    </row>
    <row r="333" ht="15.75" customHeight="1">
      <c r="D333" s="175"/>
    </row>
    <row r="334" ht="15.75" customHeight="1">
      <c r="D334" s="175"/>
    </row>
    <row r="335" ht="15.75" customHeight="1">
      <c r="D335" s="175"/>
    </row>
    <row r="336" ht="15.75" customHeight="1">
      <c r="D336" s="175"/>
    </row>
    <row r="337" ht="15.75" customHeight="1">
      <c r="D337" s="175"/>
    </row>
    <row r="338" ht="15.75" customHeight="1">
      <c r="D338" s="175"/>
    </row>
    <row r="339" ht="15.75" customHeight="1">
      <c r="D339" s="175"/>
    </row>
    <row r="340" ht="15.75" customHeight="1">
      <c r="D340" s="175"/>
    </row>
    <row r="341" ht="15.75" customHeight="1">
      <c r="D341" s="175"/>
    </row>
    <row r="342" ht="15.75" customHeight="1">
      <c r="D342" s="175"/>
    </row>
    <row r="343" ht="15.75" customHeight="1">
      <c r="D343" s="175"/>
    </row>
    <row r="344" ht="15.75" customHeight="1">
      <c r="D344" s="175"/>
    </row>
    <row r="345" ht="15.75" customHeight="1">
      <c r="D345" s="175"/>
    </row>
    <row r="346" ht="15.75" customHeight="1">
      <c r="D346" s="175"/>
    </row>
    <row r="347" ht="15.75" customHeight="1">
      <c r="D347" s="175"/>
    </row>
    <row r="348" ht="15.75" customHeight="1">
      <c r="D348" s="175"/>
    </row>
    <row r="349" ht="15.75" customHeight="1">
      <c r="D349" s="175"/>
    </row>
    <row r="350" ht="15.75" customHeight="1">
      <c r="D350" s="175"/>
    </row>
    <row r="351" ht="15.75" customHeight="1">
      <c r="D351" s="175"/>
    </row>
    <row r="352" ht="15.75" customHeight="1">
      <c r="D352" s="175"/>
    </row>
    <row r="353" ht="15.75" customHeight="1">
      <c r="D353" s="175"/>
    </row>
    <row r="354" ht="15.75" customHeight="1">
      <c r="D354" s="175"/>
    </row>
    <row r="355" ht="15.75" customHeight="1">
      <c r="D355" s="175"/>
    </row>
    <row r="356" ht="15.75" customHeight="1">
      <c r="D356" s="175"/>
    </row>
    <row r="357" ht="15.75" customHeight="1">
      <c r="D357" s="175"/>
    </row>
    <row r="358" ht="15.75" customHeight="1">
      <c r="D358" s="175"/>
    </row>
    <row r="359" ht="15.75" customHeight="1">
      <c r="D359" s="175"/>
    </row>
    <row r="360" ht="15.75" customHeight="1">
      <c r="D360" s="175"/>
    </row>
    <row r="361" ht="15.75" customHeight="1">
      <c r="D361" s="175"/>
    </row>
    <row r="362" ht="15.75" customHeight="1">
      <c r="D362" s="175"/>
    </row>
    <row r="363" ht="15.75" customHeight="1">
      <c r="D363" s="175"/>
    </row>
    <row r="364" ht="15.75" customHeight="1">
      <c r="D364" s="175"/>
    </row>
    <row r="365" ht="15.75" customHeight="1">
      <c r="D365" s="175"/>
    </row>
    <row r="366" ht="15.75" customHeight="1">
      <c r="D366" s="175"/>
    </row>
    <row r="367" ht="15.75" customHeight="1">
      <c r="D367" s="175"/>
    </row>
    <row r="368" ht="15.75" customHeight="1">
      <c r="D368" s="175"/>
    </row>
    <row r="369" ht="15.75" customHeight="1">
      <c r="D369" s="175"/>
    </row>
    <row r="370" ht="15.75" customHeight="1">
      <c r="D370" s="175"/>
    </row>
    <row r="371" ht="15.75" customHeight="1">
      <c r="D371" s="175"/>
    </row>
    <row r="372" ht="15.75" customHeight="1">
      <c r="D372" s="175"/>
    </row>
    <row r="373" ht="15.75" customHeight="1">
      <c r="D373" s="175"/>
    </row>
    <row r="374" ht="15.75" customHeight="1">
      <c r="D374" s="175"/>
    </row>
    <row r="375" ht="15.75" customHeight="1">
      <c r="D375" s="175"/>
    </row>
    <row r="376" ht="15.75" customHeight="1">
      <c r="D376" s="175"/>
    </row>
    <row r="377" ht="15.75" customHeight="1">
      <c r="D377" s="175"/>
    </row>
    <row r="378" ht="15.75" customHeight="1">
      <c r="D378" s="175"/>
    </row>
    <row r="379" ht="15.75" customHeight="1">
      <c r="D379" s="175"/>
    </row>
    <row r="380" ht="15.75" customHeight="1">
      <c r="D380" s="175"/>
    </row>
    <row r="381" ht="15.75" customHeight="1">
      <c r="D381" s="175"/>
    </row>
    <row r="382" ht="15.75" customHeight="1">
      <c r="D382" s="175"/>
    </row>
    <row r="383" ht="15.75" customHeight="1">
      <c r="D383" s="175"/>
    </row>
    <row r="384" ht="15.75" customHeight="1">
      <c r="D384" s="175"/>
    </row>
    <row r="385" ht="15.75" customHeight="1">
      <c r="D385" s="175"/>
    </row>
    <row r="386" ht="15.75" customHeight="1">
      <c r="D386" s="175"/>
    </row>
    <row r="387" ht="15.75" customHeight="1">
      <c r="D387" s="175"/>
    </row>
    <row r="388" ht="15.75" customHeight="1">
      <c r="D388" s="175"/>
    </row>
    <row r="389" ht="15.75" customHeight="1">
      <c r="D389" s="175"/>
    </row>
    <row r="390" ht="15.75" customHeight="1">
      <c r="D390" s="175"/>
    </row>
    <row r="391" ht="15.75" customHeight="1">
      <c r="D391" s="175"/>
    </row>
    <row r="392" ht="15.75" customHeight="1">
      <c r="D392" s="175"/>
    </row>
    <row r="393" ht="15.75" customHeight="1">
      <c r="D393" s="175"/>
    </row>
    <row r="394" ht="15.75" customHeight="1">
      <c r="D394" s="175"/>
    </row>
    <row r="395" ht="15.75" customHeight="1">
      <c r="D395" s="175"/>
    </row>
    <row r="396" ht="15.75" customHeight="1">
      <c r="D396" s="175"/>
    </row>
    <row r="397" ht="15.75" customHeight="1">
      <c r="D397" s="175"/>
    </row>
    <row r="398" ht="15.75" customHeight="1">
      <c r="D398" s="175"/>
    </row>
    <row r="399" ht="15.75" customHeight="1">
      <c r="D399" s="175"/>
    </row>
    <row r="400" ht="15.75" customHeight="1">
      <c r="D400" s="175"/>
    </row>
    <row r="401" ht="15.75" customHeight="1">
      <c r="D401" s="175"/>
    </row>
    <row r="402" ht="15.75" customHeight="1">
      <c r="D402" s="175"/>
    </row>
    <row r="403" ht="15.75" customHeight="1">
      <c r="D403" s="175"/>
    </row>
    <row r="404" ht="15.75" customHeight="1">
      <c r="D404" s="175"/>
    </row>
    <row r="405" ht="15.75" customHeight="1">
      <c r="D405" s="175"/>
    </row>
    <row r="406" ht="15.75" customHeight="1">
      <c r="D406" s="175"/>
    </row>
    <row r="407" ht="15.75" customHeight="1">
      <c r="D407" s="175"/>
    </row>
    <row r="408" ht="15.75" customHeight="1">
      <c r="D408" s="175"/>
    </row>
    <row r="409" ht="15.75" customHeight="1">
      <c r="D409" s="175"/>
    </row>
    <row r="410" ht="15.75" customHeight="1">
      <c r="D410" s="175"/>
    </row>
    <row r="411" ht="15.75" customHeight="1">
      <c r="D411" s="175"/>
    </row>
    <row r="412" ht="15.75" customHeight="1">
      <c r="D412" s="175"/>
    </row>
    <row r="413" ht="15.75" customHeight="1">
      <c r="D413" s="175"/>
    </row>
    <row r="414" ht="15.75" customHeight="1">
      <c r="D414" s="175"/>
    </row>
    <row r="415" ht="15.75" customHeight="1">
      <c r="D415" s="175"/>
    </row>
    <row r="416" ht="15.75" customHeight="1">
      <c r="D416" s="175"/>
    </row>
    <row r="417" ht="15.75" customHeight="1">
      <c r="D417" s="175"/>
    </row>
    <row r="418" ht="15.75" customHeight="1">
      <c r="D418" s="175"/>
    </row>
    <row r="419" ht="15.75" customHeight="1">
      <c r="D419" s="175"/>
    </row>
    <row r="420" ht="15.75" customHeight="1">
      <c r="D420" s="175"/>
    </row>
    <row r="421" ht="15.75" customHeight="1">
      <c r="D421" s="175"/>
    </row>
    <row r="422" ht="15.75" customHeight="1">
      <c r="D422" s="175"/>
    </row>
    <row r="423" ht="15.75" customHeight="1">
      <c r="D423" s="175"/>
    </row>
    <row r="424" ht="15.75" customHeight="1">
      <c r="D424" s="175"/>
    </row>
    <row r="425" ht="15.75" customHeight="1">
      <c r="D425" s="175"/>
    </row>
    <row r="426" ht="15.75" customHeight="1">
      <c r="D426" s="175"/>
    </row>
    <row r="427" ht="15.75" customHeight="1">
      <c r="D427" s="175"/>
    </row>
    <row r="428" ht="15.75" customHeight="1">
      <c r="D428" s="175"/>
    </row>
    <row r="429" ht="15.75" customHeight="1">
      <c r="D429" s="175"/>
    </row>
    <row r="430" ht="15.75" customHeight="1">
      <c r="D430" s="175"/>
    </row>
    <row r="431" ht="15.75" customHeight="1">
      <c r="D431" s="175"/>
    </row>
    <row r="432" ht="15.75" customHeight="1">
      <c r="D432" s="175"/>
    </row>
    <row r="433" ht="15.75" customHeight="1">
      <c r="D433" s="175"/>
    </row>
    <row r="434" ht="15.75" customHeight="1">
      <c r="D434" s="175"/>
    </row>
    <row r="435" ht="15.75" customHeight="1">
      <c r="D435" s="175"/>
    </row>
    <row r="436" ht="15.75" customHeight="1">
      <c r="D436" s="175"/>
    </row>
    <row r="437" ht="15.75" customHeight="1">
      <c r="D437" s="175"/>
    </row>
    <row r="438" ht="15.75" customHeight="1">
      <c r="D438" s="175"/>
    </row>
    <row r="439" ht="15.75" customHeight="1">
      <c r="D439" s="175"/>
    </row>
    <row r="440" ht="15.75" customHeight="1">
      <c r="D440" s="175"/>
    </row>
    <row r="441" ht="15.75" customHeight="1">
      <c r="D441" s="175"/>
    </row>
    <row r="442" ht="15.75" customHeight="1">
      <c r="D442" s="175"/>
    </row>
    <row r="443" ht="15.75" customHeight="1">
      <c r="D443" s="175"/>
    </row>
    <row r="444" ht="15.75" customHeight="1">
      <c r="D444" s="175"/>
    </row>
    <row r="445" ht="15.75" customHeight="1">
      <c r="D445" s="175"/>
    </row>
    <row r="446" ht="15.75" customHeight="1">
      <c r="D446" s="175"/>
    </row>
    <row r="447" ht="15.75" customHeight="1">
      <c r="D447" s="175"/>
    </row>
    <row r="448" ht="15.75" customHeight="1">
      <c r="D448" s="175"/>
    </row>
    <row r="449" ht="15.75" customHeight="1">
      <c r="D449" s="175"/>
    </row>
    <row r="450" ht="15.75" customHeight="1">
      <c r="D450" s="175"/>
    </row>
    <row r="451" ht="15.75" customHeight="1">
      <c r="D451" s="175"/>
    </row>
    <row r="452" ht="15.75" customHeight="1">
      <c r="D452" s="175"/>
    </row>
    <row r="453" ht="15.75" customHeight="1">
      <c r="D453" s="175"/>
    </row>
    <row r="454" ht="15.75" customHeight="1">
      <c r="D454" s="175"/>
    </row>
    <row r="455" ht="15.75" customHeight="1">
      <c r="D455" s="175"/>
    </row>
    <row r="456" ht="15.75" customHeight="1">
      <c r="D456" s="175"/>
    </row>
    <row r="457" ht="15.75" customHeight="1">
      <c r="D457" s="175"/>
    </row>
    <row r="458" ht="15.75" customHeight="1">
      <c r="D458" s="175"/>
    </row>
    <row r="459" ht="15.75" customHeight="1">
      <c r="D459" s="175"/>
    </row>
    <row r="460" ht="15.75" customHeight="1">
      <c r="D460" s="175"/>
    </row>
    <row r="461" ht="15.75" customHeight="1">
      <c r="D461" s="175"/>
    </row>
    <row r="462" ht="15.75" customHeight="1">
      <c r="D462" s="175"/>
    </row>
    <row r="463" ht="15.75" customHeight="1">
      <c r="D463" s="175"/>
    </row>
    <row r="464" ht="15.75" customHeight="1">
      <c r="D464" s="175"/>
    </row>
    <row r="465" ht="15.75" customHeight="1">
      <c r="D465" s="175"/>
    </row>
    <row r="466" ht="15.75" customHeight="1">
      <c r="D466" s="175"/>
    </row>
    <row r="467" ht="15.75" customHeight="1">
      <c r="D467" s="175"/>
    </row>
    <row r="468" ht="15.75" customHeight="1">
      <c r="D468" s="175"/>
    </row>
    <row r="469" ht="15.75" customHeight="1">
      <c r="D469" s="175"/>
    </row>
    <row r="470" ht="15.75" customHeight="1">
      <c r="D470" s="175"/>
    </row>
    <row r="471" ht="15.75" customHeight="1">
      <c r="D471" s="175"/>
    </row>
    <row r="472" ht="15.75" customHeight="1">
      <c r="D472" s="175"/>
    </row>
    <row r="473" ht="15.75" customHeight="1">
      <c r="D473" s="175"/>
    </row>
    <row r="474" ht="15.75" customHeight="1">
      <c r="D474" s="175"/>
    </row>
    <row r="475" ht="15.75" customHeight="1">
      <c r="D475" s="175"/>
    </row>
    <row r="476" ht="15.75" customHeight="1">
      <c r="D476" s="175"/>
    </row>
    <row r="477" ht="15.75" customHeight="1">
      <c r="D477" s="175"/>
    </row>
    <row r="478" ht="15.75" customHeight="1">
      <c r="D478" s="175"/>
    </row>
    <row r="479" ht="15.75" customHeight="1">
      <c r="D479" s="175"/>
    </row>
    <row r="480" ht="15.75" customHeight="1">
      <c r="D480" s="175"/>
    </row>
    <row r="481" ht="15.75" customHeight="1">
      <c r="D481" s="175"/>
    </row>
    <row r="482" ht="15.75" customHeight="1">
      <c r="D482" s="175"/>
    </row>
    <row r="483" ht="15.75" customHeight="1">
      <c r="D483" s="175"/>
    </row>
    <row r="484" ht="15.75" customHeight="1">
      <c r="D484" s="175"/>
    </row>
    <row r="485" ht="15.75" customHeight="1">
      <c r="D485" s="175"/>
    </row>
    <row r="486" ht="15.75" customHeight="1">
      <c r="D486" s="175"/>
    </row>
    <row r="487" ht="15.75" customHeight="1">
      <c r="D487" s="175"/>
    </row>
    <row r="488" ht="15.75" customHeight="1">
      <c r="D488" s="175"/>
    </row>
    <row r="489" ht="15.75" customHeight="1">
      <c r="D489" s="175"/>
    </row>
    <row r="490" ht="15.75" customHeight="1">
      <c r="D490" s="175"/>
    </row>
    <row r="491" ht="15.75" customHeight="1">
      <c r="D491" s="175"/>
    </row>
    <row r="492" ht="15.75" customHeight="1">
      <c r="D492" s="175"/>
    </row>
    <row r="493" ht="15.75" customHeight="1">
      <c r="D493" s="175"/>
    </row>
    <row r="494" ht="15.75" customHeight="1">
      <c r="D494" s="175"/>
    </row>
    <row r="495" ht="15.75" customHeight="1">
      <c r="D495" s="175"/>
    </row>
    <row r="496" ht="15.75" customHeight="1">
      <c r="D496" s="175"/>
    </row>
    <row r="497" ht="15.75" customHeight="1">
      <c r="D497" s="175"/>
    </row>
    <row r="498" ht="15.75" customHeight="1">
      <c r="D498" s="175"/>
    </row>
    <row r="499" ht="15.75" customHeight="1">
      <c r="D499" s="175"/>
    </row>
    <row r="500" ht="15.75" customHeight="1">
      <c r="D500" s="175"/>
    </row>
    <row r="501" ht="15.75" customHeight="1">
      <c r="D501" s="175"/>
    </row>
    <row r="502" ht="15.75" customHeight="1">
      <c r="D502" s="175"/>
    </row>
    <row r="503" ht="15.75" customHeight="1">
      <c r="D503" s="175"/>
    </row>
    <row r="504" ht="15.75" customHeight="1">
      <c r="D504" s="175"/>
    </row>
    <row r="505" ht="15.75" customHeight="1">
      <c r="D505" s="175"/>
    </row>
    <row r="506" ht="15.75" customHeight="1">
      <c r="D506" s="175"/>
    </row>
    <row r="507" ht="15.75" customHeight="1">
      <c r="D507" s="175"/>
    </row>
    <row r="508" ht="15.75" customHeight="1">
      <c r="D508" s="175"/>
    </row>
    <row r="509" ht="15.75" customHeight="1">
      <c r="D509" s="175"/>
    </row>
    <row r="510" ht="15.75" customHeight="1">
      <c r="D510" s="175"/>
    </row>
    <row r="511" ht="15.75" customHeight="1">
      <c r="D511" s="175"/>
    </row>
    <row r="512" ht="15.75" customHeight="1">
      <c r="D512" s="175"/>
    </row>
    <row r="513" ht="15.75" customHeight="1">
      <c r="D513" s="175"/>
    </row>
    <row r="514" ht="15.75" customHeight="1">
      <c r="D514" s="175"/>
    </row>
    <row r="515" ht="15.75" customHeight="1">
      <c r="D515" s="175"/>
    </row>
    <row r="516" ht="15.75" customHeight="1">
      <c r="D516" s="175"/>
    </row>
    <row r="517" ht="15.75" customHeight="1">
      <c r="D517" s="175"/>
    </row>
    <row r="518" ht="15.75" customHeight="1">
      <c r="D518" s="175"/>
    </row>
    <row r="519" ht="15.75" customHeight="1">
      <c r="D519" s="175"/>
    </row>
    <row r="520" ht="15.75" customHeight="1">
      <c r="D520" s="175"/>
    </row>
    <row r="521" ht="15.75" customHeight="1">
      <c r="D521" s="175"/>
    </row>
    <row r="522" ht="15.75" customHeight="1">
      <c r="D522" s="175"/>
    </row>
    <row r="523" ht="15.75" customHeight="1">
      <c r="D523" s="175"/>
    </row>
    <row r="524" ht="15.75" customHeight="1">
      <c r="D524" s="175"/>
    </row>
    <row r="525" ht="15.75" customHeight="1">
      <c r="D525" s="175"/>
    </row>
    <row r="526" ht="15.75" customHeight="1">
      <c r="D526" s="175"/>
    </row>
    <row r="527" ht="15.75" customHeight="1">
      <c r="D527" s="175"/>
    </row>
    <row r="528" ht="15.75" customHeight="1">
      <c r="D528" s="175"/>
    </row>
    <row r="529" ht="15.75" customHeight="1">
      <c r="D529" s="175"/>
    </row>
    <row r="530" ht="15.75" customHeight="1">
      <c r="D530" s="175"/>
    </row>
    <row r="531" ht="15.75" customHeight="1">
      <c r="D531" s="175"/>
    </row>
    <row r="532" ht="15.75" customHeight="1">
      <c r="D532" s="175"/>
    </row>
    <row r="533" ht="15.75" customHeight="1">
      <c r="D533" s="175"/>
    </row>
    <row r="534" ht="15.75" customHeight="1">
      <c r="D534" s="175"/>
    </row>
    <row r="535" ht="15.75" customHeight="1">
      <c r="D535" s="175"/>
    </row>
    <row r="536" ht="15.75" customHeight="1">
      <c r="D536" s="175"/>
    </row>
    <row r="537" ht="15.75" customHeight="1">
      <c r="D537" s="175"/>
    </row>
    <row r="538" ht="15.75" customHeight="1">
      <c r="D538" s="175"/>
    </row>
    <row r="539" ht="15.75" customHeight="1">
      <c r="D539" s="175"/>
    </row>
    <row r="540" ht="15.75" customHeight="1">
      <c r="D540" s="175"/>
    </row>
    <row r="541" ht="15.75" customHeight="1">
      <c r="D541" s="175"/>
    </row>
    <row r="542" ht="15.75" customHeight="1">
      <c r="D542" s="175"/>
    </row>
    <row r="543" ht="15.75" customHeight="1">
      <c r="D543" s="175"/>
    </row>
    <row r="544" ht="15.75" customHeight="1">
      <c r="D544" s="175"/>
    </row>
    <row r="545" ht="15.75" customHeight="1">
      <c r="D545" s="175"/>
    </row>
    <row r="546" ht="15.75" customHeight="1">
      <c r="D546" s="175"/>
    </row>
    <row r="547" ht="15.75" customHeight="1">
      <c r="D547" s="175"/>
    </row>
    <row r="548" ht="15.75" customHeight="1">
      <c r="D548" s="175"/>
    </row>
    <row r="549" ht="15.75" customHeight="1">
      <c r="D549" s="175"/>
    </row>
    <row r="550" ht="15.75" customHeight="1">
      <c r="D550" s="175"/>
    </row>
    <row r="551" ht="15.75" customHeight="1">
      <c r="D551" s="175"/>
    </row>
    <row r="552" ht="15.75" customHeight="1">
      <c r="D552" s="175"/>
    </row>
    <row r="553" ht="15.75" customHeight="1">
      <c r="D553" s="175"/>
    </row>
    <row r="554" ht="15.75" customHeight="1">
      <c r="D554" s="175"/>
    </row>
    <row r="555" ht="15.75" customHeight="1">
      <c r="D555" s="175"/>
    </row>
    <row r="556" ht="15.75" customHeight="1">
      <c r="D556" s="175"/>
    </row>
    <row r="557" ht="15.75" customHeight="1">
      <c r="D557" s="175"/>
    </row>
    <row r="558" ht="15.75" customHeight="1">
      <c r="D558" s="175"/>
    </row>
    <row r="559" ht="15.75" customHeight="1">
      <c r="D559" s="175"/>
    </row>
    <row r="560" ht="15.75" customHeight="1">
      <c r="D560" s="175"/>
    </row>
    <row r="561" ht="15.75" customHeight="1">
      <c r="D561" s="175"/>
    </row>
    <row r="562" ht="15.75" customHeight="1">
      <c r="D562" s="175"/>
    </row>
    <row r="563" ht="15.75" customHeight="1">
      <c r="D563" s="175"/>
    </row>
    <row r="564" ht="15.75" customHeight="1">
      <c r="D564" s="175"/>
    </row>
    <row r="565" ht="15.75" customHeight="1">
      <c r="D565" s="175"/>
    </row>
    <row r="566" ht="15.75" customHeight="1">
      <c r="D566" s="175"/>
    </row>
    <row r="567" ht="15.75" customHeight="1">
      <c r="D567" s="175"/>
    </row>
    <row r="568" ht="15.75" customHeight="1">
      <c r="D568" s="175"/>
    </row>
    <row r="569" ht="15.75" customHeight="1">
      <c r="D569" s="175"/>
    </row>
    <row r="570" ht="15.75" customHeight="1">
      <c r="D570" s="175"/>
    </row>
    <row r="571" ht="15.75" customHeight="1">
      <c r="D571" s="175"/>
    </row>
    <row r="572" ht="15.75" customHeight="1">
      <c r="D572" s="175"/>
    </row>
    <row r="573" ht="15.75" customHeight="1">
      <c r="D573" s="175"/>
    </row>
    <row r="574" ht="15.75" customHeight="1">
      <c r="D574" s="175"/>
    </row>
    <row r="575" ht="15.75" customHeight="1">
      <c r="D575" s="175"/>
    </row>
    <row r="576" ht="15.75" customHeight="1">
      <c r="D576" s="175"/>
    </row>
    <row r="577" ht="15.75" customHeight="1">
      <c r="D577" s="175"/>
    </row>
    <row r="578" ht="15.75" customHeight="1">
      <c r="D578" s="175"/>
    </row>
    <row r="579" ht="15.75" customHeight="1">
      <c r="D579" s="175"/>
    </row>
    <row r="580" ht="15.75" customHeight="1">
      <c r="D580" s="175"/>
    </row>
    <row r="581" ht="15.75" customHeight="1">
      <c r="D581" s="175"/>
    </row>
    <row r="582" ht="15.75" customHeight="1">
      <c r="D582" s="175"/>
    </row>
    <row r="583" ht="15.75" customHeight="1">
      <c r="D583" s="175"/>
    </row>
    <row r="584" ht="15.75" customHeight="1">
      <c r="D584" s="175"/>
    </row>
    <row r="585" ht="15.75" customHeight="1">
      <c r="D585" s="175"/>
    </row>
    <row r="586" ht="15.75" customHeight="1">
      <c r="D586" s="175"/>
    </row>
    <row r="587" ht="15.75" customHeight="1">
      <c r="D587" s="175"/>
    </row>
    <row r="588" ht="15.75" customHeight="1">
      <c r="D588" s="175"/>
    </row>
    <row r="589" ht="15.75" customHeight="1">
      <c r="D589" s="175"/>
    </row>
    <row r="590" ht="15.75" customHeight="1">
      <c r="D590" s="175"/>
    </row>
    <row r="591" ht="15.75" customHeight="1">
      <c r="D591" s="175"/>
    </row>
    <row r="592" ht="15.75" customHeight="1">
      <c r="D592" s="175"/>
    </row>
    <row r="593" ht="15.75" customHeight="1">
      <c r="D593" s="175"/>
    </row>
    <row r="594" ht="15.75" customHeight="1">
      <c r="D594" s="175"/>
    </row>
    <row r="595" ht="15.75" customHeight="1">
      <c r="D595" s="175"/>
    </row>
    <row r="596" ht="15.75" customHeight="1">
      <c r="D596" s="175"/>
    </row>
    <row r="597" ht="15.75" customHeight="1">
      <c r="D597" s="175"/>
    </row>
    <row r="598" ht="15.75" customHeight="1">
      <c r="D598" s="175"/>
    </row>
    <row r="599" ht="15.75" customHeight="1">
      <c r="D599" s="175"/>
    </row>
    <row r="600" ht="15.75" customHeight="1">
      <c r="D600" s="175"/>
    </row>
    <row r="601" ht="15.75" customHeight="1">
      <c r="D601" s="175"/>
    </row>
    <row r="602" ht="15.75" customHeight="1">
      <c r="D602" s="175"/>
    </row>
    <row r="603" ht="15.75" customHeight="1">
      <c r="D603" s="175"/>
    </row>
    <row r="604" ht="15.75" customHeight="1">
      <c r="D604" s="175"/>
    </row>
    <row r="605" ht="15.75" customHeight="1">
      <c r="D605" s="175"/>
    </row>
    <row r="606" ht="15.75" customHeight="1">
      <c r="D606" s="175"/>
    </row>
    <row r="607" ht="15.75" customHeight="1">
      <c r="D607" s="175"/>
    </row>
    <row r="608" ht="15.75" customHeight="1">
      <c r="D608" s="175"/>
    </row>
    <row r="609" ht="15.75" customHeight="1">
      <c r="D609" s="175"/>
    </row>
    <row r="610" ht="15.75" customHeight="1">
      <c r="D610" s="175"/>
    </row>
    <row r="611" ht="15.75" customHeight="1">
      <c r="D611" s="175"/>
    </row>
    <row r="612" ht="15.75" customHeight="1">
      <c r="D612" s="175"/>
    </row>
    <row r="613" ht="15.75" customHeight="1">
      <c r="D613" s="175"/>
    </row>
    <row r="614" ht="15.75" customHeight="1">
      <c r="D614" s="175"/>
    </row>
    <row r="615" ht="15.75" customHeight="1">
      <c r="D615" s="175"/>
    </row>
    <row r="616" ht="15.75" customHeight="1">
      <c r="D616" s="175"/>
    </row>
    <row r="617" ht="15.75" customHeight="1">
      <c r="D617" s="175"/>
    </row>
    <row r="618" ht="15.75" customHeight="1">
      <c r="D618" s="175"/>
    </row>
    <row r="619" ht="15.75" customHeight="1">
      <c r="D619" s="175"/>
    </row>
    <row r="620" ht="15.75" customHeight="1">
      <c r="D620" s="175"/>
    </row>
    <row r="621" ht="15.75" customHeight="1">
      <c r="D621" s="175"/>
    </row>
    <row r="622" ht="15.75" customHeight="1">
      <c r="D622" s="175"/>
    </row>
    <row r="623" ht="15.75" customHeight="1">
      <c r="D623" s="175"/>
    </row>
    <row r="624" ht="15.75" customHeight="1">
      <c r="D624" s="175"/>
    </row>
    <row r="625" ht="15.75" customHeight="1">
      <c r="D625" s="175"/>
    </row>
    <row r="626" ht="15.75" customHeight="1">
      <c r="D626" s="175"/>
    </row>
    <row r="627" ht="15.75" customHeight="1">
      <c r="D627" s="175"/>
    </row>
    <row r="628" ht="15.75" customHeight="1">
      <c r="D628" s="175"/>
    </row>
    <row r="629" ht="15.75" customHeight="1">
      <c r="D629" s="175"/>
    </row>
    <row r="630" ht="15.75" customHeight="1">
      <c r="D630" s="175"/>
    </row>
    <row r="631" ht="15.75" customHeight="1">
      <c r="D631" s="175"/>
    </row>
    <row r="632" ht="15.75" customHeight="1">
      <c r="D632" s="175"/>
    </row>
    <row r="633" ht="15.75" customHeight="1">
      <c r="D633" s="175"/>
    </row>
    <row r="634" ht="15.75" customHeight="1">
      <c r="D634" s="175"/>
    </row>
    <row r="635" ht="15.75" customHeight="1">
      <c r="D635" s="175"/>
    </row>
    <row r="636" ht="15.75" customHeight="1">
      <c r="D636" s="175"/>
    </row>
    <row r="637" ht="15.75" customHeight="1">
      <c r="D637" s="175"/>
    </row>
    <row r="638" ht="15.75" customHeight="1">
      <c r="D638" s="175"/>
    </row>
    <row r="639" ht="15.75" customHeight="1">
      <c r="D639" s="175"/>
    </row>
    <row r="640" ht="15.75" customHeight="1">
      <c r="D640" s="175"/>
    </row>
    <row r="641" ht="15.75" customHeight="1">
      <c r="D641" s="175"/>
    </row>
    <row r="642" ht="15.75" customHeight="1">
      <c r="D642" s="175"/>
    </row>
    <row r="643" ht="15.75" customHeight="1">
      <c r="D643" s="175"/>
    </row>
    <row r="644" ht="15.75" customHeight="1">
      <c r="D644" s="175"/>
    </row>
    <row r="645" ht="15.75" customHeight="1">
      <c r="D645" s="175"/>
    </row>
    <row r="646" ht="15.75" customHeight="1">
      <c r="D646" s="175"/>
    </row>
    <row r="647" ht="15.75" customHeight="1">
      <c r="D647" s="175"/>
    </row>
    <row r="648" ht="15.75" customHeight="1">
      <c r="D648" s="175"/>
    </row>
    <row r="649" ht="15.75" customHeight="1">
      <c r="D649" s="175"/>
    </row>
    <row r="650" ht="15.75" customHeight="1">
      <c r="D650" s="175"/>
    </row>
    <row r="651" ht="15.75" customHeight="1">
      <c r="D651" s="175"/>
    </row>
    <row r="652" ht="15.75" customHeight="1">
      <c r="D652" s="175"/>
    </row>
    <row r="653" ht="15.75" customHeight="1">
      <c r="D653" s="175"/>
    </row>
    <row r="654" ht="15.75" customHeight="1">
      <c r="D654" s="175"/>
    </row>
    <row r="655" ht="15.75" customHeight="1">
      <c r="D655" s="175"/>
    </row>
    <row r="656" ht="15.75" customHeight="1">
      <c r="D656" s="175"/>
    </row>
    <row r="657" ht="15.75" customHeight="1">
      <c r="D657" s="175"/>
    </row>
    <row r="658" ht="15.75" customHeight="1">
      <c r="D658" s="175"/>
    </row>
    <row r="659" ht="15.75" customHeight="1">
      <c r="D659" s="175"/>
    </row>
    <row r="660" ht="15.75" customHeight="1">
      <c r="D660" s="175"/>
    </row>
    <row r="661" ht="15.75" customHeight="1">
      <c r="D661" s="175"/>
    </row>
    <row r="662" ht="15.75" customHeight="1">
      <c r="D662" s="175"/>
    </row>
    <row r="663" ht="15.75" customHeight="1">
      <c r="D663" s="175"/>
    </row>
    <row r="664" ht="15.75" customHeight="1">
      <c r="D664" s="175"/>
    </row>
    <row r="665" ht="15.75" customHeight="1">
      <c r="D665" s="175"/>
    </row>
    <row r="666" ht="15.75" customHeight="1">
      <c r="D666" s="175"/>
    </row>
    <row r="667" ht="15.75" customHeight="1">
      <c r="D667" s="175"/>
    </row>
    <row r="668" ht="15.75" customHeight="1">
      <c r="D668" s="175"/>
    </row>
    <row r="669" ht="15.75" customHeight="1">
      <c r="D669" s="175"/>
    </row>
    <row r="670" ht="15.75" customHeight="1">
      <c r="D670" s="175"/>
    </row>
    <row r="671" ht="15.75" customHeight="1">
      <c r="D671" s="175"/>
    </row>
    <row r="672" ht="15.75" customHeight="1">
      <c r="D672" s="175"/>
    </row>
    <row r="673" ht="15.75" customHeight="1">
      <c r="D673" s="175"/>
    </row>
    <row r="674" ht="15.75" customHeight="1">
      <c r="D674" s="175"/>
    </row>
    <row r="675" ht="15.75" customHeight="1">
      <c r="D675" s="175"/>
    </row>
    <row r="676" ht="15.75" customHeight="1">
      <c r="D676" s="175"/>
    </row>
    <row r="677" ht="15.75" customHeight="1">
      <c r="D677" s="175"/>
    </row>
    <row r="678" ht="15.75" customHeight="1">
      <c r="D678" s="175"/>
    </row>
    <row r="679" ht="15.75" customHeight="1">
      <c r="D679" s="175"/>
    </row>
    <row r="680" ht="15.75" customHeight="1">
      <c r="D680" s="175"/>
    </row>
    <row r="681" ht="15.75" customHeight="1">
      <c r="D681" s="175"/>
    </row>
    <row r="682" ht="15.75" customHeight="1">
      <c r="D682" s="175"/>
    </row>
    <row r="683" ht="15.75" customHeight="1">
      <c r="D683" s="175"/>
    </row>
    <row r="684" ht="15.75" customHeight="1">
      <c r="D684" s="175"/>
    </row>
    <row r="685" ht="15.75" customHeight="1">
      <c r="D685" s="175"/>
    </row>
    <row r="686" ht="15.75" customHeight="1">
      <c r="D686" s="175"/>
    </row>
    <row r="687" ht="15.75" customHeight="1">
      <c r="D687" s="175"/>
    </row>
    <row r="688" ht="15.75" customHeight="1">
      <c r="D688" s="175"/>
    </row>
    <row r="689" ht="15.75" customHeight="1">
      <c r="D689" s="175"/>
    </row>
    <row r="690" ht="15.75" customHeight="1">
      <c r="D690" s="175"/>
    </row>
    <row r="691" ht="15.75" customHeight="1">
      <c r="D691" s="175"/>
    </row>
    <row r="692" ht="15.75" customHeight="1">
      <c r="D692" s="175"/>
    </row>
    <row r="693" ht="15.75" customHeight="1">
      <c r="D693" s="175"/>
    </row>
    <row r="694" ht="15.75" customHeight="1">
      <c r="D694" s="175"/>
    </row>
    <row r="695" ht="15.75" customHeight="1">
      <c r="D695" s="175"/>
    </row>
    <row r="696" ht="15.75" customHeight="1">
      <c r="D696" s="175"/>
    </row>
    <row r="697" ht="15.75" customHeight="1">
      <c r="D697" s="175"/>
    </row>
    <row r="698" ht="15.75" customHeight="1">
      <c r="D698" s="175"/>
    </row>
    <row r="699" ht="15.75" customHeight="1">
      <c r="D699" s="175"/>
    </row>
    <row r="700" ht="15.75" customHeight="1">
      <c r="D700" s="175"/>
    </row>
    <row r="701" ht="15.75" customHeight="1">
      <c r="D701" s="175"/>
    </row>
    <row r="702" ht="15.75" customHeight="1">
      <c r="D702" s="175"/>
    </row>
    <row r="703" ht="15.75" customHeight="1">
      <c r="D703" s="175"/>
    </row>
    <row r="704" ht="15.75" customHeight="1">
      <c r="D704" s="175"/>
    </row>
    <row r="705" ht="15.75" customHeight="1">
      <c r="D705" s="175"/>
    </row>
    <row r="706" ht="15.75" customHeight="1">
      <c r="D706" s="175"/>
    </row>
    <row r="707" ht="15.75" customHeight="1">
      <c r="D707" s="175"/>
    </row>
    <row r="708" ht="15.75" customHeight="1">
      <c r="D708" s="175"/>
    </row>
    <row r="709" ht="15.75" customHeight="1">
      <c r="D709" s="175"/>
    </row>
    <row r="710" ht="15.75" customHeight="1">
      <c r="D710" s="175"/>
    </row>
    <row r="711" ht="15.75" customHeight="1">
      <c r="D711" s="175"/>
    </row>
    <row r="712" ht="15.75" customHeight="1">
      <c r="D712" s="175"/>
    </row>
    <row r="713" ht="15.75" customHeight="1">
      <c r="D713" s="175"/>
    </row>
    <row r="714" ht="15.75" customHeight="1">
      <c r="D714" s="175"/>
    </row>
    <row r="715" ht="15.75" customHeight="1">
      <c r="D715" s="175"/>
    </row>
    <row r="716" ht="15.75" customHeight="1">
      <c r="D716" s="175"/>
    </row>
    <row r="717" ht="15.75" customHeight="1">
      <c r="D717" s="175"/>
    </row>
    <row r="718" ht="15.75" customHeight="1">
      <c r="D718" s="175"/>
    </row>
    <row r="719" ht="15.75" customHeight="1">
      <c r="D719" s="175"/>
    </row>
    <row r="720" ht="15.75" customHeight="1">
      <c r="D720" s="175"/>
    </row>
    <row r="721" ht="15.75" customHeight="1">
      <c r="D721" s="175"/>
    </row>
    <row r="722" ht="15.75" customHeight="1">
      <c r="D722" s="175"/>
    </row>
    <row r="723" ht="15.75" customHeight="1">
      <c r="D723" s="175"/>
    </row>
    <row r="724" ht="15.75" customHeight="1">
      <c r="D724" s="175"/>
    </row>
    <row r="725" ht="15.75" customHeight="1">
      <c r="D725" s="175"/>
    </row>
    <row r="726" ht="15.75" customHeight="1">
      <c r="D726" s="175"/>
    </row>
    <row r="727" ht="15.75" customHeight="1">
      <c r="D727" s="175"/>
    </row>
    <row r="728" ht="15.75" customHeight="1">
      <c r="D728" s="175"/>
    </row>
    <row r="729" ht="15.75" customHeight="1">
      <c r="D729" s="175"/>
    </row>
    <row r="730" ht="15.75" customHeight="1">
      <c r="D730" s="175"/>
    </row>
    <row r="731" ht="15.75" customHeight="1">
      <c r="D731" s="175"/>
    </row>
    <row r="732" ht="15.75" customHeight="1">
      <c r="D732" s="175"/>
    </row>
    <row r="733" ht="15.75" customHeight="1">
      <c r="D733" s="175"/>
    </row>
    <row r="734" ht="15.75" customHeight="1">
      <c r="D734" s="175"/>
    </row>
    <row r="735" ht="15.75" customHeight="1">
      <c r="D735" s="175"/>
    </row>
    <row r="736" ht="15.75" customHeight="1">
      <c r="D736" s="175"/>
    </row>
    <row r="737" ht="15.75" customHeight="1">
      <c r="D737" s="175"/>
    </row>
    <row r="738" ht="15.75" customHeight="1">
      <c r="D738" s="175"/>
    </row>
    <row r="739" ht="15.75" customHeight="1">
      <c r="D739" s="175"/>
    </row>
    <row r="740" ht="15.75" customHeight="1">
      <c r="D740" s="175"/>
    </row>
    <row r="741" ht="15.75" customHeight="1">
      <c r="D741" s="175"/>
    </row>
    <row r="742" ht="15.75" customHeight="1">
      <c r="D742" s="175"/>
    </row>
    <row r="743" ht="15.75" customHeight="1">
      <c r="D743" s="175"/>
    </row>
    <row r="744" ht="15.75" customHeight="1">
      <c r="D744" s="175"/>
    </row>
    <row r="745" ht="15.75" customHeight="1">
      <c r="D745" s="175"/>
    </row>
    <row r="746" ht="15.75" customHeight="1">
      <c r="D746" s="175"/>
    </row>
    <row r="747" ht="15.75" customHeight="1">
      <c r="D747" s="175"/>
    </row>
    <row r="748" ht="15.75" customHeight="1">
      <c r="D748" s="175"/>
    </row>
    <row r="749" ht="15.75" customHeight="1">
      <c r="D749" s="175"/>
    </row>
    <row r="750" ht="15.75" customHeight="1">
      <c r="D750" s="175"/>
    </row>
    <row r="751" ht="15.75" customHeight="1">
      <c r="D751" s="175"/>
    </row>
    <row r="752" ht="15.75" customHeight="1">
      <c r="D752" s="175"/>
    </row>
    <row r="753" ht="15.75" customHeight="1">
      <c r="D753" s="175"/>
    </row>
    <row r="754" ht="15.75" customHeight="1">
      <c r="D754" s="175"/>
    </row>
    <row r="755" ht="15.75" customHeight="1">
      <c r="D755" s="175"/>
    </row>
    <row r="756" ht="15.75" customHeight="1">
      <c r="D756" s="175"/>
    </row>
    <row r="757" ht="15.75" customHeight="1">
      <c r="D757" s="175"/>
    </row>
    <row r="758" ht="15.75" customHeight="1">
      <c r="D758" s="175"/>
    </row>
    <row r="759" ht="15.75" customHeight="1">
      <c r="D759" s="175"/>
    </row>
    <row r="760" ht="15.75" customHeight="1">
      <c r="D760" s="175"/>
    </row>
    <row r="761" ht="15.75" customHeight="1">
      <c r="D761" s="175"/>
    </row>
    <row r="762" ht="15.75" customHeight="1">
      <c r="D762" s="175"/>
    </row>
    <row r="763" ht="15.75" customHeight="1">
      <c r="D763" s="175"/>
    </row>
    <row r="764" ht="15.75" customHeight="1">
      <c r="D764" s="175"/>
    </row>
    <row r="765" ht="15.75" customHeight="1">
      <c r="D765" s="175"/>
    </row>
    <row r="766" ht="15.75" customHeight="1">
      <c r="D766" s="175"/>
    </row>
    <row r="767" ht="15.75" customHeight="1">
      <c r="D767" s="175"/>
    </row>
    <row r="768" ht="15.75" customHeight="1">
      <c r="D768" s="175"/>
    </row>
    <row r="769" ht="15.75" customHeight="1">
      <c r="D769" s="175"/>
    </row>
    <row r="770" ht="15.75" customHeight="1">
      <c r="D770" s="175"/>
    </row>
    <row r="771" ht="15.75" customHeight="1">
      <c r="D771" s="175"/>
    </row>
    <row r="772" ht="15.75" customHeight="1">
      <c r="D772" s="175"/>
    </row>
    <row r="773" ht="15.75" customHeight="1">
      <c r="D773" s="175"/>
    </row>
    <row r="774" ht="15.75" customHeight="1">
      <c r="D774" s="175"/>
    </row>
    <row r="775" ht="15.75" customHeight="1">
      <c r="D775" s="175"/>
    </row>
    <row r="776" ht="15.75" customHeight="1">
      <c r="D776" s="175"/>
    </row>
    <row r="777" ht="15.75" customHeight="1">
      <c r="D777" s="175"/>
    </row>
    <row r="778" ht="15.75" customHeight="1">
      <c r="D778" s="175"/>
    </row>
    <row r="779" ht="15.75" customHeight="1">
      <c r="D779" s="175"/>
    </row>
    <row r="780" ht="15.75" customHeight="1">
      <c r="D780" s="175"/>
    </row>
    <row r="781" ht="15.75" customHeight="1">
      <c r="D781" s="175"/>
    </row>
    <row r="782" ht="15.75" customHeight="1">
      <c r="D782" s="175"/>
    </row>
    <row r="783" ht="15.75" customHeight="1">
      <c r="D783" s="175"/>
    </row>
    <row r="784" ht="15.75" customHeight="1">
      <c r="D784" s="175"/>
    </row>
    <row r="785" ht="15.75" customHeight="1">
      <c r="D785" s="175"/>
    </row>
    <row r="786" ht="15.75" customHeight="1">
      <c r="D786" s="175"/>
    </row>
    <row r="787" ht="15.75" customHeight="1">
      <c r="D787" s="175"/>
    </row>
    <row r="788" ht="15.75" customHeight="1">
      <c r="D788" s="175"/>
    </row>
    <row r="789" ht="15.75" customHeight="1">
      <c r="D789" s="175"/>
    </row>
    <row r="790" ht="15.75" customHeight="1">
      <c r="D790" s="175"/>
    </row>
    <row r="791" ht="15.75" customHeight="1">
      <c r="D791" s="175"/>
    </row>
    <row r="792" ht="15.75" customHeight="1">
      <c r="D792" s="175"/>
    </row>
    <row r="793" ht="15.75" customHeight="1">
      <c r="D793" s="175"/>
    </row>
    <row r="794" ht="15.75" customHeight="1">
      <c r="D794" s="175"/>
    </row>
    <row r="795" ht="15.75" customHeight="1">
      <c r="D795" s="175"/>
    </row>
    <row r="796" ht="15.75" customHeight="1">
      <c r="D796" s="175"/>
    </row>
    <row r="797" ht="15.75" customHeight="1">
      <c r="D797" s="175"/>
    </row>
    <row r="798" ht="15.75" customHeight="1">
      <c r="D798" s="175"/>
    </row>
    <row r="799" ht="15.75" customHeight="1">
      <c r="D799" s="175"/>
    </row>
    <row r="800" ht="15.75" customHeight="1">
      <c r="D800" s="175"/>
    </row>
    <row r="801" ht="15.75" customHeight="1">
      <c r="D801" s="175"/>
    </row>
    <row r="802" ht="15.75" customHeight="1">
      <c r="D802" s="175"/>
    </row>
    <row r="803" ht="15.75" customHeight="1">
      <c r="D803" s="175"/>
    </row>
    <row r="804" ht="15.75" customHeight="1">
      <c r="D804" s="175"/>
    </row>
    <row r="805" ht="15.75" customHeight="1">
      <c r="D805" s="175"/>
    </row>
    <row r="806" ht="15.75" customHeight="1">
      <c r="D806" s="175"/>
    </row>
    <row r="807" ht="15.75" customHeight="1">
      <c r="D807" s="175"/>
    </row>
    <row r="808" ht="15.75" customHeight="1">
      <c r="D808" s="175"/>
    </row>
    <row r="809" ht="15.75" customHeight="1">
      <c r="D809" s="175"/>
    </row>
    <row r="810" ht="15.75" customHeight="1">
      <c r="D810" s="175"/>
    </row>
    <row r="811" ht="15.75" customHeight="1">
      <c r="D811" s="175"/>
    </row>
    <row r="812" ht="15.75" customHeight="1">
      <c r="D812" s="175"/>
    </row>
    <row r="813" ht="15.75" customHeight="1">
      <c r="D813" s="175"/>
    </row>
    <row r="814" ht="15.75" customHeight="1">
      <c r="D814" s="175"/>
    </row>
    <row r="815" ht="15.75" customHeight="1">
      <c r="D815" s="175"/>
    </row>
    <row r="816" ht="15.75" customHeight="1">
      <c r="D816" s="175"/>
    </row>
    <row r="817" ht="15.75" customHeight="1">
      <c r="D817" s="175"/>
    </row>
    <row r="818" ht="15.75" customHeight="1">
      <c r="D818" s="175"/>
    </row>
    <row r="819" ht="15.75" customHeight="1">
      <c r="D819" s="175"/>
    </row>
    <row r="820" ht="15.75" customHeight="1">
      <c r="D820" s="175"/>
    </row>
    <row r="821" ht="15.75" customHeight="1">
      <c r="D821" s="175"/>
    </row>
    <row r="822" ht="15.75" customHeight="1">
      <c r="D822" s="175"/>
    </row>
    <row r="823" ht="15.75" customHeight="1">
      <c r="D823" s="175"/>
    </row>
    <row r="824" ht="15.75" customHeight="1">
      <c r="D824" s="175"/>
    </row>
    <row r="825" ht="15.75" customHeight="1">
      <c r="D825" s="175"/>
    </row>
    <row r="826" ht="15.75" customHeight="1">
      <c r="D826" s="175"/>
    </row>
    <row r="827" ht="15.75" customHeight="1">
      <c r="D827" s="175"/>
    </row>
    <row r="828" ht="15.75" customHeight="1">
      <c r="D828" s="175"/>
    </row>
    <row r="829" ht="15.75" customHeight="1">
      <c r="D829" s="175"/>
    </row>
    <row r="830" ht="15.75" customHeight="1">
      <c r="D830" s="175"/>
    </row>
    <row r="831" ht="15.75" customHeight="1">
      <c r="D831" s="175"/>
    </row>
    <row r="832" ht="15.75" customHeight="1">
      <c r="D832" s="175"/>
    </row>
    <row r="833" ht="15.75" customHeight="1">
      <c r="D833" s="175"/>
    </row>
    <row r="834" ht="15.75" customHeight="1">
      <c r="D834" s="175"/>
    </row>
    <row r="835" ht="15.75" customHeight="1">
      <c r="D835" s="175"/>
    </row>
    <row r="836" ht="15.75" customHeight="1">
      <c r="D836" s="175"/>
    </row>
    <row r="837" ht="15.75" customHeight="1">
      <c r="D837" s="175"/>
    </row>
    <row r="838" ht="15.75" customHeight="1">
      <c r="D838" s="175"/>
    </row>
    <row r="839" ht="15.75" customHeight="1">
      <c r="D839" s="175"/>
    </row>
    <row r="840" ht="15.75" customHeight="1">
      <c r="D840" s="175"/>
    </row>
    <row r="841" ht="15.75" customHeight="1">
      <c r="D841" s="175"/>
    </row>
    <row r="842" ht="15.75" customHeight="1">
      <c r="D842" s="175"/>
    </row>
    <row r="843" ht="15.75" customHeight="1">
      <c r="D843" s="175"/>
    </row>
    <row r="844" ht="15.75" customHeight="1">
      <c r="D844" s="175"/>
    </row>
    <row r="845" ht="15.75" customHeight="1">
      <c r="D845" s="175"/>
    </row>
    <row r="846" ht="15.75" customHeight="1">
      <c r="D846" s="175"/>
    </row>
    <row r="847" ht="15.75" customHeight="1">
      <c r="D847" s="175"/>
    </row>
    <row r="848" ht="15.75" customHeight="1">
      <c r="D848" s="175"/>
    </row>
    <row r="849" ht="15.75" customHeight="1">
      <c r="D849" s="175"/>
    </row>
    <row r="850" ht="15.75" customHeight="1">
      <c r="D850" s="175"/>
    </row>
    <row r="851" ht="15.75" customHeight="1">
      <c r="D851" s="175"/>
    </row>
    <row r="852" ht="15.75" customHeight="1">
      <c r="D852" s="175"/>
    </row>
    <row r="853" ht="15.75" customHeight="1">
      <c r="D853" s="175"/>
    </row>
    <row r="854" ht="15.75" customHeight="1">
      <c r="D854" s="175"/>
    </row>
    <row r="855" ht="15.75" customHeight="1">
      <c r="D855" s="175"/>
    </row>
    <row r="856" ht="15.75" customHeight="1">
      <c r="D856" s="175"/>
    </row>
    <row r="857" ht="15.75" customHeight="1">
      <c r="D857" s="175"/>
    </row>
    <row r="858" ht="15.75" customHeight="1">
      <c r="D858" s="175"/>
    </row>
    <row r="859" ht="15.75" customHeight="1">
      <c r="D859" s="175"/>
    </row>
    <row r="860" ht="15.75" customHeight="1">
      <c r="D860" s="175"/>
    </row>
    <row r="861" ht="15.75" customHeight="1">
      <c r="D861" s="175"/>
    </row>
    <row r="862" ht="15.75" customHeight="1">
      <c r="D862" s="175"/>
    </row>
    <row r="863" ht="15.75" customHeight="1">
      <c r="D863" s="175"/>
    </row>
    <row r="864" ht="15.75" customHeight="1">
      <c r="D864" s="175"/>
    </row>
    <row r="865" ht="15.75" customHeight="1">
      <c r="D865" s="175"/>
    </row>
    <row r="866" ht="15.75" customHeight="1">
      <c r="D866" s="175"/>
    </row>
    <row r="867" ht="15.75" customHeight="1">
      <c r="D867" s="175"/>
    </row>
    <row r="868" ht="15.75" customHeight="1">
      <c r="D868" s="175"/>
    </row>
    <row r="869" ht="15.75" customHeight="1">
      <c r="D869" s="175"/>
    </row>
    <row r="870" ht="15.75" customHeight="1">
      <c r="D870" s="175"/>
    </row>
    <row r="871" ht="15.75" customHeight="1">
      <c r="D871" s="175"/>
    </row>
    <row r="872" ht="15.75" customHeight="1">
      <c r="D872" s="175"/>
    </row>
    <row r="873" ht="15.75" customHeight="1">
      <c r="D873" s="175"/>
    </row>
    <row r="874" ht="15.75" customHeight="1">
      <c r="D874" s="175"/>
    </row>
    <row r="875" ht="15.75" customHeight="1">
      <c r="D875" s="175"/>
    </row>
    <row r="876" ht="15.75" customHeight="1">
      <c r="D876" s="175"/>
    </row>
    <row r="877" ht="15.75" customHeight="1">
      <c r="D877" s="175"/>
    </row>
    <row r="878" ht="15.75" customHeight="1">
      <c r="D878" s="175"/>
    </row>
    <row r="879" ht="15.75" customHeight="1">
      <c r="D879" s="175"/>
    </row>
    <row r="880" ht="15.75" customHeight="1">
      <c r="D880" s="175"/>
    </row>
    <row r="881" ht="15.75" customHeight="1">
      <c r="D881" s="175"/>
    </row>
    <row r="882" ht="15.75" customHeight="1">
      <c r="D882" s="175"/>
    </row>
    <row r="883" ht="15.75" customHeight="1">
      <c r="D883" s="175"/>
    </row>
    <row r="884" ht="15.75" customHeight="1">
      <c r="D884" s="175"/>
    </row>
    <row r="885" ht="15.75" customHeight="1">
      <c r="D885" s="175"/>
    </row>
    <row r="886" ht="15.75" customHeight="1">
      <c r="D886" s="175"/>
    </row>
    <row r="887" ht="15.75" customHeight="1">
      <c r="D887" s="175"/>
    </row>
    <row r="888" ht="15.75" customHeight="1">
      <c r="D888" s="175"/>
    </row>
    <row r="889" ht="15.75" customHeight="1">
      <c r="D889" s="175"/>
    </row>
    <row r="890" ht="15.75" customHeight="1">
      <c r="D890" s="175"/>
    </row>
    <row r="891" ht="15.75" customHeight="1">
      <c r="D891" s="175"/>
    </row>
    <row r="892" ht="15.75" customHeight="1">
      <c r="D892" s="175"/>
    </row>
    <row r="893" ht="15.75" customHeight="1">
      <c r="D893" s="175"/>
    </row>
    <row r="894" ht="15.75" customHeight="1">
      <c r="D894" s="175"/>
    </row>
    <row r="895" ht="15.75" customHeight="1">
      <c r="D895" s="175"/>
    </row>
    <row r="896" ht="15.75" customHeight="1">
      <c r="D896" s="175"/>
    </row>
    <row r="897" ht="15.75" customHeight="1">
      <c r="D897" s="175"/>
    </row>
    <row r="898" ht="15.75" customHeight="1">
      <c r="D898" s="175"/>
    </row>
    <row r="899" ht="15.75" customHeight="1">
      <c r="D899" s="175"/>
    </row>
    <row r="900" ht="15.75" customHeight="1">
      <c r="D900" s="175"/>
    </row>
    <row r="901" ht="15.75" customHeight="1">
      <c r="D901" s="175"/>
    </row>
    <row r="902" ht="15.75" customHeight="1">
      <c r="D902" s="175"/>
    </row>
    <row r="903" ht="15.75" customHeight="1">
      <c r="D903" s="175"/>
    </row>
    <row r="904" ht="15.75" customHeight="1">
      <c r="D904" s="175"/>
    </row>
    <row r="905" ht="15.75" customHeight="1">
      <c r="D905" s="175"/>
    </row>
    <row r="906" ht="15.75" customHeight="1">
      <c r="D906" s="175"/>
    </row>
    <row r="907" ht="15.75" customHeight="1">
      <c r="D907" s="175"/>
    </row>
    <row r="908" ht="15.75" customHeight="1">
      <c r="D908" s="175"/>
    </row>
    <row r="909" ht="15.75" customHeight="1">
      <c r="D909" s="175"/>
    </row>
    <row r="910" ht="15.75" customHeight="1">
      <c r="D910" s="175"/>
    </row>
    <row r="911" ht="15.75" customHeight="1">
      <c r="D911" s="175"/>
    </row>
    <row r="912" ht="15.75" customHeight="1">
      <c r="D912" s="175"/>
    </row>
    <row r="913" ht="15.75" customHeight="1">
      <c r="D913" s="175"/>
    </row>
    <row r="914" ht="15.75" customHeight="1">
      <c r="D914" s="175"/>
    </row>
    <row r="915" ht="15.75" customHeight="1">
      <c r="D915" s="175"/>
    </row>
    <row r="916" ht="15.75" customHeight="1">
      <c r="D916" s="175"/>
    </row>
    <row r="917" ht="15.75" customHeight="1">
      <c r="D917" s="175"/>
    </row>
    <row r="918" ht="15.75" customHeight="1">
      <c r="D918" s="175"/>
    </row>
    <row r="919" ht="15.75" customHeight="1">
      <c r="D919" s="175"/>
    </row>
    <row r="920" ht="15.75" customHeight="1">
      <c r="D920" s="175"/>
    </row>
    <row r="921" ht="15.75" customHeight="1">
      <c r="D921" s="175"/>
    </row>
    <row r="922" ht="15.75" customHeight="1">
      <c r="D922" s="175"/>
    </row>
    <row r="923" ht="15.75" customHeight="1">
      <c r="D923" s="175"/>
    </row>
    <row r="924" ht="15.75" customHeight="1">
      <c r="D924" s="175"/>
    </row>
    <row r="925" ht="15.75" customHeight="1">
      <c r="D925" s="175"/>
    </row>
    <row r="926" ht="15.75" customHeight="1">
      <c r="D926" s="175"/>
    </row>
    <row r="927" ht="15.75" customHeight="1">
      <c r="D927" s="175"/>
    </row>
    <row r="928" ht="15.75" customHeight="1">
      <c r="D928" s="175"/>
    </row>
    <row r="929" ht="15.75" customHeight="1">
      <c r="D929" s="175"/>
    </row>
    <row r="930" ht="15.75" customHeight="1">
      <c r="D930" s="175"/>
    </row>
    <row r="931" ht="15.75" customHeight="1">
      <c r="D931" s="175"/>
    </row>
    <row r="932" ht="15.75" customHeight="1">
      <c r="D932" s="175"/>
    </row>
    <row r="933" ht="15.75" customHeight="1">
      <c r="D933" s="175"/>
    </row>
    <row r="934" ht="15.75" customHeight="1">
      <c r="D934" s="175"/>
    </row>
    <row r="935" ht="15.75" customHeight="1">
      <c r="D935" s="175"/>
    </row>
    <row r="936" ht="15.75" customHeight="1">
      <c r="D936" s="175"/>
    </row>
    <row r="937" ht="15.75" customHeight="1">
      <c r="D937" s="175"/>
    </row>
    <row r="938" ht="15.75" customHeight="1">
      <c r="D938" s="175"/>
    </row>
    <row r="939" ht="15.75" customHeight="1">
      <c r="D939" s="175"/>
    </row>
    <row r="940" ht="15.75" customHeight="1">
      <c r="D940" s="175"/>
    </row>
    <row r="941" ht="15.75" customHeight="1">
      <c r="D941" s="175"/>
    </row>
    <row r="942" ht="15.75" customHeight="1">
      <c r="D942" s="175"/>
    </row>
    <row r="943" ht="15.75" customHeight="1">
      <c r="D943" s="175"/>
    </row>
    <row r="944" ht="15.75" customHeight="1">
      <c r="D944" s="175"/>
    </row>
    <row r="945" ht="15.75" customHeight="1">
      <c r="D945" s="175"/>
    </row>
    <row r="946" ht="15.75" customHeight="1">
      <c r="D946" s="175"/>
    </row>
    <row r="947" ht="15.75" customHeight="1">
      <c r="D947" s="175"/>
    </row>
    <row r="948" ht="15.75" customHeight="1">
      <c r="D948" s="175"/>
    </row>
    <row r="949" ht="15.75" customHeight="1">
      <c r="D949" s="175"/>
    </row>
    <row r="950" ht="15.75" customHeight="1">
      <c r="D950" s="175"/>
    </row>
    <row r="951" ht="15.75" customHeight="1">
      <c r="D951" s="175"/>
    </row>
    <row r="952" ht="15.75" customHeight="1">
      <c r="D952" s="175"/>
    </row>
    <row r="953" ht="15.75" customHeight="1">
      <c r="D953" s="175"/>
    </row>
    <row r="954" ht="15.75" customHeight="1">
      <c r="D954" s="175"/>
    </row>
    <row r="955" ht="15.75" customHeight="1">
      <c r="D955" s="175"/>
    </row>
    <row r="956" ht="15.75" customHeight="1">
      <c r="D956" s="175"/>
    </row>
    <row r="957" ht="15.75" customHeight="1">
      <c r="D957" s="175"/>
    </row>
    <row r="958" ht="15.75" customHeight="1">
      <c r="D958" s="175"/>
    </row>
    <row r="959" ht="15.75" customHeight="1">
      <c r="D959" s="175"/>
    </row>
    <row r="960" ht="15.75" customHeight="1">
      <c r="D960" s="175"/>
    </row>
    <row r="961" ht="15.75" customHeight="1">
      <c r="D961" s="175"/>
    </row>
    <row r="962" ht="15.75" customHeight="1">
      <c r="D962" s="175"/>
    </row>
    <row r="963" ht="15.75" customHeight="1">
      <c r="D963" s="175"/>
    </row>
    <row r="964" ht="15.75" customHeight="1">
      <c r="D964" s="175"/>
    </row>
    <row r="965" ht="15.75" customHeight="1">
      <c r="D965" s="175"/>
    </row>
    <row r="966" ht="15.75" customHeight="1">
      <c r="D966" s="175"/>
    </row>
    <row r="967" ht="15.75" customHeight="1">
      <c r="D967" s="175"/>
    </row>
    <row r="968" ht="15.75" customHeight="1">
      <c r="D968" s="175"/>
    </row>
    <row r="969" ht="15.75" customHeight="1">
      <c r="D969" s="175"/>
    </row>
    <row r="970" ht="15.75" customHeight="1">
      <c r="D970" s="175"/>
    </row>
    <row r="971" ht="15.75" customHeight="1">
      <c r="D971" s="175"/>
    </row>
    <row r="972" ht="15.75" customHeight="1">
      <c r="D972" s="175"/>
    </row>
    <row r="973" ht="15.75" customHeight="1">
      <c r="D973" s="175"/>
    </row>
    <row r="974" ht="15.75" customHeight="1">
      <c r="D974" s="175"/>
    </row>
    <row r="975" ht="15.75" customHeight="1">
      <c r="D975" s="175"/>
    </row>
    <row r="976" ht="15.75" customHeight="1">
      <c r="D976" s="175"/>
    </row>
    <row r="977" ht="15.75" customHeight="1">
      <c r="D977" s="175"/>
    </row>
    <row r="978" ht="15.75" customHeight="1">
      <c r="D978" s="175"/>
    </row>
    <row r="979" ht="15.75" customHeight="1">
      <c r="D979" s="175"/>
    </row>
    <row r="980" ht="15.75" customHeight="1">
      <c r="D980" s="175"/>
    </row>
    <row r="981" ht="15.75" customHeight="1">
      <c r="D981" s="175"/>
    </row>
    <row r="982" ht="15.75" customHeight="1">
      <c r="D982" s="175"/>
    </row>
    <row r="983" ht="15.75" customHeight="1">
      <c r="D983" s="175"/>
    </row>
    <row r="984" ht="15.75" customHeight="1">
      <c r="D984" s="175"/>
    </row>
    <row r="985" ht="15.75" customHeight="1">
      <c r="D985" s="175"/>
    </row>
    <row r="986" ht="15.75" customHeight="1">
      <c r="D986" s="175"/>
    </row>
    <row r="987" ht="15.75" customHeight="1">
      <c r="D987" s="175"/>
    </row>
    <row r="988" ht="15.75" customHeight="1">
      <c r="D988" s="175"/>
    </row>
    <row r="989" ht="15.75" customHeight="1">
      <c r="D989" s="175"/>
    </row>
    <row r="990" ht="15.75" customHeight="1">
      <c r="D990" s="175"/>
    </row>
    <row r="991" ht="15.75" customHeight="1">
      <c r="D991" s="175"/>
    </row>
    <row r="992" ht="15.75" customHeight="1">
      <c r="D992" s="175"/>
    </row>
    <row r="993" ht="15.75" customHeight="1">
      <c r="D993" s="175"/>
    </row>
    <row r="994" ht="15.75" customHeight="1">
      <c r="D994" s="175"/>
    </row>
    <row r="995" ht="15.75" customHeight="1">
      <c r="D995" s="175"/>
    </row>
    <row r="996" ht="15.75" customHeight="1">
      <c r="D996" s="175"/>
    </row>
    <row r="997" ht="15.75" customHeight="1">
      <c r="D997" s="175"/>
    </row>
    <row r="998" ht="15.75" customHeight="1">
      <c r="D998" s="175"/>
    </row>
    <row r="999" ht="15.75" customHeight="1">
      <c r="D999" s="175"/>
    </row>
    <row r="1000" ht="15.75" customHeight="1">
      <c r="D1000" s="175"/>
    </row>
    <row r="1001" ht="15.75" customHeight="1">
      <c r="D1001" s="175"/>
    </row>
    <row r="1002" ht="15.75" customHeight="1">
      <c r="D1002" s="175"/>
    </row>
    <row r="1003" ht="15.75" customHeight="1">
      <c r="D1003" s="175"/>
    </row>
    <row r="1004" ht="15.75" customHeight="1">
      <c r="D1004" s="175"/>
    </row>
    <row r="1005" ht="15.75" customHeight="1">
      <c r="D1005" s="175"/>
    </row>
    <row r="1006" ht="15.75" customHeight="1">
      <c r="D1006" s="175"/>
    </row>
    <row r="1007" ht="15.75" customHeight="1">
      <c r="D1007" s="175"/>
    </row>
    <row r="1008" ht="15.75" customHeight="1">
      <c r="D1008" s="175"/>
    </row>
    <row r="1009" ht="15.75" customHeight="1">
      <c r="D1009" s="175"/>
    </row>
    <row r="1010" ht="15.75" customHeight="1">
      <c r="D1010" s="175"/>
    </row>
    <row r="1011" ht="15.75" customHeight="1">
      <c r="D1011" s="175"/>
    </row>
    <row r="1012" ht="15.75" customHeight="1">
      <c r="D1012" s="175"/>
    </row>
    <row r="1013" ht="15.75" customHeight="1">
      <c r="D1013" s="175"/>
    </row>
    <row r="1014" ht="15.75" customHeight="1">
      <c r="D1014" s="175"/>
    </row>
    <row r="1015" ht="15.75" customHeight="1">
      <c r="D1015" s="175"/>
    </row>
    <row r="1016" ht="15.75" customHeight="1">
      <c r="D1016" s="175"/>
    </row>
    <row r="1017" ht="15.75" customHeight="1">
      <c r="D1017" s="175"/>
    </row>
    <row r="1018" ht="15.75" customHeight="1">
      <c r="D1018" s="175"/>
    </row>
    <row r="1019" ht="15.75" customHeight="1">
      <c r="D1019" s="175"/>
    </row>
    <row r="1020" ht="15.75" customHeight="1">
      <c r="D1020" s="175"/>
    </row>
    <row r="1021" ht="15.75" customHeight="1">
      <c r="D1021" s="175"/>
    </row>
    <row r="1022" ht="15.75" customHeight="1">
      <c r="D1022" s="175"/>
    </row>
    <row r="1023" ht="15.75" customHeight="1">
      <c r="D1023" s="175"/>
    </row>
    <row r="1024" ht="15.75" customHeight="1">
      <c r="D1024" s="175"/>
    </row>
  </sheetData>
  <autoFilter ref="$D$1:$D$139"/>
  <conditionalFormatting sqref="C1:C1024">
    <cfRule type="containsText" dxfId="1" priority="1" operator="containsText" text="No">
      <formula>NOT(ISERROR(SEARCH(("No"),(C1))))</formula>
    </cfRule>
  </conditionalFormatting>
  <conditionalFormatting sqref="D1:D1024">
    <cfRule type="containsText" dxfId="2" priority="2" operator="containsText" text="continuar evaluación">
      <formula>NOT(ISERROR(SEARCH(("continuar evaluación"),(D1))))</formula>
    </cfRule>
  </conditionalFormatting>
  <dataValidations>
    <dataValidation type="list" allowBlank="1" showErrorMessage="1" sqref="D2:D98 D100:D101 D103:D119 D121:D143 D145:D217">
      <formula1>"Imágenes anatómicas de encéfalo sin hallazgos relevantes.,Hallazgos anatómicos de escaso valor patológico a los fines del presente trabajo.,Hallazgos imagenológicos que requieren continuar evaluación.,Hallazgos anatómicos relevantes que requieren continua"&amp;"r evaluación.,DUDA"</formula1>
    </dataValidation>
    <dataValidation type="list" allowBlank="1" showErrorMessage="1" sqref="B2:C217">
      <formula1>"Si,No"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22" max="22" width="20.5"/>
    <col customWidth="1" min="61" max="61" width="15.13"/>
    <col customWidth="1" min="75" max="75" width="21.88"/>
    <col customWidth="1" min="76" max="76" width="14.0"/>
    <col customWidth="1" min="89" max="89" width="16.25"/>
    <col customWidth="1" min="90" max="90" width="11.25"/>
    <col customWidth="1" min="91" max="91" width="10.75"/>
    <col customWidth="1" min="92" max="92" width="25.25"/>
    <col customWidth="1" min="96" max="96" width="8.25"/>
    <col customWidth="1" min="97" max="97" width="10.5"/>
    <col customWidth="1" min="124" max="138" width="15.13"/>
  </cols>
  <sheetData>
    <row r="1" ht="15.75" customHeight="1">
      <c r="A1" s="176" t="s">
        <v>0</v>
      </c>
      <c r="B1" s="177" t="s">
        <v>1</v>
      </c>
      <c r="C1" s="178" t="s">
        <v>2</v>
      </c>
      <c r="D1" s="179">
        <v>44927.0</v>
      </c>
      <c r="E1" s="180">
        <v>44958.0</v>
      </c>
      <c r="F1" s="180">
        <v>44986.0</v>
      </c>
      <c r="G1" s="181">
        <v>45017.0</v>
      </c>
      <c r="H1" s="182">
        <v>44928.0</v>
      </c>
      <c r="I1" s="183">
        <v>44959.0</v>
      </c>
      <c r="J1" s="184">
        <v>2.22</v>
      </c>
      <c r="K1" s="185">
        <v>44987.0</v>
      </c>
      <c r="L1" s="185">
        <v>45018.0</v>
      </c>
      <c r="M1" s="185">
        <v>45048.0</v>
      </c>
      <c r="N1" s="186">
        <v>2.52</v>
      </c>
      <c r="O1" s="185">
        <v>45079.0</v>
      </c>
      <c r="P1" s="185">
        <v>45109.0</v>
      </c>
      <c r="Q1" s="185">
        <v>45140.0</v>
      </c>
      <c r="R1" s="185">
        <v>45171.0</v>
      </c>
      <c r="S1" s="183">
        <v>45201.0</v>
      </c>
      <c r="T1" s="187">
        <v>45232.0</v>
      </c>
      <c r="U1" s="187">
        <v>45262.0</v>
      </c>
      <c r="V1" s="188"/>
      <c r="W1" s="189" t="s">
        <v>4</v>
      </c>
      <c r="X1" s="190" t="s">
        <v>5</v>
      </c>
      <c r="Y1" s="191">
        <v>2.151</v>
      </c>
      <c r="Z1" s="191">
        <v>2.152</v>
      </c>
      <c r="AA1" s="191">
        <v>2.153</v>
      </c>
      <c r="AB1" s="191">
        <v>2.154</v>
      </c>
      <c r="AC1" s="191">
        <v>2.155</v>
      </c>
      <c r="AD1" s="191">
        <v>2.156</v>
      </c>
      <c r="AE1" s="191">
        <v>2.157</v>
      </c>
      <c r="AF1" s="191">
        <v>2.158</v>
      </c>
      <c r="AG1" s="191">
        <v>2.159</v>
      </c>
      <c r="AH1" s="192" t="s">
        <v>6</v>
      </c>
      <c r="AI1" s="192" t="s">
        <v>7</v>
      </c>
      <c r="AJ1" s="192" t="s">
        <v>8</v>
      </c>
      <c r="AK1" s="193">
        <v>2.16</v>
      </c>
      <c r="AL1" s="194">
        <v>44929.0</v>
      </c>
      <c r="AM1" s="194"/>
      <c r="AN1" s="194"/>
      <c r="AO1" s="195"/>
      <c r="AP1" s="196">
        <v>44960.0</v>
      </c>
      <c r="AQ1" s="180">
        <v>44988.0</v>
      </c>
      <c r="AR1" s="180">
        <v>45019.0</v>
      </c>
      <c r="AS1" s="180">
        <v>45049.0</v>
      </c>
      <c r="AT1" s="180">
        <v>45080.0</v>
      </c>
      <c r="AU1" s="180">
        <v>45110.0</v>
      </c>
      <c r="AV1" s="180">
        <v>45141.0</v>
      </c>
      <c r="AW1" s="180">
        <v>45172.0</v>
      </c>
      <c r="AX1" s="180">
        <v>45202.0</v>
      </c>
      <c r="AY1" s="180">
        <v>45233.0</v>
      </c>
      <c r="AZ1" s="180">
        <v>45263.0</v>
      </c>
      <c r="BA1" s="197" t="s">
        <v>9</v>
      </c>
      <c r="BB1" s="198" t="s">
        <v>10</v>
      </c>
      <c r="BC1" s="199"/>
      <c r="BD1" s="200">
        <v>4.1</v>
      </c>
      <c r="BE1" s="201">
        <v>4.2</v>
      </c>
      <c r="BF1" s="202">
        <v>4.3</v>
      </c>
      <c r="BG1" s="201">
        <v>4.4</v>
      </c>
      <c r="BH1" s="202">
        <v>4.5</v>
      </c>
      <c r="BI1" s="203" t="s">
        <v>11</v>
      </c>
      <c r="BJ1" s="204" t="s">
        <v>12</v>
      </c>
      <c r="BK1" s="205">
        <v>44931.0</v>
      </c>
      <c r="BL1" s="206">
        <v>44962.0</v>
      </c>
      <c r="BM1" s="206">
        <v>44990.0</v>
      </c>
      <c r="BN1" s="206">
        <v>45021.0</v>
      </c>
      <c r="BO1" s="206">
        <v>45051.0</v>
      </c>
      <c r="BP1" s="206">
        <v>45082.0</v>
      </c>
      <c r="BQ1" s="206">
        <v>45112.0</v>
      </c>
      <c r="BR1" s="206">
        <v>45143.0</v>
      </c>
      <c r="BS1" s="206">
        <v>45174.0</v>
      </c>
      <c r="BT1" s="206">
        <v>45204.0</v>
      </c>
      <c r="BU1" s="206">
        <v>45021.0</v>
      </c>
      <c r="BV1" s="206">
        <v>45204.0</v>
      </c>
      <c r="BW1" s="207" t="s">
        <v>13</v>
      </c>
      <c r="BX1" s="208" t="s">
        <v>14</v>
      </c>
      <c r="BY1" s="209">
        <v>44932.0</v>
      </c>
      <c r="BZ1" s="210">
        <v>44963.0</v>
      </c>
      <c r="CA1" s="211"/>
      <c r="CB1" s="212">
        <v>44991.0</v>
      </c>
      <c r="CC1" s="210">
        <v>45022.0</v>
      </c>
      <c r="CD1" s="213"/>
      <c r="CE1" s="214">
        <v>45052.0</v>
      </c>
      <c r="CF1" s="210">
        <v>45083.0</v>
      </c>
      <c r="CG1" s="213"/>
      <c r="CH1" s="210">
        <v>45113.0</v>
      </c>
      <c r="CI1" s="213"/>
      <c r="CJ1" s="215" t="s">
        <v>111</v>
      </c>
      <c r="CK1" s="216"/>
      <c r="CL1" s="217"/>
      <c r="CM1" s="217"/>
      <c r="CN1" s="215" t="s">
        <v>15</v>
      </c>
      <c r="CO1" s="218" t="s">
        <v>16</v>
      </c>
      <c r="CP1" s="218" t="s">
        <v>17</v>
      </c>
      <c r="CQ1" s="219" t="s">
        <v>18</v>
      </c>
      <c r="CR1" s="220" t="s">
        <v>19</v>
      </c>
      <c r="CT1" s="221" t="s">
        <v>20</v>
      </c>
      <c r="CU1" s="218" t="s">
        <v>21</v>
      </c>
      <c r="CV1" s="218" t="s">
        <v>22</v>
      </c>
      <c r="CW1" s="218" t="s">
        <v>23</v>
      </c>
      <c r="CX1" s="218" t="s">
        <v>24</v>
      </c>
      <c r="CY1" s="218" t="s">
        <v>25</v>
      </c>
      <c r="CZ1" s="218" t="s">
        <v>26</v>
      </c>
      <c r="DA1" s="218" t="s">
        <v>27</v>
      </c>
      <c r="DB1" s="218" t="s">
        <v>28</v>
      </c>
      <c r="DC1" s="218" t="s">
        <v>29</v>
      </c>
      <c r="DD1" s="218" t="s">
        <v>30</v>
      </c>
      <c r="DE1" s="218" t="s">
        <v>31</v>
      </c>
      <c r="DF1" s="221"/>
      <c r="DG1" s="219" t="s">
        <v>32</v>
      </c>
      <c r="DH1" s="222">
        <v>45084.0</v>
      </c>
      <c r="DI1" s="222">
        <v>45114.0</v>
      </c>
      <c r="DJ1" s="222">
        <v>45145.0</v>
      </c>
      <c r="DK1" s="222">
        <v>45176.0</v>
      </c>
      <c r="DL1" s="223" t="s">
        <v>33</v>
      </c>
      <c r="DM1" s="224" t="s">
        <v>34</v>
      </c>
      <c r="DN1" s="224" t="s">
        <v>35</v>
      </c>
      <c r="DO1" s="224" t="s">
        <v>36</v>
      </c>
      <c r="DP1" s="224" t="s">
        <v>37</v>
      </c>
      <c r="DQ1" s="224" t="s">
        <v>38</v>
      </c>
      <c r="DR1" s="224" t="s">
        <v>39</v>
      </c>
      <c r="DS1" s="224" t="s">
        <v>40</v>
      </c>
      <c r="DT1" s="225" t="s">
        <v>41</v>
      </c>
      <c r="DU1" s="226" t="s">
        <v>42</v>
      </c>
      <c r="DV1" s="227">
        <v>44934.0</v>
      </c>
      <c r="DW1" s="228">
        <v>44965.0</v>
      </c>
      <c r="DX1" s="228">
        <v>44993.0</v>
      </c>
      <c r="DY1" s="228">
        <v>45024.0</v>
      </c>
      <c r="DZ1" s="228">
        <v>45054.0</v>
      </c>
      <c r="EA1" s="228">
        <v>45085.0</v>
      </c>
      <c r="EB1" s="229" t="s">
        <v>756</v>
      </c>
      <c r="EC1" s="228">
        <v>45115.0</v>
      </c>
      <c r="ED1" s="228">
        <v>45146.0</v>
      </c>
      <c r="EE1" s="228">
        <v>45177.0</v>
      </c>
      <c r="EF1" s="230">
        <v>45207.0</v>
      </c>
      <c r="EG1" s="231"/>
      <c r="EH1" s="231"/>
      <c r="EI1" s="188"/>
    </row>
    <row r="2" ht="15.75" customHeight="1">
      <c r="B2" s="156"/>
      <c r="C2" s="156"/>
      <c r="D2" s="232" t="s">
        <v>46</v>
      </c>
      <c r="E2" s="233"/>
      <c r="F2" s="233"/>
      <c r="G2" s="234"/>
      <c r="H2" s="235" t="s">
        <v>47</v>
      </c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6"/>
      <c r="W2" s="232"/>
      <c r="X2" s="232"/>
      <c r="Y2" s="232"/>
      <c r="Z2" s="232"/>
      <c r="AA2" s="232"/>
      <c r="AB2" s="232"/>
      <c r="AC2" s="232"/>
      <c r="AD2" s="232"/>
      <c r="AE2" s="232"/>
      <c r="AF2" s="232"/>
      <c r="AG2" s="232"/>
      <c r="AH2" s="232"/>
      <c r="AI2" s="232"/>
      <c r="AJ2" s="232"/>
      <c r="AK2" s="237"/>
      <c r="AL2" s="235" t="s">
        <v>50</v>
      </c>
      <c r="AM2" s="233"/>
      <c r="AN2" s="233"/>
      <c r="AO2" s="233"/>
      <c r="AP2" s="233"/>
      <c r="AQ2" s="233"/>
      <c r="AR2" s="233"/>
      <c r="AS2" s="233"/>
      <c r="AT2" s="233"/>
      <c r="AU2" s="233"/>
      <c r="AV2" s="233"/>
      <c r="AW2" s="233"/>
      <c r="AX2" s="233"/>
      <c r="AY2" s="233"/>
      <c r="AZ2" s="233"/>
      <c r="BA2" s="233"/>
      <c r="BB2" s="233"/>
      <c r="BC2" s="234"/>
      <c r="BD2" s="200" t="s">
        <v>51</v>
      </c>
      <c r="BE2" s="201" t="s">
        <v>52</v>
      </c>
      <c r="BF2" s="202" t="s">
        <v>53</v>
      </c>
      <c r="BG2" s="202" t="s">
        <v>54</v>
      </c>
      <c r="BH2" s="202" t="s">
        <v>55</v>
      </c>
      <c r="BI2" s="232"/>
      <c r="BJ2" s="237"/>
      <c r="BK2" s="235" t="s">
        <v>56</v>
      </c>
      <c r="BL2" s="233"/>
      <c r="BM2" s="233"/>
      <c r="BN2" s="233"/>
      <c r="BO2" s="233"/>
      <c r="BP2" s="233"/>
      <c r="BQ2" s="233"/>
      <c r="BR2" s="233"/>
      <c r="BS2" s="233"/>
      <c r="BT2" s="233"/>
      <c r="BU2" s="233"/>
      <c r="BV2" s="233"/>
      <c r="BW2" s="232"/>
      <c r="BX2" s="232"/>
      <c r="BY2" s="238" t="s">
        <v>57</v>
      </c>
      <c r="BZ2" s="239"/>
      <c r="CA2" s="239"/>
      <c r="CB2" s="239"/>
      <c r="CC2" s="239"/>
      <c r="CD2" s="239"/>
      <c r="CE2" s="239"/>
      <c r="CF2" s="239"/>
      <c r="CG2" s="239"/>
      <c r="CH2" s="239"/>
      <c r="CI2" s="239"/>
      <c r="CJ2" s="240"/>
      <c r="CK2" s="216"/>
      <c r="CL2" s="216"/>
      <c r="CM2" s="216"/>
      <c r="CN2" s="216"/>
      <c r="CO2" s="232" t="s">
        <v>41</v>
      </c>
      <c r="CP2" s="233"/>
      <c r="CQ2" s="233"/>
      <c r="CR2" s="233"/>
      <c r="CS2" s="233"/>
      <c r="CT2" s="233"/>
      <c r="CU2" s="233"/>
      <c r="CV2" s="233"/>
      <c r="CW2" s="233"/>
      <c r="CX2" s="233"/>
      <c r="CY2" s="233"/>
      <c r="CZ2" s="233"/>
      <c r="DA2" s="233"/>
      <c r="DB2" s="233"/>
      <c r="DC2" s="233"/>
      <c r="DD2" s="233"/>
      <c r="DE2" s="233"/>
      <c r="DF2" s="233"/>
      <c r="DG2" s="233"/>
      <c r="DH2" s="233"/>
      <c r="DI2" s="233"/>
      <c r="DJ2" s="233"/>
      <c r="DK2" s="233"/>
      <c r="DL2" s="233"/>
      <c r="DM2" s="233"/>
      <c r="DN2" s="233"/>
      <c r="DO2" s="233"/>
      <c r="DP2" s="233"/>
      <c r="DQ2" s="233"/>
      <c r="DR2" s="233"/>
      <c r="DS2" s="233"/>
      <c r="DT2" s="233"/>
      <c r="DU2" s="234"/>
      <c r="DV2" s="241" t="s">
        <v>58</v>
      </c>
      <c r="DW2" s="242"/>
      <c r="DX2" s="242"/>
      <c r="DY2" s="242"/>
      <c r="DZ2" s="242"/>
      <c r="EA2" s="242"/>
      <c r="EB2" s="242"/>
      <c r="EC2" s="242"/>
      <c r="ED2" s="242"/>
      <c r="EE2" s="242"/>
      <c r="EF2" s="243"/>
      <c r="EG2" s="244"/>
      <c r="EH2" s="244"/>
      <c r="EI2" s="232"/>
    </row>
    <row r="3" ht="81.0" customHeight="1">
      <c r="A3" s="245" t="s">
        <v>683</v>
      </c>
      <c r="B3" s="246" t="s">
        <v>1</v>
      </c>
      <c r="C3" s="247" t="s">
        <v>757</v>
      </c>
      <c r="D3" s="248" t="s">
        <v>59</v>
      </c>
      <c r="E3" s="249" t="s">
        <v>60</v>
      </c>
      <c r="F3" s="249" t="s">
        <v>61</v>
      </c>
      <c r="G3" s="250" t="s">
        <v>62</v>
      </c>
      <c r="H3" s="248" t="s">
        <v>63</v>
      </c>
      <c r="I3" s="249" t="s">
        <v>64</v>
      </c>
      <c r="J3" s="249" t="s">
        <v>65</v>
      </c>
      <c r="K3" s="249" t="s">
        <v>66</v>
      </c>
      <c r="L3" s="249" t="s">
        <v>67</v>
      </c>
      <c r="M3" s="249" t="s">
        <v>68</v>
      </c>
      <c r="N3" s="249" t="s">
        <v>69</v>
      </c>
      <c r="O3" s="249" t="s">
        <v>70</v>
      </c>
      <c r="P3" s="251" t="s">
        <v>48</v>
      </c>
      <c r="Q3" s="242"/>
      <c r="R3" s="242"/>
      <c r="S3" s="242"/>
      <c r="T3" s="242"/>
      <c r="U3" s="242"/>
      <c r="V3" s="252" t="s">
        <v>3</v>
      </c>
      <c r="W3" s="249" t="s">
        <v>71</v>
      </c>
      <c r="X3" s="249"/>
      <c r="Y3" s="253" t="s">
        <v>72</v>
      </c>
      <c r="Z3" s="253" t="s">
        <v>73</v>
      </c>
      <c r="AA3" s="253" t="s">
        <v>74</v>
      </c>
      <c r="AB3" s="253" t="s">
        <v>75</v>
      </c>
      <c r="AC3" s="253" t="s">
        <v>76</v>
      </c>
      <c r="AD3" s="253" t="s">
        <v>77</v>
      </c>
      <c r="AE3" s="253" t="s">
        <v>78</v>
      </c>
      <c r="AF3" s="253" t="s">
        <v>79</v>
      </c>
      <c r="AG3" s="253" t="s">
        <v>80</v>
      </c>
      <c r="AH3" s="253" t="s">
        <v>81</v>
      </c>
      <c r="AI3" s="253" t="s">
        <v>82</v>
      </c>
      <c r="AJ3" s="253" t="s">
        <v>83</v>
      </c>
      <c r="AK3" s="254"/>
      <c r="AL3" s="255" t="s">
        <v>84</v>
      </c>
      <c r="AM3" s="256" t="s">
        <v>85</v>
      </c>
      <c r="AN3" s="256" t="s">
        <v>86</v>
      </c>
      <c r="AO3" s="256" t="s">
        <v>87</v>
      </c>
      <c r="AP3" s="256" t="s">
        <v>88</v>
      </c>
      <c r="AQ3" s="256" t="s">
        <v>89</v>
      </c>
      <c r="AR3" s="256" t="s">
        <v>90</v>
      </c>
      <c r="AS3" s="249" t="s">
        <v>91</v>
      </c>
      <c r="AT3" s="256" t="s">
        <v>92</v>
      </c>
      <c r="AU3" s="256" t="s">
        <v>93</v>
      </c>
      <c r="AV3" s="249" t="s">
        <v>94</v>
      </c>
      <c r="AW3" s="249" t="s">
        <v>95</v>
      </c>
      <c r="AX3" s="249" t="s">
        <v>96</v>
      </c>
      <c r="AY3" s="249" t="s">
        <v>97</v>
      </c>
      <c r="AZ3" s="249" t="s">
        <v>98</v>
      </c>
      <c r="BA3" s="249" t="s">
        <v>99</v>
      </c>
      <c r="BB3" s="249" t="s">
        <v>100</v>
      </c>
      <c r="BC3" s="250" t="s">
        <v>101</v>
      </c>
      <c r="BD3" s="257" t="s">
        <v>102</v>
      </c>
      <c r="BE3" s="258" t="s">
        <v>102</v>
      </c>
      <c r="BF3" s="258" t="s">
        <v>102</v>
      </c>
      <c r="BG3" s="258" t="s">
        <v>102</v>
      </c>
      <c r="BH3" s="258" t="s">
        <v>102</v>
      </c>
      <c r="BI3" s="259" t="s">
        <v>103</v>
      </c>
      <c r="BJ3" s="260"/>
      <c r="BK3" s="258" t="s">
        <v>104</v>
      </c>
      <c r="BL3" s="258" t="s">
        <v>104</v>
      </c>
      <c r="BM3" s="258" t="s">
        <v>104</v>
      </c>
      <c r="BN3" s="258" t="s">
        <v>104</v>
      </c>
      <c r="BO3" s="258" t="s">
        <v>104</v>
      </c>
      <c r="BP3" s="258" t="s">
        <v>104</v>
      </c>
      <c r="BQ3" s="258" t="s">
        <v>104</v>
      </c>
      <c r="BR3" s="258" t="s">
        <v>104</v>
      </c>
      <c r="BS3" s="258" t="s">
        <v>104</v>
      </c>
      <c r="BT3" s="258" t="s">
        <v>104</v>
      </c>
      <c r="BU3" s="258" t="s">
        <v>105</v>
      </c>
      <c r="BV3" s="258" t="s">
        <v>105</v>
      </c>
      <c r="BW3" s="261" t="s">
        <v>106</v>
      </c>
      <c r="BX3" s="216" t="s">
        <v>107</v>
      </c>
      <c r="BY3" s="262" t="s">
        <v>108</v>
      </c>
      <c r="BZ3" s="263" t="s">
        <v>109</v>
      </c>
      <c r="CA3" s="264" t="s">
        <v>110</v>
      </c>
      <c r="CB3" s="265" t="s">
        <v>108</v>
      </c>
      <c r="CC3" s="263" t="s">
        <v>109</v>
      </c>
      <c r="CD3" s="264" t="s">
        <v>110</v>
      </c>
      <c r="CE3" s="265" t="s">
        <v>108</v>
      </c>
      <c r="CF3" s="263" t="s">
        <v>109</v>
      </c>
      <c r="CG3" s="264" t="s">
        <v>110</v>
      </c>
      <c r="CH3" s="263" t="s">
        <v>109</v>
      </c>
      <c r="CI3" s="264" t="s">
        <v>110</v>
      </c>
      <c r="CJ3" s="266"/>
      <c r="CK3" s="216" t="s">
        <v>112</v>
      </c>
      <c r="CL3" s="216"/>
      <c r="CM3" s="216"/>
      <c r="CN3" s="215" t="s">
        <v>15</v>
      </c>
      <c r="CO3" s="267"/>
      <c r="CP3" s="267"/>
      <c r="CQ3" s="268" t="s">
        <v>114</v>
      </c>
      <c r="CR3" s="267" t="s">
        <v>109</v>
      </c>
      <c r="CS3" s="267" t="s">
        <v>115</v>
      </c>
      <c r="CT3" s="269" t="s">
        <v>116</v>
      </c>
      <c r="CU3" s="256"/>
      <c r="CV3" s="270" t="s">
        <v>117</v>
      </c>
      <c r="CW3" s="270" t="s">
        <v>117</v>
      </c>
      <c r="CX3" s="270" t="s">
        <v>117</v>
      </c>
      <c r="CY3" s="270" t="s">
        <v>117</v>
      </c>
      <c r="CZ3" s="270" t="s">
        <v>117</v>
      </c>
      <c r="DA3" s="270" t="s">
        <v>117</v>
      </c>
      <c r="DB3" s="270" t="s">
        <v>117</v>
      </c>
      <c r="DC3" s="270" t="s">
        <v>117</v>
      </c>
      <c r="DD3" s="270" t="s">
        <v>117</v>
      </c>
      <c r="DE3" s="270" t="s">
        <v>117</v>
      </c>
      <c r="DF3" s="270"/>
      <c r="DG3" s="271"/>
      <c r="DH3" s="270" t="s">
        <v>117</v>
      </c>
      <c r="DI3" s="270" t="s">
        <v>117</v>
      </c>
      <c r="DJ3" s="270" t="s">
        <v>117</v>
      </c>
      <c r="DK3" s="270" t="s">
        <v>117</v>
      </c>
      <c r="DL3" s="272" t="s">
        <v>118</v>
      </c>
      <c r="DM3" s="272" t="s">
        <v>119</v>
      </c>
      <c r="DN3" s="268" t="s">
        <v>120</v>
      </c>
      <c r="DO3" s="268" t="s">
        <v>121</v>
      </c>
      <c r="DP3" s="268" t="s">
        <v>122</v>
      </c>
      <c r="DQ3" s="272" t="s">
        <v>123</v>
      </c>
      <c r="DR3" s="268" t="s">
        <v>124</v>
      </c>
      <c r="DS3" s="268" t="s">
        <v>125</v>
      </c>
      <c r="DT3" s="268" t="s">
        <v>126</v>
      </c>
      <c r="DU3" s="273" t="s">
        <v>127</v>
      </c>
      <c r="DV3" s="274"/>
      <c r="DW3" s="275"/>
      <c r="DX3" s="275"/>
      <c r="DY3" s="275"/>
      <c r="DZ3" s="275"/>
      <c r="EA3" s="276"/>
      <c r="EB3" s="276"/>
      <c r="EC3" s="275"/>
      <c r="ED3" s="275"/>
      <c r="EE3" s="275"/>
      <c r="EF3" s="277"/>
      <c r="EG3" s="278" t="s">
        <v>43</v>
      </c>
      <c r="EH3" s="278" t="s">
        <v>44</v>
      </c>
      <c r="EI3" s="249" t="s">
        <v>45</v>
      </c>
    </row>
    <row r="4" ht="15.75" customHeight="1">
      <c r="A4" s="279" t="s">
        <v>128</v>
      </c>
      <c r="B4" s="280" t="s">
        <v>129</v>
      </c>
      <c r="C4" s="281">
        <v>44876.0</v>
      </c>
      <c r="D4" s="279">
        <v>34.0</v>
      </c>
      <c r="E4" s="279" t="s">
        <v>130</v>
      </c>
      <c r="F4" s="279">
        <v>163.0</v>
      </c>
      <c r="G4" s="282">
        <v>70.0</v>
      </c>
      <c r="H4" s="283" t="s">
        <v>131</v>
      </c>
      <c r="I4" s="279">
        <v>4.0</v>
      </c>
      <c r="J4" s="284">
        <v>44678.0</v>
      </c>
      <c r="K4" s="279" t="s">
        <v>132</v>
      </c>
      <c r="L4" s="279"/>
      <c r="M4" s="284"/>
      <c r="N4" s="279"/>
      <c r="O4" s="284"/>
      <c r="P4" s="279"/>
      <c r="Q4" s="279"/>
      <c r="R4" s="279"/>
      <c r="S4" s="279"/>
      <c r="T4" s="279"/>
      <c r="U4" s="279"/>
      <c r="V4" s="285" t="str">
        <f t="shared" ref="V4:V49" si="2">IF(K4="NO","No infectado",IF(P4="SI",IF(U4="SI","Internación severa (UCI)","Internación moderada"),"Paciente ambulatorio"))</f>
        <v>No infectado</v>
      </c>
      <c r="W4" s="279"/>
      <c r="X4" s="279"/>
      <c r="Y4" s="279"/>
      <c r="Z4" s="279"/>
      <c r="AA4" s="279"/>
      <c r="AB4" s="279"/>
      <c r="AC4" s="279"/>
      <c r="AD4" s="279"/>
      <c r="AE4" s="279"/>
      <c r="AF4" s="279"/>
      <c r="AG4" s="279"/>
      <c r="AH4" s="279"/>
      <c r="AI4" s="279"/>
      <c r="AJ4" s="279"/>
      <c r="AK4" s="282"/>
      <c r="AL4" s="283" t="s">
        <v>132</v>
      </c>
      <c r="AM4" s="279" t="s">
        <v>132</v>
      </c>
      <c r="AN4" s="279" t="s">
        <v>132</v>
      </c>
      <c r="AO4" s="279" t="s">
        <v>132</v>
      </c>
      <c r="AP4" s="279" t="s">
        <v>132</v>
      </c>
      <c r="AQ4" s="279" t="s">
        <v>132</v>
      </c>
      <c r="AR4" s="279" t="s">
        <v>132</v>
      </c>
      <c r="AS4" s="279" t="s">
        <v>132</v>
      </c>
      <c r="AT4" s="279" t="s">
        <v>132</v>
      </c>
      <c r="AU4" s="279" t="s">
        <v>132</v>
      </c>
      <c r="AV4" s="279" t="s">
        <v>131</v>
      </c>
      <c r="AW4" s="279" t="s">
        <v>134</v>
      </c>
      <c r="AX4" s="286" t="s">
        <v>131</v>
      </c>
      <c r="AY4" s="279">
        <v>1.0</v>
      </c>
      <c r="AZ4" s="279">
        <v>20.0</v>
      </c>
      <c r="BA4" s="279"/>
      <c r="BB4" s="279" t="s">
        <v>135</v>
      </c>
      <c r="BC4" s="282">
        <v>1.0</v>
      </c>
      <c r="BD4" s="283">
        <v>1.0</v>
      </c>
      <c r="BE4" s="279">
        <v>1.0</v>
      </c>
      <c r="BF4" s="279">
        <v>1.0</v>
      </c>
      <c r="BG4" s="279">
        <v>1.0</v>
      </c>
      <c r="BH4" s="279">
        <v>1.0</v>
      </c>
      <c r="BI4" s="287" t="str">
        <f t="shared" ref="BI4:BI127" si="3">CONCATENATE(BD4:BH4)</f>
        <v>11111</v>
      </c>
      <c r="BJ4" s="279">
        <v>80.0</v>
      </c>
      <c r="BK4" s="279">
        <v>1.0</v>
      </c>
      <c r="BL4" s="279">
        <v>1.0</v>
      </c>
      <c r="BM4" s="279">
        <v>4.0</v>
      </c>
      <c r="BN4" s="279">
        <v>4.0</v>
      </c>
      <c r="BO4" s="279">
        <v>2.0</v>
      </c>
      <c r="BP4" s="279">
        <v>1.0</v>
      </c>
      <c r="BQ4" s="279">
        <v>1.0</v>
      </c>
      <c r="BR4" s="279">
        <v>2.0</v>
      </c>
      <c r="BS4" s="279">
        <v>2.0</v>
      </c>
      <c r="BT4" s="279">
        <v>5.0</v>
      </c>
      <c r="BU4" s="288">
        <f t="shared" ref="BU4:BU79" si="4">IF(BN4=1,5,IF(BN4=2,4,IF(BN4=3,3,IF(BN4=4,2,IF(BN4=5,1)))))</f>
        <v>2</v>
      </c>
      <c r="BV4" s="288">
        <f t="shared" ref="BV4:BV47" si="5">IF(BT4=1,5,IF(BT4=2,4,IF(BT4=3,3,IF(BT4=4,2,IF(BT4=5,1)))))</f>
        <v>1</v>
      </c>
      <c r="BW4" s="288">
        <f t="shared" ref="BW4:BW47" si="6">SUM(BK4,BL4,BM4,BO4,BP4,BQ4,BR4,BS4,BT4,BV4)</f>
        <v>20</v>
      </c>
      <c r="BX4" s="288" t="str">
        <f t="shared" ref="BX4:BX79" si="7">IF(BW4&lt;22,"NO HAY FATIGA",IF(BW4&lt;35,"FATIGA","FATIGA EXTREMA"))</f>
        <v>NO HAY FATIGA</v>
      </c>
      <c r="BY4" s="279">
        <v>1.0</v>
      </c>
      <c r="BZ4" s="279">
        <v>2.0</v>
      </c>
      <c r="CA4" s="279">
        <v>0.0</v>
      </c>
      <c r="CB4" s="279">
        <v>3.0</v>
      </c>
      <c r="CC4" s="279">
        <v>6.0</v>
      </c>
      <c r="CD4" s="279">
        <v>0.0</v>
      </c>
      <c r="CE4" s="279">
        <v>6.0</v>
      </c>
      <c r="CF4" s="279">
        <v>0.0</v>
      </c>
      <c r="CG4" s="279">
        <v>20.0</v>
      </c>
      <c r="CH4" s="279">
        <v>19.0</v>
      </c>
      <c r="CI4" s="279">
        <v>0.0</v>
      </c>
      <c r="CJ4" s="288">
        <f t="shared" ref="CJ4:CJ5" si="8">(8*BY4*(BZ4*60+CA4)+4*CB4*(CC4*60+CD4)+3.3*CE4*(CF4*60+CG4))</f>
        <v>5676</v>
      </c>
      <c r="CK4" s="287">
        <f t="shared" ref="CK4:CK87" si="9">(BY4+CB4+CE4)</f>
        <v>10</v>
      </c>
      <c r="CL4" s="287" t="str">
        <f>IF(CJ5&gt;3000,IF(CK5&gt;6,"Nivel de actividad física alto"),IF(CJ5&gt;1500,IF(BY5&gt;2,"Nivel de actividad física alto")))</f>
        <v>Nivel de actividad física alto</v>
      </c>
      <c r="CM4" s="287" t="str">
        <f t="shared" ref="CM4:CM79" si="10">IF(BY4&gt;2,(IF(BZ4*60+CA4&gt;25,"Nivel de actividad física moderado")),IF(CB4+CE4&gt;5,IF(CC4*60+CD4+CF4*60+CG4&gt;30,"Nivel de actividad física moderado"),IF(CJ4&gt;600,(IF(CK4&gt;5,"Nivel de actividad física moderado")))))</f>
        <v>Nivel de actividad física moderado</v>
      </c>
      <c r="CN4" s="289" t="str">
        <f t="shared" ref="CN4:CN108" si="11">IF(CL4="Nivel de actividad física alto","Nivel de actividad física alto",IF(CM4="Nivel de actividad física moderado","Nivel de actividad física moderado","Nivel de actividad física bajo"))</f>
        <v>Nivel de actividad física alto</v>
      </c>
      <c r="CO4" s="279">
        <v>23.0</v>
      </c>
      <c r="CP4" s="279">
        <v>30.0</v>
      </c>
      <c r="CQ4" s="290">
        <f t="shared" ref="CQ4:CQ50" si="12">IF(CP4&gt;60,3,IF(CP4&gt;30,2,IF(CP4&gt;15,1,0)))</f>
        <v>1</v>
      </c>
      <c r="CR4" s="279">
        <v>6.0</v>
      </c>
      <c r="CS4" s="279">
        <v>30.0</v>
      </c>
      <c r="CT4" s="279">
        <f>((60*(6*60+30))/3600)</f>
        <v>6.5</v>
      </c>
      <c r="CU4" s="279">
        <v>6.0</v>
      </c>
      <c r="CV4" s="279">
        <v>2.0</v>
      </c>
      <c r="CW4" s="279">
        <v>3.0</v>
      </c>
      <c r="CX4" s="279">
        <v>3.0</v>
      </c>
      <c r="CY4" s="279">
        <v>0.0</v>
      </c>
      <c r="CZ4" s="279">
        <v>0.0</v>
      </c>
      <c r="DA4" s="279">
        <v>0.0</v>
      </c>
      <c r="DB4" s="279">
        <v>1.0</v>
      </c>
      <c r="DC4" s="279">
        <v>0.0</v>
      </c>
      <c r="DD4" s="279">
        <v>1.0</v>
      </c>
      <c r="DE4" s="279">
        <v>3.0</v>
      </c>
      <c r="DF4" s="279"/>
      <c r="DG4" s="288">
        <f t="shared" ref="DG4:DG8" si="13">SUM(CW4:DE4)</f>
        <v>11</v>
      </c>
      <c r="DH4" s="279">
        <v>1.0</v>
      </c>
      <c r="DI4" s="279">
        <v>0.0</v>
      </c>
      <c r="DJ4" s="279">
        <v>1.0</v>
      </c>
      <c r="DK4" s="279">
        <v>0.0</v>
      </c>
      <c r="DL4" s="288">
        <f t="shared" ref="DL4:DL5" si="14">((CU4/CT4)*100)</f>
        <v>92.30769231</v>
      </c>
      <c r="DM4" s="288">
        <f t="shared" ref="DM4:DM5" si="15">IF(CU4&gt;=7,0,IF(CU4&gt;=6,1,IF(CU4&gt;=5,2,IF(CU4&lt;5,3))))</f>
        <v>1</v>
      </c>
      <c r="DN4" s="288">
        <f t="shared" ref="DN4:DN5" si="16">IF(DG4&gt;18,3,IF(DG4&gt;9,2,IF(DG4&gt;=1,1,0)))</f>
        <v>2</v>
      </c>
      <c r="DO4" s="288">
        <f t="shared" ref="DO4:DO5" si="17">IF(CV4+CQ4&gt;=5,3,IF(CQ4+CV4&gt;=3,2,IF(CQ4+CV4&gt;=1,1,0)))</f>
        <v>2</v>
      </c>
      <c r="DP4" s="288">
        <f t="shared" ref="DP4:DP5" si="18">IF(DJ4+DK4&gt;=5,3,IF(DJ4+DK4&gt;=3,2,IF(DJ4+DK4&gt;=1,1,0)))</f>
        <v>1</v>
      </c>
      <c r="DQ4" s="288">
        <f t="shared" ref="DQ4:DQ5" si="19">IF(DL4&gt;85,0,IF(DL4&gt;75,1,IF(DL4&gt;65,2,3)))</f>
        <v>0</v>
      </c>
      <c r="DR4" s="288">
        <f t="shared" ref="DR4:DS4" si="1">(DH4)</f>
        <v>1</v>
      </c>
      <c r="DS4" s="288">
        <f t="shared" si="1"/>
        <v>0</v>
      </c>
      <c r="DT4" s="291">
        <f t="shared" ref="DT4:DT5" si="21">SUM(DM4:DS4)</f>
        <v>7</v>
      </c>
      <c r="DU4" s="291" t="str">
        <f t="shared" ref="DU4:DU5" si="22">IF(DT4&gt;5,"poor sleep quality","good sleep quality")</f>
        <v>poor sleep quality</v>
      </c>
      <c r="DV4" s="292">
        <v>1.0</v>
      </c>
      <c r="DW4" s="292" t="s">
        <v>136</v>
      </c>
      <c r="DX4" s="292" t="s">
        <v>137</v>
      </c>
      <c r="DY4" s="292">
        <v>1.0</v>
      </c>
      <c r="DZ4" s="292" t="s">
        <v>131</v>
      </c>
      <c r="EA4" s="292" t="s">
        <v>138</v>
      </c>
      <c r="EB4" s="293"/>
      <c r="EC4" s="292" t="s">
        <v>139</v>
      </c>
      <c r="ED4" s="292" t="s">
        <v>140</v>
      </c>
      <c r="EE4" s="292" t="s">
        <v>131</v>
      </c>
      <c r="EF4" s="292" t="s">
        <v>141</v>
      </c>
      <c r="EG4" s="292"/>
      <c r="EH4" s="292"/>
      <c r="EI4" s="279">
        <f t="shared" ref="EI4:EI68" si="23">(10000*G4/(F4*F4))</f>
        <v>26.34649403</v>
      </c>
    </row>
    <row r="5" ht="15.75" customHeight="1">
      <c r="A5" s="279" t="s">
        <v>142</v>
      </c>
      <c r="B5" s="280" t="s">
        <v>129</v>
      </c>
      <c r="C5" s="281">
        <v>44900.0</v>
      </c>
      <c r="D5" s="279">
        <v>50.0</v>
      </c>
      <c r="E5" s="279" t="s">
        <v>130</v>
      </c>
      <c r="F5" s="279">
        <v>159.0</v>
      </c>
      <c r="G5" s="282">
        <v>64.0</v>
      </c>
      <c r="H5" s="283" t="s">
        <v>131</v>
      </c>
      <c r="I5" s="279">
        <v>4.0</v>
      </c>
      <c r="J5" s="284">
        <v>44652.0</v>
      </c>
      <c r="K5" s="279" t="s">
        <v>131</v>
      </c>
      <c r="L5" s="279">
        <v>2.0</v>
      </c>
      <c r="M5" s="284">
        <v>44050.0</v>
      </c>
      <c r="N5" s="279">
        <v>0.0</v>
      </c>
      <c r="O5" s="284">
        <v>44713.0</v>
      </c>
      <c r="P5" s="279" t="s">
        <v>132</v>
      </c>
      <c r="Q5" s="279"/>
      <c r="R5" s="279"/>
      <c r="S5" s="279"/>
      <c r="T5" s="279"/>
      <c r="U5" s="279"/>
      <c r="V5" s="285" t="str">
        <f t="shared" si="2"/>
        <v>Paciente ambulatorio</v>
      </c>
      <c r="W5" s="279" t="s">
        <v>143</v>
      </c>
      <c r="X5" s="279" t="s">
        <v>132</v>
      </c>
      <c r="Y5" s="279">
        <v>2.0</v>
      </c>
      <c r="Z5" s="279">
        <v>3.0</v>
      </c>
      <c r="AA5" s="279">
        <v>2.0</v>
      </c>
      <c r="AB5" s="279">
        <v>3.0</v>
      </c>
      <c r="AC5" s="279">
        <v>3.0</v>
      </c>
      <c r="AD5" s="279">
        <v>3.0</v>
      </c>
      <c r="AE5" s="279">
        <v>2.0</v>
      </c>
      <c r="AF5" s="279">
        <v>3.0</v>
      </c>
      <c r="AG5" s="279">
        <v>3.0</v>
      </c>
      <c r="AH5" s="279">
        <v>3.0</v>
      </c>
      <c r="AI5" s="279">
        <v>3.0</v>
      </c>
      <c r="AJ5" s="279">
        <v>3.0</v>
      </c>
      <c r="AK5" s="282" t="s">
        <v>144</v>
      </c>
      <c r="AL5" s="283" t="s">
        <v>132</v>
      </c>
      <c r="AM5" s="279" t="s">
        <v>132</v>
      </c>
      <c r="AN5" s="279" t="s">
        <v>132</v>
      </c>
      <c r="AO5" s="279" t="s">
        <v>132</v>
      </c>
      <c r="AP5" s="279" t="s">
        <v>132</v>
      </c>
      <c r="AQ5" s="279" t="s">
        <v>132</v>
      </c>
      <c r="AR5" s="279" t="s">
        <v>132</v>
      </c>
      <c r="AS5" s="279" t="s">
        <v>131</v>
      </c>
      <c r="AT5" s="279" t="s">
        <v>132</v>
      </c>
      <c r="AU5" s="279" t="s">
        <v>132</v>
      </c>
      <c r="AV5" s="279" t="s">
        <v>131</v>
      </c>
      <c r="AW5" s="279"/>
      <c r="AX5" s="279" t="s">
        <v>131</v>
      </c>
      <c r="AY5" s="279">
        <v>20.0</v>
      </c>
      <c r="AZ5" s="279">
        <v>20.0</v>
      </c>
      <c r="BA5" s="279"/>
      <c r="BB5" s="279" t="s">
        <v>145</v>
      </c>
      <c r="BC5" s="282"/>
      <c r="BD5" s="283">
        <v>1.0</v>
      </c>
      <c r="BE5" s="279">
        <v>1.0</v>
      </c>
      <c r="BF5" s="279">
        <v>1.0</v>
      </c>
      <c r="BG5" s="279">
        <v>1.0</v>
      </c>
      <c r="BH5" s="279">
        <v>2.0</v>
      </c>
      <c r="BI5" s="287" t="str">
        <f t="shared" si="3"/>
        <v>11112</v>
      </c>
      <c r="BJ5" s="279">
        <v>100.0</v>
      </c>
      <c r="BK5" s="279">
        <v>1.0</v>
      </c>
      <c r="BL5" s="279">
        <v>1.0</v>
      </c>
      <c r="BM5" s="279">
        <v>1.0</v>
      </c>
      <c r="BN5" s="279">
        <v>4.0</v>
      </c>
      <c r="BO5" s="279">
        <v>2.0</v>
      </c>
      <c r="BP5" s="279">
        <v>1.0</v>
      </c>
      <c r="BQ5" s="279">
        <v>2.0</v>
      </c>
      <c r="BR5" s="279">
        <v>2.0</v>
      </c>
      <c r="BS5" s="279">
        <v>2.0</v>
      </c>
      <c r="BT5" s="279">
        <v>4.0</v>
      </c>
      <c r="BU5" s="288">
        <f t="shared" si="4"/>
        <v>2</v>
      </c>
      <c r="BV5" s="288">
        <f t="shared" si="5"/>
        <v>2</v>
      </c>
      <c r="BW5" s="288">
        <f t="shared" si="6"/>
        <v>18</v>
      </c>
      <c r="BX5" s="288" t="str">
        <f t="shared" si="7"/>
        <v>NO HAY FATIGA</v>
      </c>
      <c r="BY5" s="279">
        <v>3.0</v>
      </c>
      <c r="BZ5" s="279">
        <v>1.0</v>
      </c>
      <c r="CA5" s="279">
        <v>0.0</v>
      </c>
      <c r="CB5" s="279">
        <v>2.0</v>
      </c>
      <c r="CC5" s="279">
        <v>3.0</v>
      </c>
      <c r="CD5" s="279">
        <v>0.0</v>
      </c>
      <c r="CE5" s="279">
        <v>7.0</v>
      </c>
      <c r="CF5" s="279">
        <v>4.0</v>
      </c>
      <c r="CG5" s="279">
        <v>0.0</v>
      </c>
      <c r="CH5" s="279">
        <v>7.0</v>
      </c>
      <c r="CI5" s="279">
        <v>0.0</v>
      </c>
      <c r="CJ5" s="288">
        <f t="shared" si="8"/>
        <v>8424</v>
      </c>
      <c r="CK5" s="287">
        <f t="shared" si="9"/>
        <v>12</v>
      </c>
      <c r="CL5" s="287" t="str">
        <f t="shared" ref="CL5:CL6" si="24">IF(#REF!&gt;3000,IF(#REF!&gt;6,"Nivel de actividad física alto"),IF(#REF!&gt;1500,IF(#REF!&gt;2,"Nivel de actividad física alto")))</f>
        <v>#REF!</v>
      </c>
      <c r="CM5" s="287" t="str">
        <f t="shared" si="10"/>
        <v>Nivel de actividad física moderado</v>
      </c>
      <c r="CN5" s="289" t="str">
        <f t="shared" si="11"/>
        <v>#REF!</v>
      </c>
      <c r="CO5" s="279">
        <v>23.0</v>
      </c>
      <c r="CP5" s="279">
        <v>0.0</v>
      </c>
      <c r="CQ5" s="290">
        <f t="shared" si="12"/>
        <v>0</v>
      </c>
      <c r="CR5" s="279">
        <v>5.0</v>
      </c>
      <c r="CS5" s="279">
        <v>0.0</v>
      </c>
      <c r="CT5" s="279">
        <v>6.0</v>
      </c>
      <c r="CU5" s="279">
        <v>6.0</v>
      </c>
      <c r="CV5" s="279">
        <v>0.0</v>
      </c>
      <c r="CW5" s="279">
        <v>0.0</v>
      </c>
      <c r="CX5" s="279">
        <v>0.0</v>
      </c>
      <c r="CY5" s="279">
        <v>0.0</v>
      </c>
      <c r="CZ5" s="279">
        <v>0.0</v>
      </c>
      <c r="DA5" s="279">
        <v>0.0</v>
      </c>
      <c r="DB5" s="279">
        <v>0.0</v>
      </c>
      <c r="DC5" s="279">
        <v>0.0</v>
      </c>
      <c r="DD5" s="279">
        <v>0.0</v>
      </c>
      <c r="DE5" s="279">
        <v>0.0</v>
      </c>
      <c r="DF5" s="279"/>
      <c r="DG5" s="288">
        <f t="shared" si="13"/>
        <v>0</v>
      </c>
      <c r="DH5" s="279">
        <v>0.0</v>
      </c>
      <c r="DI5" s="279">
        <v>0.0</v>
      </c>
      <c r="DJ5" s="279">
        <v>0.0</v>
      </c>
      <c r="DK5" s="279">
        <v>0.0</v>
      </c>
      <c r="DL5" s="288">
        <f t="shared" si="14"/>
        <v>100</v>
      </c>
      <c r="DM5" s="288">
        <f t="shared" si="15"/>
        <v>1</v>
      </c>
      <c r="DN5" s="288">
        <f t="shared" si="16"/>
        <v>0</v>
      </c>
      <c r="DO5" s="288">
        <f t="shared" si="17"/>
        <v>0</v>
      </c>
      <c r="DP5" s="288">
        <f t="shared" si="18"/>
        <v>0</v>
      </c>
      <c r="DQ5" s="288">
        <f t="shared" si="19"/>
        <v>0</v>
      </c>
      <c r="DR5" s="288">
        <f t="shared" ref="DR5:DS5" si="20">(DH5)</f>
        <v>0</v>
      </c>
      <c r="DS5" s="288">
        <f t="shared" si="20"/>
        <v>0</v>
      </c>
      <c r="DT5" s="291">
        <f t="shared" si="21"/>
        <v>1</v>
      </c>
      <c r="DU5" s="291" t="str">
        <f t="shared" si="22"/>
        <v>good sleep quality</v>
      </c>
      <c r="DV5" s="292">
        <v>0.0</v>
      </c>
      <c r="DW5" s="292"/>
      <c r="DX5" s="292" t="s">
        <v>146</v>
      </c>
      <c r="DY5" s="292">
        <v>1.0</v>
      </c>
      <c r="DZ5" s="292" t="s">
        <v>131</v>
      </c>
      <c r="EA5" s="292" t="s">
        <v>147</v>
      </c>
      <c r="EB5" s="292"/>
      <c r="EC5" s="292" t="s">
        <v>139</v>
      </c>
      <c r="ED5" s="292" t="s">
        <v>140</v>
      </c>
      <c r="EE5" s="292" t="s">
        <v>132</v>
      </c>
      <c r="EF5" s="292" t="s">
        <v>141</v>
      </c>
      <c r="EG5" s="292">
        <f>C5-M5</f>
        <v>850</v>
      </c>
      <c r="EH5" s="292">
        <f>C5-O5</f>
        <v>187</v>
      </c>
      <c r="EI5" s="279">
        <f t="shared" si="23"/>
        <v>25.31545429</v>
      </c>
    </row>
    <row r="6" ht="15.75" customHeight="1">
      <c r="A6" s="279" t="s">
        <v>152</v>
      </c>
      <c r="B6" s="280" t="s">
        <v>129</v>
      </c>
      <c r="C6" s="281">
        <v>44988.0</v>
      </c>
      <c r="D6" s="279">
        <v>59.0</v>
      </c>
      <c r="E6" s="279" t="s">
        <v>153</v>
      </c>
      <c r="F6" s="279">
        <v>180.0</v>
      </c>
      <c r="G6" s="282">
        <v>84.0</v>
      </c>
      <c r="H6" s="283" t="s">
        <v>131</v>
      </c>
      <c r="I6" s="279">
        <v>4.0</v>
      </c>
      <c r="J6" s="284">
        <v>44569.0</v>
      </c>
      <c r="K6" s="279" t="s">
        <v>132</v>
      </c>
      <c r="L6" s="279"/>
      <c r="M6" s="284"/>
      <c r="N6" s="279"/>
      <c r="O6" s="284"/>
      <c r="P6" s="279"/>
      <c r="Q6" s="279"/>
      <c r="R6" s="279"/>
      <c r="S6" s="279"/>
      <c r="T6" s="279"/>
      <c r="U6" s="279"/>
      <c r="V6" s="285" t="str">
        <f t="shared" si="2"/>
        <v>No infectado</v>
      </c>
      <c r="W6" s="279"/>
      <c r="X6" s="279"/>
      <c r="Y6" s="279"/>
      <c r="Z6" s="279"/>
      <c r="AA6" s="279"/>
      <c r="AB6" s="279"/>
      <c r="AC6" s="279"/>
      <c r="AD6" s="279"/>
      <c r="AE6" s="279"/>
      <c r="AF6" s="279"/>
      <c r="AG6" s="279"/>
      <c r="AH6" s="279"/>
      <c r="AI6" s="279"/>
      <c r="AJ6" s="279"/>
      <c r="AK6" s="282"/>
      <c r="AL6" s="283" t="s">
        <v>131</v>
      </c>
      <c r="AM6" s="279" t="s">
        <v>132</v>
      </c>
      <c r="AN6" s="279" t="s">
        <v>132</v>
      </c>
      <c r="AO6" s="279" t="s">
        <v>131</v>
      </c>
      <c r="AP6" s="279" t="s">
        <v>132</v>
      </c>
      <c r="AQ6" s="279" t="s">
        <v>132</v>
      </c>
      <c r="AR6" s="279" t="s">
        <v>132</v>
      </c>
      <c r="AS6" s="279" t="s">
        <v>131</v>
      </c>
      <c r="AT6" s="279" t="s">
        <v>132</v>
      </c>
      <c r="AU6" s="279" t="s">
        <v>132</v>
      </c>
      <c r="AV6" s="279" t="s">
        <v>132</v>
      </c>
      <c r="AW6" s="279"/>
      <c r="AX6" s="279" t="s">
        <v>131</v>
      </c>
      <c r="AY6" s="279">
        <v>10.0</v>
      </c>
      <c r="AZ6" s="279">
        <v>40.0</v>
      </c>
      <c r="BA6" s="279"/>
      <c r="BB6" s="279" t="s">
        <v>135</v>
      </c>
      <c r="BC6" s="282">
        <v>2.0</v>
      </c>
      <c r="BD6" s="283">
        <v>1.0</v>
      </c>
      <c r="BE6" s="279">
        <v>1.0</v>
      </c>
      <c r="BF6" s="279">
        <v>1.0</v>
      </c>
      <c r="BG6" s="279">
        <v>1.0</v>
      </c>
      <c r="BH6" s="279">
        <v>1.0</v>
      </c>
      <c r="BI6" s="287" t="str">
        <f t="shared" si="3"/>
        <v>11111</v>
      </c>
      <c r="BJ6" s="279">
        <v>70.0</v>
      </c>
      <c r="BK6" s="279">
        <v>2.0</v>
      </c>
      <c r="BL6" s="279">
        <v>2.0</v>
      </c>
      <c r="BM6" s="279">
        <v>2.0</v>
      </c>
      <c r="BN6" s="279">
        <v>4.0</v>
      </c>
      <c r="BO6" s="279">
        <v>2.0</v>
      </c>
      <c r="BP6" s="279">
        <v>2.0</v>
      </c>
      <c r="BQ6" s="279">
        <v>2.0</v>
      </c>
      <c r="BR6" s="279">
        <v>2.0</v>
      </c>
      <c r="BS6" s="279">
        <v>2.0</v>
      </c>
      <c r="BT6" s="279">
        <v>4.0</v>
      </c>
      <c r="BU6" s="288">
        <f t="shared" si="4"/>
        <v>2</v>
      </c>
      <c r="BV6" s="288">
        <f t="shared" si="5"/>
        <v>2</v>
      </c>
      <c r="BW6" s="288">
        <f t="shared" si="6"/>
        <v>22</v>
      </c>
      <c r="BX6" s="288" t="str">
        <f t="shared" si="7"/>
        <v>FATIGA</v>
      </c>
      <c r="BY6" s="279"/>
      <c r="BZ6" s="279"/>
      <c r="CA6" s="279"/>
      <c r="CB6" s="279"/>
      <c r="CC6" s="279"/>
      <c r="CD6" s="279"/>
      <c r="CE6" s="279"/>
      <c r="CF6" s="279"/>
      <c r="CG6" s="279"/>
      <c r="CH6" s="279"/>
      <c r="CI6" s="279"/>
      <c r="CJ6" s="288"/>
      <c r="CK6" s="287">
        <f t="shared" si="9"/>
        <v>0</v>
      </c>
      <c r="CL6" s="287" t="str">
        <f t="shared" si="24"/>
        <v>#REF!</v>
      </c>
      <c r="CM6" s="287" t="b">
        <f t="shared" si="10"/>
        <v>0</v>
      </c>
      <c r="CN6" s="289" t="str">
        <f t="shared" si="11"/>
        <v>#REF!</v>
      </c>
      <c r="CO6" s="279"/>
      <c r="CP6" s="279"/>
      <c r="CQ6" s="290">
        <f t="shared" si="12"/>
        <v>0</v>
      </c>
      <c r="CR6" s="279"/>
      <c r="CS6" s="279"/>
      <c r="CT6" s="279"/>
      <c r="CU6" s="279"/>
      <c r="CV6" s="279"/>
      <c r="CW6" s="279"/>
      <c r="CX6" s="279"/>
      <c r="CY6" s="279"/>
      <c r="CZ6" s="279"/>
      <c r="DA6" s="279"/>
      <c r="DB6" s="279"/>
      <c r="DC6" s="279"/>
      <c r="DD6" s="279"/>
      <c r="DE6" s="279"/>
      <c r="DF6" s="279"/>
      <c r="DG6" s="288">
        <f t="shared" si="13"/>
        <v>0</v>
      </c>
      <c r="DH6" s="279"/>
      <c r="DI6" s="279"/>
      <c r="DJ6" s="279"/>
      <c r="DK6" s="279"/>
      <c r="DL6" s="288"/>
      <c r="DM6" s="288"/>
      <c r="DN6" s="288"/>
      <c r="DO6" s="288"/>
      <c r="DP6" s="288"/>
      <c r="DQ6" s="288"/>
      <c r="DR6" s="288"/>
      <c r="DS6" s="288"/>
      <c r="DT6" s="291"/>
      <c r="DU6" s="291"/>
      <c r="DV6" s="292"/>
      <c r="DW6" s="292"/>
      <c r="DX6" s="292"/>
      <c r="DY6" s="292"/>
      <c r="DZ6" s="292"/>
      <c r="EA6" s="292"/>
      <c r="EB6" s="292"/>
      <c r="EC6" s="292"/>
      <c r="ED6" s="292"/>
      <c r="EE6" s="292"/>
      <c r="EF6" s="292"/>
      <c r="EG6" s="292"/>
      <c r="EH6" s="292"/>
      <c r="EI6" s="279">
        <f t="shared" si="23"/>
        <v>25.92592593</v>
      </c>
    </row>
    <row r="7" ht="15.75" customHeight="1">
      <c r="A7" s="279" t="s">
        <v>159</v>
      </c>
      <c r="B7" s="280" t="s">
        <v>129</v>
      </c>
      <c r="C7" s="281">
        <v>44876.0</v>
      </c>
      <c r="D7" s="279">
        <v>39.0</v>
      </c>
      <c r="E7" s="279" t="s">
        <v>153</v>
      </c>
      <c r="F7" s="279">
        <v>170.0</v>
      </c>
      <c r="G7" s="282">
        <v>82.0</v>
      </c>
      <c r="H7" s="283" t="s">
        <v>131</v>
      </c>
      <c r="I7" s="279">
        <v>3.0</v>
      </c>
      <c r="J7" s="284">
        <v>44652.0</v>
      </c>
      <c r="K7" s="279" t="s">
        <v>131</v>
      </c>
      <c r="L7" s="279">
        <v>1.0</v>
      </c>
      <c r="M7" s="284">
        <v>44713.0</v>
      </c>
      <c r="N7" s="294"/>
      <c r="O7" s="284">
        <v>44713.0</v>
      </c>
      <c r="P7" s="279" t="s">
        <v>132</v>
      </c>
      <c r="Q7" s="279"/>
      <c r="R7" s="279"/>
      <c r="S7" s="279"/>
      <c r="T7" s="279"/>
      <c r="U7" s="279"/>
      <c r="V7" s="285" t="str">
        <f t="shared" si="2"/>
        <v>Paciente ambulatorio</v>
      </c>
      <c r="W7" s="279" t="s">
        <v>143</v>
      </c>
      <c r="X7" s="279" t="s">
        <v>132</v>
      </c>
      <c r="Y7" s="279">
        <v>3.0</v>
      </c>
      <c r="Z7" s="279">
        <v>3.0</v>
      </c>
      <c r="AA7" s="279">
        <v>3.0</v>
      </c>
      <c r="AB7" s="279">
        <v>3.0</v>
      </c>
      <c r="AC7" s="279">
        <v>3.0</v>
      </c>
      <c r="AD7" s="279">
        <v>3.0</v>
      </c>
      <c r="AE7" s="279">
        <v>3.0</v>
      </c>
      <c r="AF7" s="279">
        <v>3.0</v>
      </c>
      <c r="AG7" s="279">
        <v>3.0</v>
      </c>
      <c r="AH7" s="279">
        <v>3.0</v>
      </c>
      <c r="AI7" s="279">
        <v>3.0</v>
      </c>
      <c r="AJ7" s="279">
        <v>3.0</v>
      </c>
      <c r="AK7" s="282"/>
      <c r="AL7" s="283" t="s">
        <v>132</v>
      </c>
      <c r="AM7" s="279" t="s">
        <v>132</v>
      </c>
      <c r="AN7" s="279" t="s">
        <v>132</v>
      </c>
      <c r="AO7" s="279" t="s">
        <v>131</v>
      </c>
      <c r="AP7" s="279" t="s">
        <v>132</v>
      </c>
      <c r="AQ7" s="279" t="s">
        <v>132</v>
      </c>
      <c r="AR7" s="279" t="s">
        <v>132</v>
      </c>
      <c r="AS7" s="279" t="s">
        <v>132</v>
      </c>
      <c r="AT7" s="279" t="s">
        <v>132</v>
      </c>
      <c r="AU7" s="279" t="s">
        <v>132</v>
      </c>
      <c r="AV7" s="279" t="s">
        <v>131</v>
      </c>
      <c r="AW7" s="279" t="s">
        <v>160</v>
      </c>
      <c r="AX7" s="279" t="s">
        <v>131</v>
      </c>
      <c r="AY7" s="279">
        <v>20.0</v>
      </c>
      <c r="AZ7" s="279">
        <v>20.0</v>
      </c>
      <c r="BA7" s="279"/>
      <c r="BB7" s="279" t="s">
        <v>135</v>
      </c>
      <c r="BC7" s="282">
        <v>8.0</v>
      </c>
      <c r="BD7" s="283">
        <v>1.0</v>
      </c>
      <c r="BE7" s="279">
        <v>1.0</v>
      </c>
      <c r="BF7" s="279">
        <v>1.0</v>
      </c>
      <c r="BG7" s="279">
        <v>1.0</v>
      </c>
      <c r="BH7" s="279">
        <v>2.0</v>
      </c>
      <c r="BI7" s="287" t="str">
        <f t="shared" si="3"/>
        <v>11112</v>
      </c>
      <c r="BJ7" s="279">
        <v>90.0</v>
      </c>
      <c r="BK7" s="279">
        <v>1.0</v>
      </c>
      <c r="BL7" s="279">
        <v>1.0</v>
      </c>
      <c r="BM7" s="279">
        <v>1.0</v>
      </c>
      <c r="BN7" s="279">
        <v>5.0</v>
      </c>
      <c r="BO7" s="279">
        <v>1.0</v>
      </c>
      <c r="BP7" s="279">
        <v>1.0</v>
      </c>
      <c r="BQ7" s="279">
        <v>1.0</v>
      </c>
      <c r="BR7" s="279">
        <v>2.0</v>
      </c>
      <c r="BS7" s="279">
        <v>2.0</v>
      </c>
      <c r="BT7" s="279">
        <v>5.0</v>
      </c>
      <c r="BU7" s="288">
        <f t="shared" si="4"/>
        <v>1</v>
      </c>
      <c r="BV7" s="288">
        <f t="shared" si="5"/>
        <v>1</v>
      </c>
      <c r="BW7" s="288">
        <f t="shared" si="6"/>
        <v>16</v>
      </c>
      <c r="BX7" s="288" t="str">
        <f t="shared" si="7"/>
        <v>NO HAY FATIGA</v>
      </c>
      <c r="BY7" s="279">
        <v>2.0</v>
      </c>
      <c r="BZ7" s="279">
        <v>2.0</v>
      </c>
      <c r="CA7" s="279">
        <v>0.0</v>
      </c>
      <c r="CB7" s="279">
        <v>1.0</v>
      </c>
      <c r="CC7" s="279">
        <v>1.0</v>
      </c>
      <c r="CD7" s="279">
        <v>0.0</v>
      </c>
      <c r="CE7" s="279">
        <v>7.0</v>
      </c>
      <c r="CF7" s="279">
        <v>2.0</v>
      </c>
      <c r="CG7" s="279">
        <v>0.0</v>
      </c>
      <c r="CH7" s="279">
        <v>5.0</v>
      </c>
      <c r="CI7" s="279">
        <v>0.0</v>
      </c>
      <c r="CJ7" s="288">
        <f t="shared" ref="CJ7:CJ79" si="26">(8*BY7*(BZ7*60+CA7)+4*CB7*(CC7*60+CD7)+3.3*CE7*(CF7*60+CG7))</f>
        <v>4932</v>
      </c>
      <c r="CK7" s="287">
        <f t="shared" si="9"/>
        <v>10</v>
      </c>
      <c r="CL7" s="287" t="str">
        <f>IF(CJ8&gt;3000,IF(CK8&gt;6,"Nivel de actividad física alto"),IF(CJ8&gt;1500,IF(BY8&gt;2,"Nivel de actividad física alto")))</f>
        <v>Nivel de actividad física alto</v>
      </c>
      <c r="CM7" s="287" t="str">
        <f t="shared" si="10"/>
        <v>Nivel de actividad física moderado</v>
      </c>
      <c r="CN7" s="289" t="str">
        <f t="shared" si="11"/>
        <v>Nivel de actividad física alto</v>
      </c>
      <c r="CO7" s="279">
        <v>0.0</v>
      </c>
      <c r="CP7" s="279">
        <v>15.0</v>
      </c>
      <c r="CQ7" s="290">
        <f t="shared" si="12"/>
        <v>0</v>
      </c>
      <c r="CR7" s="279">
        <v>6.0</v>
      </c>
      <c r="CS7" s="279">
        <v>30.0</v>
      </c>
      <c r="CT7" s="279">
        <v>6.5</v>
      </c>
      <c r="CU7" s="279">
        <v>5.0</v>
      </c>
      <c r="CV7" s="279">
        <v>0.0</v>
      </c>
      <c r="CW7" s="279">
        <v>3.0</v>
      </c>
      <c r="CX7" s="279">
        <v>0.0</v>
      </c>
      <c r="CY7" s="279">
        <v>0.0</v>
      </c>
      <c r="CZ7" s="279">
        <v>0.0</v>
      </c>
      <c r="DA7" s="279">
        <v>2.0</v>
      </c>
      <c r="DB7" s="279">
        <v>2.0</v>
      </c>
      <c r="DC7" s="279">
        <v>0.0</v>
      </c>
      <c r="DD7" s="279">
        <v>0.0</v>
      </c>
      <c r="DE7" s="279">
        <v>1.0</v>
      </c>
      <c r="DF7" s="279"/>
      <c r="DG7" s="288">
        <f t="shared" si="13"/>
        <v>8</v>
      </c>
      <c r="DH7" s="279">
        <v>1.0</v>
      </c>
      <c r="DI7" s="279">
        <v>0.0</v>
      </c>
      <c r="DJ7" s="279">
        <v>0.0</v>
      </c>
      <c r="DK7" s="279">
        <v>0.0</v>
      </c>
      <c r="DL7" s="288">
        <f t="shared" ref="DL7:DL68" si="27">((CU7/CT7)*100)</f>
        <v>76.92307692</v>
      </c>
      <c r="DM7" s="288">
        <f t="shared" ref="DM7:DM79" si="28">IF(CU7&gt;=7,0,IF(CU7&gt;=6,1,IF(CU7&gt;=5,2,IF(CU7&lt;5,3))))</f>
        <v>2</v>
      </c>
      <c r="DN7" s="288">
        <f t="shared" ref="DN7:DN79" si="29">IF(DG7&gt;18,3,IF(DG7&gt;9,2,IF(DG7&gt;=1,1,0)))</f>
        <v>1</v>
      </c>
      <c r="DO7" s="288">
        <f t="shared" ref="DO7:DO79" si="30">IF(CV7+CQ7&gt;=5,3,IF(CQ7+CV7&gt;=3,2,IF(CQ7+CV7&gt;=1,1,0)))</f>
        <v>0</v>
      </c>
      <c r="DP7" s="288">
        <f t="shared" ref="DP7:DP79" si="31">IF(DJ7+DK7&gt;=5,3,IF(DJ7+DK7&gt;=3,2,IF(DJ7+DK7&gt;=1,1,0)))</f>
        <v>0</v>
      </c>
      <c r="DQ7" s="288">
        <f t="shared" ref="DQ7:DQ79" si="32">IF(DL7&gt;85,0,IF(DL7&gt;75,1,IF(DL7&gt;65,2,3)))</f>
        <v>1</v>
      </c>
      <c r="DR7" s="288">
        <f t="shared" ref="DR7:DS7" si="25">(DH7)</f>
        <v>1</v>
      </c>
      <c r="DS7" s="288">
        <f t="shared" si="25"/>
        <v>0</v>
      </c>
      <c r="DT7" s="291">
        <f t="shared" ref="DT7:DT83" si="34">SUM(DM7:DS7)</f>
        <v>5</v>
      </c>
      <c r="DU7" s="291" t="str">
        <f t="shared" ref="DU7:DU79" si="35">IF(DT7&gt;5,"poor sleep quality","good sleep quality")</f>
        <v>good sleep quality</v>
      </c>
      <c r="DV7" s="292">
        <v>5.0</v>
      </c>
      <c r="DW7" s="292" t="s">
        <v>161</v>
      </c>
      <c r="DX7" s="292" t="s">
        <v>146</v>
      </c>
      <c r="DY7" s="292">
        <v>2.0</v>
      </c>
      <c r="DZ7" s="292" t="s">
        <v>131</v>
      </c>
      <c r="EA7" s="292" t="s">
        <v>162</v>
      </c>
      <c r="EB7" s="292"/>
      <c r="EC7" s="292" t="s">
        <v>139</v>
      </c>
      <c r="ED7" s="292" t="s">
        <v>140</v>
      </c>
      <c r="EE7" s="292" t="s">
        <v>131</v>
      </c>
      <c r="EF7" s="292" t="s">
        <v>141</v>
      </c>
      <c r="EG7" s="292">
        <f t="shared" ref="EG7:EG39" si="36">C7-M7</f>
        <v>163</v>
      </c>
      <c r="EH7" s="292">
        <f t="shared" ref="EH7:EH39" si="37">C7-O7</f>
        <v>163</v>
      </c>
      <c r="EI7" s="279">
        <f t="shared" si="23"/>
        <v>28.37370242</v>
      </c>
    </row>
    <row r="8" ht="15.75" customHeight="1">
      <c r="A8" s="279" t="s">
        <v>163</v>
      </c>
      <c r="B8" s="280" t="s">
        <v>129</v>
      </c>
      <c r="C8" s="281">
        <v>44890.0</v>
      </c>
      <c r="D8" s="279">
        <v>47.0</v>
      </c>
      <c r="E8" s="279" t="s">
        <v>130</v>
      </c>
      <c r="F8" s="279">
        <v>159.0</v>
      </c>
      <c r="G8" s="282">
        <v>55.0</v>
      </c>
      <c r="H8" s="283" t="s">
        <v>131</v>
      </c>
      <c r="I8" s="279">
        <v>3.0</v>
      </c>
      <c r="J8" s="284">
        <v>44562.0</v>
      </c>
      <c r="K8" s="279" t="s">
        <v>131</v>
      </c>
      <c r="L8" s="279">
        <v>1.0</v>
      </c>
      <c r="M8" s="284">
        <v>44586.0</v>
      </c>
      <c r="N8" s="284"/>
      <c r="O8" s="284">
        <v>44713.0</v>
      </c>
      <c r="P8" s="279" t="s">
        <v>132</v>
      </c>
      <c r="Q8" s="279"/>
      <c r="R8" s="279"/>
      <c r="S8" s="279"/>
      <c r="T8" s="279"/>
      <c r="U8" s="279"/>
      <c r="V8" s="285" t="str">
        <f t="shared" si="2"/>
        <v>Paciente ambulatorio</v>
      </c>
      <c r="W8" s="279" t="s">
        <v>143</v>
      </c>
      <c r="X8" s="279" t="s">
        <v>132</v>
      </c>
      <c r="Y8" s="279">
        <v>2.0</v>
      </c>
      <c r="Z8" s="279">
        <v>2.0</v>
      </c>
      <c r="AA8" s="279">
        <v>2.0</v>
      </c>
      <c r="AB8" s="279">
        <v>2.0</v>
      </c>
      <c r="AC8" s="279">
        <v>2.0</v>
      </c>
      <c r="AD8" s="279">
        <v>2.0</v>
      </c>
      <c r="AE8" s="279">
        <v>3.0</v>
      </c>
      <c r="AF8" s="279">
        <v>3.0</v>
      </c>
      <c r="AG8" s="279">
        <v>3.0</v>
      </c>
      <c r="AH8" s="279">
        <v>3.0</v>
      </c>
      <c r="AI8" s="279">
        <v>3.0</v>
      </c>
      <c r="AJ8" s="279">
        <v>3.0</v>
      </c>
      <c r="AK8" s="282"/>
      <c r="AL8" s="283" t="s">
        <v>132</v>
      </c>
      <c r="AM8" s="279" t="s">
        <v>132</v>
      </c>
      <c r="AN8" s="279" t="s">
        <v>132</v>
      </c>
      <c r="AO8" s="279" t="s">
        <v>132</v>
      </c>
      <c r="AP8" s="279" t="s">
        <v>132</v>
      </c>
      <c r="AQ8" s="279" t="s">
        <v>132</v>
      </c>
      <c r="AR8" s="279" t="s">
        <v>132</v>
      </c>
      <c r="AS8" s="279" t="s">
        <v>132</v>
      </c>
      <c r="AT8" s="279" t="s">
        <v>132</v>
      </c>
      <c r="AU8" s="279" t="s">
        <v>132</v>
      </c>
      <c r="AV8" s="279" t="s">
        <v>132</v>
      </c>
      <c r="AW8" s="279"/>
      <c r="AX8" s="279" t="s">
        <v>132</v>
      </c>
      <c r="AY8" s="279"/>
      <c r="AZ8" s="279"/>
      <c r="BA8" s="279"/>
      <c r="BB8" s="279" t="s">
        <v>145</v>
      </c>
      <c r="BC8" s="282"/>
      <c r="BD8" s="283">
        <v>1.0</v>
      </c>
      <c r="BE8" s="279">
        <v>1.0</v>
      </c>
      <c r="BF8" s="279">
        <v>1.0</v>
      </c>
      <c r="BG8" s="279">
        <v>1.0</v>
      </c>
      <c r="BH8" s="279">
        <v>1.0</v>
      </c>
      <c r="BI8" s="287" t="str">
        <f t="shared" si="3"/>
        <v>11111</v>
      </c>
      <c r="BJ8" s="279">
        <v>100.0</v>
      </c>
      <c r="BK8" s="279">
        <v>1.0</v>
      </c>
      <c r="BL8" s="279">
        <v>2.0</v>
      </c>
      <c r="BM8" s="279">
        <v>2.0</v>
      </c>
      <c r="BN8" s="279">
        <v>5.0</v>
      </c>
      <c r="BO8" s="279">
        <v>2.0</v>
      </c>
      <c r="BP8" s="279">
        <v>1.0</v>
      </c>
      <c r="BQ8" s="279">
        <v>2.0</v>
      </c>
      <c r="BR8" s="279">
        <v>2.0</v>
      </c>
      <c r="BS8" s="279">
        <v>2.0</v>
      </c>
      <c r="BT8" s="279">
        <v>4.0</v>
      </c>
      <c r="BU8" s="288">
        <f t="shared" si="4"/>
        <v>1</v>
      </c>
      <c r="BV8" s="288">
        <f t="shared" si="5"/>
        <v>2</v>
      </c>
      <c r="BW8" s="288">
        <f t="shared" si="6"/>
        <v>20</v>
      </c>
      <c r="BX8" s="288" t="str">
        <f t="shared" si="7"/>
        <v>NO HAY FATIGA</v>
      </c>
      <c r="BY8" s="279">
        <v>5.0</v>
      </c>
      <c r="BZ8" s="279">
        <v>4.0</v>
      </c>
      <c r="CA8" s="279">
        <v>0.0</v>
      </c>
      <c r="CB8" s="279">
        <v>3.0</v>
      </c>
      <c r="CC8" s="279">
        <v>1.0</v>
      </c>
      <c r="CD8" s="279">
        <v>0.0</v>
      </c>
      <c r="CE8" s="279">
        <v>7.0</v>
      </c>
      <c r="CF8" s="279">
        <v>3.0</v>
      </c>
      <c r="CG8" s="279">
        <v>0.0</v>
      </c>
      <c r="CH8" s="279">
        <v>3.0</v>
      </c>
      <c r="CI8" s="279">
        <v>0.0</v>
      </c>
      <c r="CJ8" s="288">
        <f t="shared" si="26"/>
        <v>14478</v>
      </c>
      <c r="CK8" s="287">
        <f t="shared" si="9"/>
        <v>15</v>
      </c>
      <c r="CL8" s="287" t="str">
        <f>IF(#REF!&gt;3000,IF(#REF!&gt;6,"Nivel de actividad física alto"),IF(#REF!&gt;1500,IF(#REF!&gt;2,"Nivel de actividad física alto")))</f>
        <v>#REF!</v>
      </c>
      <c r="CM8" s="287" t="str">
        <f t="shared" si="10"/>
        <v>Nivel de actividad física moderado</v>
      </c>
      <c r="CN8" s="289" t="str">
        <f t="shared" si="11"/>
        <v>#REF!</v>
      </c>
      <c r="CO8" s="295">
        <v>0.9375</v>
      </c>
      <c r="CP8" s="279">
        <v>30.0</v>
      </c>
      <c r="CQ8" s="290">
        <f t="shared" si="12"/>
        <v>1</v>
      </c>
      <c r="CR8" s="279">
        <v>4.0</v>
      </c>
      <c r="CS8" s="279">
        <v>40.0</v>
      </c>
      <c r="CT8" s="279">
        <f>(22200/3600)</f>
        <v>6.166666667</v>
      </c>
      <c r="CU8" s="279">
        <v>6.0</v>
      </c>
      <c r="CV8" s="279">
        <v>2.0</v>
      </c>
      <c r="CW8" s="279">
        <v>0.0</v>
      </c>
      <c r="CX8" s="279">
        <v>0.0</v>
      </c>
      <c r="CY8" s="279">
        <v>0.0</v>
      </c>
      <c r="CZ8" s="279">
        <v>0.0</v>
      </c>
      <c r="DA8" s="279">
        <v>0.0</v>
      </c>
      <c r="DB8" s="279">
        <v>0.0</v>
      </c>
      <c r="DC8" s="279">
        <v>1.0</v>
      </c>
      <c r="DD8" s="279">
        <v>1.0</v>
      </c>
      <c r="DE8" s="279">
        <v>0.0</v>
      </c>
      <c r="DF8" s="279"/>
      <c r="DG8" s="288">
        <f t="shared" si="13"/>
        <v>2</v>
      </c>
      <c r="DH8" s="279">
        <v>1.0</v>
      </c>
      <c r="DI8" s="279">
        <v>0.0</v>
      </c>
      <c r="DJ8" s="279">
        <v>1.0</v>
      </c>
      <c r="DK8" s="279">
        <v>1.0</v>
      </c>
      <c r="DL8" s="288">
        <f t="shared" si="27"/>
        <v>97.2972973</v>
      </c>
      <c r="DM8" s="288">
        <f t="shared" si="28"/>
        <v>1</v>
      </c>
      <c r="DN8" s="288">
        <f t="shared" si="29"/>
        <v>1</v>
      </c>
      <c r="DO8" s="288">
        <f t="shared" si="30"/>
        <v>2</v>
      </c>
      <c r="DP8" s="288">
        <f t="shared" si="31"/>
        <v>1</v>
      </c>
      <c r="DQ8" s="288">
        <f t="shared" si="32"/>
        <v>0</v>
      </c>
      <c r="DR8" s="288">
        <f t="shared" ref="DR8:DS8" si="33">(DH8)</f>
        <v>1</v>
      </c>
      <c r="DS8" s="288">
        <f t="shared" si="33"/>
        <v>0</v>
      </c>
      <c r="DT8" s="291">
        <f t="shared" si="34"/>
        <v>6</v>
      </c>
      <c r="DU8" s="291" t="str">
        <f t="shared" si="35"/>
        <v>poor sleep quality</v>
      </c>
      <c r="DV8" s="292">
        <v>1.0</v>
      </c>
      <c r="DW8" s="292" t="s">
        <v>155</v>
      </c>
      <c r="DX8" s="292" t="s">
        <v>146</v>
      </c>
      <c r="DY8" s="292">
        <v>1.0</v>
      </c>
      <c r="DZ8" s="292" t="s">
        <v>132</v>
      </c>
      <c r="EA8" s="292" t="s">
        <v>162</v>
      </c>
      <c r="EB8" s="292"/>
      <c r="EC8" s="292" t="s">
        <v>139</v>
      </c>
      <c r="ED8" s="292" t="s">
        <v>140</v>
      </c>
      <c r="EE8" s="292" t="s">
        <v>131</v>
      </c>
      <c r="EF8" s="292" t="s">
        <v>141</v>
      </c>
      <c r="EG8" s="292">
        <f t="shared" si="36"/>
        <v>304</v>
      </c>
      <c r="EH8" s="292">
        <f t="shared" si="37"/>
        <v>177</v>
      </c>
      <c r="EI8" s="279">
        <f t="shared" si="23"/>
        <v>21.75546853</v>
      </c>
    </row>
    <row r="9" ht="15.75" customHeight="1">
      <c r="A9" s="130" t="s">
        <v>182</v>
      </c>
      <c r="B9" s="54" t="s">
        <v>175</v>
      </c>
      <c r="C9" s="296">
        <v>45002.0</v>
      </c>
      <c r="D9" s="130">
        <v>52.0</v>
      </c>
      <c r="E9" s="130" t="s">
        <v>130</v>
      </c>
      <c r="F9" s="130">
        <v>163.0</v>
      </c>
      <c r="G9" s="297">
        <v>90.0</v>
      </c>
      <c r="H9" s="298" t="s">
        <v>131</v>
      </c>
      <c r="I9" s="130">
        <v>4.0</v>
      </c>
      <c r="J9" s="299">
        <v>44075.0</v>
      </c>
      <c r="K9" s="130" t="s">
        <v>131</v>
      </c>
      <c r="L9" s="130">
        <v>2.0</v>
      </c>
      <c r="M9" s="299">
        <v>44075.0</v>
      </c>
      <c r="N9" s="130">
        <v>0.0</v>
      </c>
      <c r="O9" s="299">
        <v>44896.0</v>
      </c>
      <c r="P9" s="130" t="s">
        <v>131</v>
      </c>
      <c r="Q9" s="300">
        <v>44097.0</v>
      </c>
      <c r="R9" s="300">
        <v>44167.0</v>
      </c>
      <c r="S9" s="130" t="s">
        <v>132</v>
      </c>
      <c r="T9" s="130"/>
      <c r="U9" s="130" t="s">
        <v>131</v>
      </c>
      <c r="V9" s="121" t="str">
        <f t="shared" si="2"/>
        <v>Internación severa (UCI)</v>
      </c>
      <c r="W9" s="130" t="s">
        <v>183</v>
      </c>
      <c r="X9" s="130" t="s">
        <v>131</v>
      </c>
      <c r="Y9" s="130">
        <v>2.0</v>
      </c>
      <c r="Z9" s="130">
        <v>1.0</v>
      </c>
      <c r="AA9" s="130">
        <v>3.0</v>
      </c>
      <c r="AB9" s="130">
        <v>3.0</v>
      </c>
      <c r="AC9" s="130">
        <v>2.0</v>
      </c>
      <c r="AD9" s="130">
        <v>1.0</v>
      </c>
      <c r="AE9" s="130">
        <v>2.0</v>
      </c>
      <c r="AF9" s="130">
        <v>1.0</v>
      </c>
      <c r="AG9" s="130">
        <v>3.0</v>
      </c>
      <c r="AH9" s="130">
        <v>3.0</v>
      </c>
      <c r="AI9" s="130">
        <v>1.0</v>
      </c>
      <c r="AJ9" s="130">
        <v>3.0</v>
      </c>
      <c r="AK9" s="297"/>
      <c r="AL9" s="130" t="s">
        <v>132</v>
      </c>
      <c r="AM9" s="130" t="s">
        <v>132</v>
      </c>
      <c r="AN9" s="130" t="s">
        <v>132</v>
      </c>
      <c r="AO9" s="130" t="s">
        <v>132</v>
      </c>
      <c r="AP9" s="130" t="s">
        <v>132</v>
      </c>
      <c r="AQ9" s="130" t="s">
        <v>132</v>
      </c>
      <c r="AR9" s="130" t="s">
        <v>132</v>
      </c>
      <c r="AS9" s="130" t="s">
        <v>132</v>
      </c>
      <c r="AT9" s="130" t="s">
        <v>132</v>
      </c>
      <c r="AU9" s="130" t="s">
        <v>132</v>
      </c>
      <c r="AV9" s="130" t="s">
        <v>131</v>
      </c>
      <c r="AW9" s="130" t="s">
        <v>184</v>
      </c>
      <c r="AX9" s="130" t="s">
        <v>132</v>
      </c>
      <c r="AY9" s="130"/>
      <c r="AZ9" s="130"/>
      <c r="BA9" s="130"/>
      <c r="BB9" s="130" t="s">
        <v>145</v>
      </c>
      <c r="BC9" s="297"/>
      <c r="BD9" s="298">
        <v>1.0</v>
      </c>
      <c r="BE9" s="130">
        <v>1.0</v>
      </c>
      <c r="BF9" s="130">
        <v>1.0</v>
      </c>
      <c r="BG9" s="130">
        <v>1.0</v>
      </c>
      <c r="BH9" s="130">
        <v>2.0</v>
      </c>
      <c r="BI9" s="301" t="str">
        <f t="shared" si="3"/>
        <v>11112</v>
      </c>
      <c r="BJ9" s="130">
        <v>95.0</v>
      </c>
      <c r="BK9" s="130">
        <v>2.0</v>
      </c>
      <c r="BL9" s="130">
        <v>3.0</v>
      </c>
      <c r="BM9" s="130">
        <v>1.0</v>
      </c>
      <c r="BN9" s="130">
        <v>2.0</v>
      </c>
      <c r="BO9" s="130">
        <v>2.0</v>
      </c>
      <c r="BP9" s="130">
        <v>1.0</v>
      </c>
      <c r="BQ9" s="130">
        <v>2.0</v>
      </c>
      <c r="BR9" s="130">
        <v>1.0</v>
      </c>
      <c r="BS9" s="130">
        <v>2.0</v>
      </c>
      <c r="BT9" s="130">
        <v>2.0</v>
      </c>
      <c r="BU9" s="302">
        <f t="shared" si="4"/>
        <v>4</v>
      </c>
      <c r="BV9" s="302">
        <f t="shared" si="5"/>
        <v>4</v>
      </c>
      <c r="BW9" s="302">
        <f t="shared" si="6"/>
        <v>20</v>
      </c>
      <c r="BX9" s="302" t="str">
        <f t="shared" si="7"/>
        <v>NO HAY FATIGA</v>
      </c>
      <c r="BY9" s="130">
        <v>0.0</v>
      </c>
      <c r="BZ9" s="130"/>
      <c r="CA9" s="130"/>
      <c r="CB9" s="130">
        <v>3.0</v>
      </c>
      <c r="CC9" s="130">
        <v>1.0</v>
      </c>
      <c r="CD9" s="130">
        <v>30.0</v>
      </c>
      <c r="CE9" s="130">
        <v>7.0</v>
      </c>
      <c r="CF9" s="130">
        <v>20.0</v>
      </c>
      <c r="CG9" s="130">
        <v>25.0</v>
      </c>
      <c r="CH9" s="130">
        <v>9.0</v>
      </c>
      <c r="CI9" s="130">
        <v>0.0</v>
      </c>
      <c r="CJ9" s="302">
        <f t="shared" si="26"/>
        <v>29377.5</v>
      </c>
      <c r="CK9" s="301">
        <f t="shared" si="9"/>
        <v>10</v>
      </c>
      <c r="CL9" s="301" t="b">
        <f>IF(CJ10&gt;3000,IF(CK10&gt;6,"Nivel de actividad física alto"),IF(CJ10&gt;1500,IF(BY10&gt;2,"Nivel de actividad física alto")))</f>
        <v>0</v>
      </c>
      <c r="CM9" s="301" t="str">
        <f t="shared" si="10"/>
        <v>Nivel de actividad física moderado</v>
      </c>
      <c r="CN9" s="208" t="str">
        <f t="shared" si="11"/>
        <v>Nivel de actividad física moderado</v>
      </c>
      <c r="CO9" s="130">
        <v>0.0</v>
      </c>
      <c r="CP9" s="130">
        <v>0.0</v>
      </c>
      <c r="CQ9" s="223">
        <f t="shared" si="12"/>
        <v>0</v>
      </c>
      <c r="CR9" s="130">
        <v>4.0</v>
      </c>
      <c r="CS9" s="130">
        <v>30.0</v>
      </c>
      <c r="CT9" s="130">
        <v>4.5</v>
      </c>
      <c r="CU9" s="130">
        <v>4.0</v>
      </c>
      <c r="CV9" s="130">
        <v>0.0</v>
      </c>
      <c r="CW9" s="130">
        <v>1.0</v>
      </c>
      <c r="CX9" s="130">
        <v>3.0</v>
      </c>
      <c r="CY9" s="130">
        <v>0.0</v>
      </c>
      <c r="CZ9" s="130">
        <v>0.0</v>
      </c>
      <c r="DA9" s="130">
        <v>0.0</v>
      </c>
      <c r="DB9" s="130">
        <v>3.0</v>
      </c>
      <c r="DC9" s="130">
        <v>0.0</v>
      </c>
      <c r="DD9" s="130">
        <v>0.0</v>
      </c>
      <c r="DE9" s="130">
        <v>0.0</v>
      </c>
      <c r="DF9" s="130"/>
      <c r="DG9" s="303">
        <f t="shared" ref="DG9:DG108" si="39">SUM(CW9:DF9)</f>
        <v>7</v>
      </c>
      <c r="DH9" s="130">
        <v>1.0</v>
      </c>
      <c r="DI9" s="130">
        <v>0.0</v>
      </c>
      <c r="DJ9" s="130">
        <v>1.0</v>
      </c>
      <c r="DK9" s="130">
        <v>1.0</v>
      </c>
      <c r="DL9" s="302">
        <f t="shared" si="27"/>
        <v>88.88888889</v>
      </c>
      <c r="DM9" s="302">
        <f t="shared" si="28"/>
        <v>3</v>
      </c>
      <c r="DN9" s="302">
        <f t="shared" si="29"/>
        <v>1</v>
      </c>
      <c r="DO9" s="302">
        <f t="shared" si="30"/>
        <v>0</v>
      </c>
      <c r="DP9" s="302">
        <f t="shared" si="31"/>
        <v>1</v>
      </c>
      <c r="DQ9" s="302">
        <f t="shared" si="32"/>
        <v>0</v>
      </c>
      <c r="DR9" s="302">
        <f t="shared" ref="DR9:DS9" si="38">(DH9)</f>
        <v>1</v>
      </c>
      <c r="DS9" s="302">
        <f t="shared" si="38"/>
        <v>0</v>
      </c>
      <c r="DT9" s="304">
        <f t="shared" si="34"/>
        <v>6</v>
      </c>
      <c r="DU9" s="304" t="str">
        <f t="shared" si="35"/>
        <v>poor sleep quality</v>
      </c>
      <c r="DV9" s="305">
        <v>2.0</v>
      </c>
      <c r="DW9" s="305" t="s">
        <v>185</v>
      </c>
      <c r="DX9" s="305" t="s">
        <v>146</v>
      </c>
      <c r="DY9" s="305">
        <v>1.0</v>
      </c>
      <c r="DZ9" s="305" t="s">
        <v>131</v>
      </c>
      <c r="EA9" s="305" t="s">
        <v>157</v>
      </c>
      <c r="EB9" s="305"/>
      <c r="EC9" s="305" t="s">
        <v>139</v>
      </c>
      <c r="ED9" s="305"/>
      <c r="EE9" s="305"/>
      <c r="EF9" s="305" t="s">
        <v>141</v>
      </c>
      <c r="EG9" s="305">
        <f t="shared" si="36"/>
        <v>927</v>
      </c>
      <c r="EH9" s="305">
        <f t="shared" si="37"/>
        <v>106</v>
      </c>
      <c r="EI9" s="130">
        <f t="shared" si="23"/>
        <v>33.87406376</v>
      </c>
    </row>
    <row r="10" ht="15.75" customHeight="1">
      <c r="A10" s="130" t="s">
        <v>727</v>
      </c>
      <c r="B10" s="54" t="s">
        <v>175</v>
      </c>
      <c r="C10" s="296">
        <v>45016.0</v>
      </c>
      <c r="D10" s="130">
        <v>74.0</v>
      </c>
      <c r="E10" s="130" t="s">
        <v>153</v>
      </c>
      <c r="F10" s="130">
        <v>170.0</v>
      </c>
      <c r="G10" s="297">
        <v>65.0</v>
      </c>
      <c r="H10" s="298" t="s">
        <v>131</v>
      </c>
      <c r="I10" s="130">
        <v>4.0</v>
      </c>
      <c r="J10" s="299" t="s">
        <v>758</v>
      </c>
      <c r="K10" s="130" t="s">
        <v>131</v>
      </c>
      <c r="L10" s="130">
        <v>1.0</v>
      </c>
      <c r="M10" s="299">
        <v>44256.0</v>
      </c>
      <c r="N10" s="306"/>
      <c r="O10" s="299">
        <v>44256.0</v>
      </c>
      <c r="P10" s="130" t="s">
        <v>132</v>
      </c>
      <c r="Q10" s="130"/>
      <c r="R10" s="130"/>
      <c r="S10" s="130"/>
      <c r="T10" s="130"/>
      <c r="U10" s="130"/>
      <c r="V10" s="121" t="str">
        <f t="shared" si="2"/>
        <v>Paciente ambulatorio</v>
      </c>
      <c r="W10" s="130" t="s">
        <v>183</v>
      </c>
      <c r="X10" s="130" t="s">
        <v>132</v>
      </c>
      <c r="Y10" s="130">
        <v>2.0</v>
      </c>
      <c r="Z10" s="130">
        <v>2.0</v>
      </c>
      <c r="AA10" s="130">
        <v>3.0</v>
      </c>
      <c r="AB10" s="130">
        <v>3.0</v>
      </c>
      <c r="AC10" s="130">
        <v>3.0</v>
      </c>
      <c r="AD10" s="130">
        <v>1.0</v>
      </c>
      <c r="AE10" s="130">
        <v>1.0</v>
      </c>
      <c r="AF10" s="130">
        <v>1.0</v>
      </c>
      <c r="AG10" s="130">
        <v>3.0</v>
      </c>
      <c r="AH10" s="130">
        <v>3.0</v>
      </c>
      <c r="AI10" s="130">
        <v>1.0</v>
      </c>
      <c r="AJ10" s="130">
        <v>1.0</v>
      </c>
      <c r="AK10" s="297" t="s">
        <v>759</v>
      </c>
      <c r="AL10" s="130" t="s">
        <v>132</v>
      </c>
      <c r="AM10" s="130" t="s">
        <v>131</v>
      </c>
      <c r="AN10" s="130" t="s">
        <v>132</v>
      </c>
      <c r="AO10" s="130" t="s">
        <v>132</v>
      </c>
      <c r="AP10" s="130" t="s">
        <v>132</v>
      </c>
      <c r="AQ10" s="130" t="s">
        <v>132</v>
      </c>
      <c r="AR10" s="130" t="s">
        <v>132</v>
      </c>
      <c r="AS10" s="130" t="s">
        <v>132</v>
      </c>
      <c r="AT10" s="130" t="s">
        <v>132</v>
      </c>
      <c r="AU10" s="130" t="s">
        <v>132</v>
      </c>
      <c r="AV10" s="130" t="s">
        <v>131</v>
      </c>
      <c r="AW10" s="130" t="s">
        <v>760</v>
      </c>
      <c r="AX10" s="130" t="s">
        <v>165</v>
      </c>
      <c r="AY10" s="130"/>
      <c r="AZ10" s="130"/>
      <c r="BA10" s="130">
        <v>25.0</v>
      </c>
      <c r="BB10" s="130" t="s">
        <v>192</v>
      </c>
      <c r="BC10" s="297">
        <v>2.0</v>
      </c>
      <c r="BD10" s="298">
        <v>2.0</v>
      </c>
      <c r="BE10" s="130">
        <v>1.0</v>
      </c>
      <c r="BF10" s="130">
        <v>1.0</v>
      </c>
      <c r="BG10" s="130">
        <v>3.0</v>
      </c>
      <c r="BH10" s="130">
        <v>3.0</v>
      </c>
      <c r="BI10" s="301" t="str">
        <f t="shared" si="3"/>
        <v>21133</v>
      </c>
      <c r="BJ10" s="130">
        <v>80.0</v>
      </c>
      <c r="BK10" s="130">
        <v>1.0</v>
      </c>
      <c r="BL10" s="130">
        <v>1.0</v>
      </c>
      <c r="BM10" s="130">
        <v>3.0</v>
      </c>
      <c r="BN10" s="130">
        <v>5.0</v>
      </c>
      <c r="BO10" s="130">
        <v>1.0</v>
      </c>
      <c r="BP10" s="130">
        <v>2.0</v>
      </c>
      <c r="BQ10" s="130">
        <v>4.0</v>
      </c>
      <c r="BR10" s="130">
        <v>1.0</v>
      </c>
      <c r="BS10" s="130">
        <v>3.0</v>
      </c>
      <c r="BT10" s="130">
        <v>3.0</v>
      </c>
      <c r="BU10" s="302">
        <f t="shared" si="4"/>
        <v>1</v>
      </c>
      <c r="BV10" s="302">
        <f t="shared" si="5"/>
        <v>3</v>
      </c>
      <c r="BW10" s="302">
        <f t="shared" si="6"/>
        <v>22</v>
      </c>
      <c r="BX10" s="302" t="str">
        <f t="shared" si="7"/>
        <v>FATIGA</v>
      </c>
      <c r="BY10" s="130">
        <v>5.0</v>
      </c>
      <c r="BZ10" s="130">
        <v>5.0</v>
      </c>
      <c r="CA10" s="130">
        <v>0.0</v>
      </c>
      <c r="CB10" s="130">
        <v>0.0</v>
      </c>
      <c r="CC10" s="130">
        <v>0.0</v>
      </c>
      <c r="CD10" s="130">
        <v>0.0</v>
      </c>
      <c r="CE10" s="130">
        <v>0.0</v>
      </c>
      <c r="CF10" s="130"/>
      <c r="CG10" s="130"/>
      <c r="CH10" s="130">
        <v>8.0</v>
      </c>
      <c r="CI10" s="130">
        <v>0.0</v>
      </c>
      <c r="CJ10" s="302">
        <f t="shared" si="26"/>
        <v>12000</v>
      </c>
      <c r="CK10" s="301">
        <f t="shared" si="9"/>
        <v>5</v>
      </c>
      <c r="CL10" s="301" t="str">
        <f>IF(#REF!&gt;3000,IF(#REF!&gt;6,"Nivel de actividad física alto"),IF(#REF!&gt;1500,IF(#REF!&gt;2,"Nivel de actividad física alto")))</f>
        <v>#REF!</v>
      </c>
      <c r="CM10" s="301" t="str">
        <f t="shared" si="10"/>
        <v>Nivel de actividad física moderado</v>
      </c>
      <c r="CN10" s="208" t="str">
        <f t="shared" si="11"/>
        <v>#REF!</v>
      </c>
      <c r="CO10" s="130">
        <v>22.0</v>
      </c>
      <c r="CP10" s="130">
        <v>0.0</v>
      </c>
      <c r="CQ10" s="223">
        <f t="shared" si="12"/>
        <v>0</v>
      </c>
      <c r="CR10" s="130">
        <v>6.0</v>
      </c>
      <c r="CS10" s="130">
        <v>0.0</v>
      </c>
      <c r="CT10" s="130">
        <v>8.0</v>
      </c>
      <c r="CU10" s="130">
        <v>8.0</v>
      </c>
      <c r="CV10" s="130">
        <v>2.0</v>
      </c>
      <c r="CW10" s="130">
        <v>2.0</v>
      </c>
      <c r="CX10" s="130">
        <v>1.0</v>
      </c>
      <c r="CY10" s="130">
        <v>0.0</v>
      </c>
      <c r="CZ10" s="130">
        <v>0.0</v>
      </c>
      <c r="DA10" s="130">
        <v>1.0</v>
      </c>
      <c r="DB10" s="130">
        <v>0.0</v>
      </c>
      <c r="DC10" s="130">
        <v>0.0</v>
      </c>
      <c r="DD10" s="130">
        <v>0.0</v>
      </c>
      <c r="DE10" s="130">
        <v>0.0</v>
      </c>
      <c r="DF10" s="130"/>
      <c r="DG10" s="303">
        <f t="shared" si="39"/>
        <v>4</v>
      </c>
      <c r="DH10" s="130">
        <v>0.0</v>
      </c>
      <c r="DI10" s="130">
        <v>0.0</v>
      </c>
      <c r="DJ10" s="130">
        <v>1.0</v>
      </c>
      <c r="DK10" s="130">
        <v>0.0</v>
      </c>
      <c r="DL10" s="302">
        <f t="shared" si="27"/>
        <v>100</v>
      </c>
      <c r="DM10" s="302">
        <f t="shared" si="28"/>
        <v>0</v>
      </c>
      <c r="DN10" s="302">
        <f t="shared" si="29"/>
        <v>1</v>
      </c>
      <c r="DO10" s="302">
        <f t="shared" si="30"/>
        <v>1</v>
      </c>
      <c r="DP10" s="302">
        <f t="shared" si="31"/>
        <v>1</v>
      </c>
      <c r="DQ10" s="302">
        <f t="shared" si="32"/>
        <v>0</v>
      </c>
      <c r="DR10" s="302">
        <f t="shared" ref="DR10:DS10" si="40">(DH10)</f>
        <v>0</v>
      </c>
      <c r="DS10" s="302">
        <f t="shared" si="40"/>
        <v>0</v>
      </c>
      <c r="DT10" s="304">
        <f t="shared" si="34"/>
        <v>3</v>
      </c>
      <c r="DU10" s="304" t="str">
        <f t="shared" si="35"/>
        <v>good sleep quality</v>
      </c>
      <c r="DV10" s="305">
        <v>1.0</v>
      </c>
      <c r="DW10" s="305" t="s">
        <v>136</v>
      </c>
      <c r="DX10" s="305" t="s">
        <v>146</v>
      </c>
      <c r="DY10" s="305">
        <v>2.0</v>
      </c>
      <c r="DZ10" s="305" t="s">
        <v>131</v>
      </c>
      <c r="EA10" s="305" t="s">
        <v>147</v>
      </c>
      <c r="EB10" s="305"/>
      <c r="EC10" s="305" t="s">
        <v>139</v>
      </c>
      <c r="ED10" s="305"/>
      <c r="EE10" s="305" t="s">
        <v>132</v>
      </c>
      <c r="EF10" s="305" t="s">
        <v>140</v>
      </c>
      <c r="EG10" s="305">
        <f t="shared" si="36"/>
        <v>760</v>
      </c>
      <c r="EH10" s="305">
        <f t="shared" si="37"/>
        <v>760</v>
      </c>
      <c r="EI10" s="130">
        <f t="shared" si="23"/>
        <v>22.49134948</v>
      </c>
    </row>
    <row r="11" ht="15.75" customHeight="1">
      <c r="A11" s="130" t="s">
        <v>189</v>
      </c>
      <c r="B11" s="54" t="s">
        <v>175</v>
      </c>
      <c r="C11" s="296">
        <v>45030.0</v>
      </c>
      <c r="D11" s="130">
        <v>49.0</v>
      </c>
      <c r="E11" s="130" t="s">
        <v>153</v>
      </c>
      <c r="F11" s="130">
        <v>187.0</v>
      </c>
      <c r="G11" s="297">
        <v>90.0</v>
      </c>
      <c r="H11" s="298" t="s">
        <v>131</v>
      </c>
      <c r="I11" s="130">
        <v>3.0</v>
      </c>
      <c r="J11" s="299">
        <v>44718.0</v>
      </c>
      <c r="K11" s="130" t="s">
        <v>131</v>
      </c>
      <c r="L11" s="130"/>
      <c r="M11" s="299">
        <v>44593.0</v>
      </c>
      <c r="N11" s="130">
        <v>2.0</v>
      </c>
      <c r="O11" s="307">
        <v>44896.0</v>
      </c>
      <c r="P11" s="130" t="s">
        <v>132</v>
      </c>
      <c r="Q11" s="300"/>
      <c r="R11" s="300"/>
      <c r="S11" s="130"/>
      <c r="T11" s="130"/>
      <c r="U11" s="130"/>
      <c r="V11" s="121" t="str">
        <f t="shared" si="2"/>
        <v>Paciente ambulatorio</v>
      </c>
      <c r="W11" s="130" t="s">
        <v>190</v>
      </c>
      <c r="X11" s="130" t="s">
        <v>132</v>
      </c>
      <c r="Y11" s="130">
        <v>1.0</v>
      </c>
      <c r="Z11" s="130">
        <v>1.0</v>
      </c>
      <c r="AA11" s="130">
        <v>3.0</v>
      </c>
      <c r="AB11" s="130">
        <v>3.0</v>
      </c>
      <c r="AC11" s="130">
        <v>1.0</v>
      </c>
      <c r="AD11" s="130">
        <v>1.0</v>
      </c>
      <c r="AE11" s="130">
        <v>1.0</v>
      </c>
      <c r="AF11" s="130">
        <v>3.0</v>
      </c>
      <c r="AG11" s="130">
        <v>3.0</v>
      </c>
      <c r="AH11" s="130">
        <v>1.0</v>
      </c>
      <c r="AI11" s="130">
        <v>3.0</v>
      </c>
      <c r="AJ11" s="130">
        <v>3.0</v>
      </c>
      <c r="AK11" s="297"/>
      <c r="AL11" s="298" t="s">
        <v>132</v>
      </c>
      <c r="AM11" s="130" t="s">
        <v>132</v>
      </c>
      <c r="AN11" s="130" t="s">
        <v>132</v>
      </c>
      <c r="AO11" s="130" t="s">
        <v>132</v>
      </c>
      <c r="AP11" s="130" t="s">
        <v>132</v>
      </c>
      <c r="AQ11" s="130" t="s">
        <v>132</v>
      </c>
      <c r="AR11" s="130" t="s">
        <v>132</v>
      </c>
      <c r="AS11" s="130" t="s">
        <v>132</v>
      </c>
      <c r="AT11" s="130" t="s">
        <v>132</v>
      </c>
      <c r="AU11" s="130" t="s">
        <v>132</v>
      </c>
      <c r="AV11" s="130" t="s">
        <v>131</v>
      </c>
      <c r="AW11" s="130" t="s">
        <v>191</v>
      </c>
      <c r="AX11" s="130" t="s">
        <v>131</v>
      </c>
      <c r="AY11" s="130">
        <v>40.0</v>
      </c>
      <c r="AZ11" s="130">
        <v>36.0</v>
      </c>
      <c r="BA11" s="130"/>
      <c r="BB11" s="130" t="s">
        <v>192</v>
      </c>
      <c r="BC11" s="297">
        <v>1.0</v>
      </c>
      <c r="BD11" s="298">
        <v>3.0</v>
      </c>
      <c r="BE11" s="130">
        <v>1.0</v>
      </c>
      <c r="BF11" s="130">
        <v>3.0</v>
      </c>
      <c r="BG11" s="130">
        <v>4.0</v>
      </c>
      <c r="BH11" s="130">
        <v>4.0</v>
      </c>
      <c r="BI11" s="301" t="str">
        <f t="shared" si="3"/>
        <v>31344</v>
      </c>
      <c r="BJ11" s="130">
        <v>50.0</v>
      </c>
      <c r="BK11" s="130">
        <v>4.0</v>
      </c>
      <c r="BL11" s="130">
        <v>3.0</v>
      </c>
      <c r="BM11" s="130">
        <v>1.0</v>
      </c>
      <c r="BN11" s="130">
        <v>5.0</v>
      </c>
      <c r="BO11" s="130">
        <v>3.0</v>
      </c>
      <c r="BP11" s="130">
        <v>5.0</v>
      </c>
      <c r="BQ11" s="130">
        <v>1.0</v>
      </c>
      <c r="BR11" s="130">
        <v>2.0</v>
      </c>
      <c r="BS11" s="130">
        <v>3.0</v>
      </c>
      <c r="BT11" s="130">
        <v>5.0</v>
      </c>
      <c r="BU11" s="302">
        <f t="shared" si="4"/>
        <v>1</v>
      </c>
      <c r="BV11" s="302">
        <f t="shared" si="5"/>
        <v>1</v>
      </c>
      <c r="BW11" s="302">
        <f t="shared" si="6"/>
        <v>28</v>
      </c>
      <c r="BX11" s="302" t="str">
        <f t="shared" si="7"/>
        <v>FATIGA</v>
      </c>
      <c r="BY11" s="130">
        <v>4.0</v>
      </c>
      <c r="BZ11" s="130">
        <v>1.0</v>
      </c>
      <c r="CA11" s="130">
        <v>0.0</v>
      </c>
      <c r="CB11" s="130">
        <v>7.0</v>
      </c>
      <c r="CC11" s="130">
        <v>0.0</v>
      </c>
      <c r="CD11" s="130">
        <v>15.0</v>
      </c>
      <c r="CE11" s="130">
        <v>7.0</v>
      </c>
      <c r="CF11" s="130">
        <v>0.0</v>
      </c>
      <c r="CG11" s="130">
        <v>30.0</v>
      </c>
      <c r="CH11" s="130">
        <v>10.0</v>
      </c>
      <c r="CI11" s="130">
        <v>0.0</v>
      </c>
      <c r="CJ11" s="302">
        <f t="shared" si="26"/>
        <v>3033</v>
      </c>
      <c r="CK11" s="301">
        <f t="shared" si="9"/>
        <v>18</v>
      </c>
      <c r="CL11" s="301" t="b">
        <f>IF(CJ12&gt;3000,IF(CK12&gt;6,"Nivel de actividad física alto"),IF(CJ12&gt;1500,IF(BY12&gt;2,"Nivel de actividad física alto")))</f>
        <v>0</v>
      </c>
      <c r="CM11" s="301" t="str">
        <f t="shared" si="10"/>
        <v>Nivel de actividad física moderado</v>
      </c>
      <c r="CN11" s="208" t="str">
        <f t="shared" si="11"/>
        <v>Nivel de actividad física moderado</v>
      </c>
      <c r="CO11" s="308">
        <v>0.020833333333333332</v>
      </c>
      <c r="CP11" s="130">
        <v>60.0</v>
      </c>
      <c r="CQ11" s="223">
        <f t="shared" si="12"/>
        <v>2</v>
      </c>
      <c r="CR11" s="130">
        <v>7.0</v>
      </c>
      <c r="CS11" s="130">
        <v>45.0</v>
      </c>
      <c r="CT11" s="130">
        <v>7.15</v>
      </c>
      <c r="CU11" s="130">
        <v>6.0</v>
      </c>
      <c r="CV11" s="130">
        <v>3.0</v>
      </c>
      <c r="CW11" s="130">
        <v>3.0</v>
      </c>
      <c r="CX11" s="130">
        <v>2.0</v>
      </c>
      <c r="CY11" s="130">
        <v>3.0</v>
      </c>
      <c r="CZ11" s="130">
        <v>0.0</v>
      </c>
      <c r="DA11" s="130">
        <v>0.0</v>
      </c>
      <c r="DB11" s="130">
        <v>3.0</v>
      </c>
      <c r="DC11" s="130">
        <v>0.0</v>
      </c>
      <c r="DD11" s="130">
        <v>3.0</v>
      </c>
      <c r="DE11" s="130">
        <v>1.0</v>
      </c>
      <c r="DF11" s="130" t="s">
        <v>193</v>
      </c>
      <c r="DG11" s="303">
        <f t="shared" si="39"/>
        <v>15</v>
      </c>
      <c r="DH11" s="130">
        <v>3.0</v>
      </c>
      <c r="DI11" s="130">
        <v>3.0</v>
      </c>
      <c r="DJ11" s="130">
        <v>3.0</v>
      </c>
      <c r="DK11" s="130">
        <v>3.0</v>
      </c>
      <c r="DL11" s="302">
        <f t="shared" si="27"/>
        <v>83.91608392</v>
      </c>
      <c r="DM11" s="302">
        <f t="shared" si="28"/>
        <v>1</v>
      </c>
      <c r="DN11" s="302">
        <f t="shared" si="29"/>
        <v>2</v>
      </c>
      <c r="DO11" s="302">
        <f t="shared" si="30"/>
        <v>3</v>
      </c>
      <c r="DP11" s="302">
        <f t="shared" si="31"/>
        <v>3</v>
      </c>
      <c r="DQ11" s="302">
        <f t="shared" si="32"/>
        <v>1</v>
      </c>
      <c r="DR11" s="302">
        <f t="shared" ref="DR11:DS11" si="41">(DH11)</f>
        <v>3</v>
      </c>
      <c r="DS11" s="302">
        <f t="shared" si="41"/>
        <v>3</v>
      </c>
      <c r="DT11" s="304">
        <f t="shared" si="34"/>
        <v>16</v>
      </c>
      <c r="DU11" s="304" t="str">
        <f t="shared" si="35"/>
        <v>poor sleep quality</v>
      </c>
      <c r="DV11" s="305">
        <v>3.0</v>
      </c>
      <c r="DW11" s="305" t="s">
        <v>185</v>
      </c>
      <c r="DX11" s="305" t="s">
        <v>146</v>
      </c>
      <c r="DY11" s="305">
        <v>2.0</v>
      </c>
      <c r="DZ11" s="305" t="s">
        <v>131</v>
      </c>
      <c r="EA11" s="305" t="s">
        <v>167</v>
      </c>
      <c r="EB11" s="305"/>
      <c r="EC11" s="305" t="s">
        <v>139</v>
      </c>
      <c r="ED11" s="305"/>
      <c r="EE11" s="305" t="s">
        <v>131</v>
      </c>
      <c r="EF11" s="305" t="s">
        <v>158</v>
      </c>
      <c r="EG11" s="305">
        <f t="shared" si="36"/>
        <v>437</v>
      </c>
      <c r="EH11" s="305">
        <f t="shared" si="37"/>
        <v>134</v>
      </c>
      <c r="EI11" s="130">
        <f t="shared" si="23"/>
        <v>25.73708141</v>
      </c>
    </row>
    <row r="12" ht="15.75" customHeight="1">
      <c r="A12" s="130" t="s">
        <v>194</v>
      </c>
      <c r="B12" s="54" t="s">
        <v>175</v>
      </c>
      <c r="C12" s="296">
        <v>45037.0</v>
      </c>
      <c r="D12" s="130">
        <v>44.0</v>
      </c>
      <c r="E12" s="130" t="s">
        <v>153</v>
      </c>
      <c r="F12" s="130">
        <v>177.0</v>
      </c>
      <c r="G12" s="297">
        <v>78.0</v>
      </c>
      <c r="H12" s="298" t="s">
        <v>131</v>
      </c>
      <c r="I12" s="130">
        <v>2.0</v>
      </c>
      <c r="J12" s="299">
        <v>44713.0</v>
      </c>
      <c r="K12" s="130" t="s">
        <v>131</v>
      </c>
      <c r="L12" s="130">
        <v>1.0</v>
      </c>
      <c r="M12" s="299">
        <v>44713.0</v>
      </c>
      <c r="N12" s="306"/>
      <c r="O12" s="299">
        <v>44713.0</v>
      </c>
      <c r="P12" s="130" t="s">
        <v>132</v>
      </c>
      <c r="Q12" s="130"/>
      <c r="R12" s="130"/>
      <c r="S12" s="130"/>
      <c r="T12" s="130"/>
      <c r="U12" s="130"/>
      <c r="V12" s="121" t="str">
        <f t="shared" si="2"/>
        <v>Paciente ambulatorio</v>
      </c>
      <c r="W12" s="130" t="s">
        <v>176</v>
      </c>
      <c r="X12" s="130" t="s">
        <v>132</v>
      </c>
      <c r="Y12" s="130">
        <v>2.0</v>
      </c>
      <c r="Z12" s="130">
        <v>1.0</v>
      </c>
      <c r="AA12" s="130">
        <v>3.0</v>
      </c>
      <c r="AB12" s="130">
        <v>3.0</v>
      </c>
      <c r="AC12" s="130">
        <v>3.0</v>
      </c>
      <c r="AD12" s="130">
        <v>1.0</v>
      </c>
      <c r="AE12" s="130">
        <v>2.0</v>
      </c>
      <c r="AF12" s="130">
        <v>3.0</v>
      </c>
      <c r="AG12" s="130">
        <v>3.0</v>
      </c>
      <c r="AH12" s="130">
        <v>1.0</v>
      </c>
      <c r="AI12" s="130">
        <v>3.0</v>
      </c>
      <c r="AJ12" s="130">
        <v>3.0</v>
      </c>
      <c r="AK12" s="297" t="s">
        <v>195</v>
      </c>
      <c r="AL12" s="298" t="s">
        <v>132</v>
      </c>
      <c r="AM12" s="130" t="s">
        <v>132</v>
      </c>
      <c r="AN12" s="130" t="s">
        <v>132</v>
      </c>
      <c r="AO12" s="130" t="s">
        <v>132</v>
      </c>
      <c r="AP12" s="130" t="s">
        <v>132</v>
      </c>
      <c r="AQ12" s="130" t="s">
        <v>132</v>
      </c>
      <c r="AR12" s="130" t="s">
        <v>132</v>
      </c>
      <c r="AS12" s="130" t="s">
        <v>132</v>
      </c>
      <c r="AT12" s="130" t="s">
        <v>132</v>
      </c>
      <c r="AU12" s="130" t="s">
        <v>132</v>
      </c>
      <c r="AV12" s="130" t="s">
        <v>132</v>
      </c>
      <c r="AW12" s="130"/>
      <c r="AX12" s="130" t="s">
        <v>131</v>
      </c>
      <c r="AY12" s="130">
        <v>7.0</v>
      </c>
      <c r="AZ12" s="130">
        <v>30.0</v>
      </c>
      <c r="BA12" s="130"/>
      <c r="BB12" s="130" t="s">
        <v>145</v>
      </c>
      <c r="BC12" s="297" t="s">
        <v>196</v>
      </c>
      <c r="BD12" s="298">
        <v>1.0</v>
      </c>
      <c r="BE12" s="130">
        <v>1.0</v>
      </c>
      <c r="BF12" s="130">
        <v>1.0</v>
      </c>
      <c r="BG12" s="130">
        <v>2.0</v>
      </c>
      <c r="BH12" s="130">
        <v>3.0</v>
      </c>
      <c r="BI12" s="301" t="str">
        <f t="shared" si="3"/>
        <v>11123</v>
      </c>
      <c r="BJ12" s="130">
        <v>70.0</v>
      </c>
      <c r="BK12" s="130">
        <v>2.0</v>
      </c>
      <c r="BL12" s="130">
        <v>2.0</v>
      </c>
      <c r="BM12" s="130">
        <v>4.0</v>
      </c>
      <c r="BN12" s="130">
        <v>2.0</v>
      </c>
      <c r="BO12" s="130">
        <v>2.0</v>
      </c>
      <c r="BP12" s="130">
        <v>4.0</v>
      </c>
      <c r="BQ12" s="130">
        <v>2.0</v>
      </c>
      <c r="BR12" s="130">
        <v>4.0</v>
      </c>
      <c r="BS12" s="130">
        <v>2.0</v>
      </c>
      <c r="BT12" s="130">
        <v>3.0</v>
      </c>
      <c r="BU12" s="302">
        <f t="shared" si="4"/>
        <v>4</v>
      </c>
      <c r="BV12" s="302">
        <f t="shared" si="5"/>
        <v>3</v>
      </c>
      <c r="BW12" s="302">
        <f t="shared" si="6"/>
        <v>28</v>
      </c>
      <c r="BX12" s="302" t="str">
        <f t="shared" si="7"/>
        <v>FATIGA</v>
      </c>
      <c r="BY12" s="130">
        <v>1.0</v>
      </c>
      <c r="BZ12" s="130">
        <v>1.0</v>
      </c>
      <c r="CA12" s="130">
        <v>30.0</v>
      </c>
      <c r="CB12" s="130">
        <v>3.0</v>
      </c>
      <c r="CC12" s="130">
        <v>3.0</v>
      </c>
      <c r="CD12" s="130">
        <v>0.0</v>
      </c>
      <c r="CE12" s="130">
        <v>0.0</v>
      </c>
      <c r="CF12" s="130"/>
      <c r="CG12" s="130"/>
      <c r="CH12" s="130">
        <v>8.0</v>
      </c>
      <c r="CI12" s="130">
        <v>0.0</v>
      </c>
      <c r="CJ12" s="302">
        <f t="shared" si="26"/>
        <v>2880</v>
      </c>
      <c r="CK12" s="301">
        <f t="shared" si="9"/>
        <v>4</v>
      </c>
      <c r="CL12" s="301" t="str">
        <f t="shared" ref="CL12:CL13" si="43">IF(#REF!&gt;3000,IF(#REF!&gt;6,"Nivel de actividad física alto"),IF(#REF!&gt;1500,IF(#REF!&gt;2,"Nivel de actividad física alto")))</f>
        <v>#REF!</v>
      </c>
      <c r="CM12" s="301" t="b">
        <f t="shared" si="10"/>
        <v>0</v>
      </c>
      <c r="CN12" s="208" t="str">
        <f t="shared" si="11"/>
        <v>#REF!</v>
      </c>
      <c r="CO12" s="130">
        <v>1.0</v>
      </c>
      <c r="CP12" s="130">
        <v>20.0</v>
      </c>
      <c r="CQ12" s="223">
        <f t="shared" si="12"/>
        <v>1</v>
      </c>
      <c r="CR12" s="130">
        <v>9.0</v>
      </c>
      <c r="CS12" s="130">
        <v>30.0</v>
      </c>
      <c r="CT12" s="130">
        <v>8.5</v>
      </c>
      <c r="CU12" s="130">
        <v>6.0</v>
      </c>
      <c r="CV12" s="130">
        <v>2.0</v>
      </c>
      <c r="CW12" s="130">
        <v>0.0</v>
      </c>
      <c r="CX12" s="130">
        <v>1.0</v>
      </c>
      <c r="CY12" s="130">
        <v>0.0</v>
      </c>
      <c r="CZ12" s="130">
        <v>1.0</v>
      </c>
      <c r="DA12" s="130">
        <v>0.0</v>
      </c>
      <c r="DB12" s="130">
        <v>1.0</v>
      </c>
      <c r="DC12" s="130">
        <v>0.0</v>
      </c>
      <c r="DD12" s="130">
        <v>0.0</v>
      </c>
      <c r="DE12" s="130">
        <v>0.0</v>
      </c>
      <c r="DF12" s="130"/>
      <c r="DG12" s="303">
        <f t="shared" si="39"/>
        <v>3</v>
      </c>
      <c r="DH12" s="130">
        <v>2.0</v>
      </c>
      <c r="DI12" s="130">
        <v>0.0</v>
      </c>
      <c r="DJ12" s="130">
        <v>0.0</v>
      </c>
      <c r="DK12" s="130">
        <v>2.0</v>
      </c>
      <c r="DL12" s="302">
        <f t="shared" si="27"/>
        <v>70.58823529</v>
      </c>
      <c r="DM12" s="302">
        <f t="shared" si="28"/>
        <v>1</v>
      </c>
      <c r="DN12" s="302">
        <f t="shared" si="29"/>
        <v>1</v>
      </c>
      <c r="DO12" s="302">
        <f t="shared" si="30"/>
        <v>2</v>
      </c>
      <c r="DP12" s="302">
        <f t="shared" si="31"/>
        <v>1</v>
      </c>
      <c r="DQ12" s="302">
        <f t="shared" si="32"/>
        <v>2</v>
      </c>
      <c r="DR12" s="302">
        <f t="shared" ref="DR12:DS12" si="42">(DH12)</f>
        <v>2</v>
      </c>
      <c r="DS12" s="302">
        <f t="shared" si="42"/>
        <v>0</v>
      </c>
      <c r="DT12" s="304">
        <f t="shared" si="34"/>
        <v>9</v>
      </c>
      <c r="DU12" s="304" t="str">
        <f t="shared" si="35"/>
        <v>poor sleep quality</v>
      </c>
      <c r="DV12" s="305">
        <v>1.0</v>
      </c>
      <c r="DW12" s="305" t="s">
        <v>197</v>
      </c>
      <c r="DX12" s="305" t="s">
        <v>146</v>
      </c>
      <c r="DY12" s="305">
        <v>1.0</v>
      </c>
      <c r="DZ12" s="305" t="s">
        <v>131</v>
      </c>
      <c r="EA12" s="305" t="s">
        <v>167</v>
      </c>
      <c r="EB12" s="305"/>
      <c r="EC12" s="305" t="s">
        <v>198</v>
      </c>
      <c r="ED12" s="305"/>
      <c r="EE12" s="305"/>
      <c r="EF12" s="305" t="s">
        <v>140</v>
      </c>
      <c r="EG12" s="305">
        <f t="shared" si="36"/>
        <v>324</v>
      </c>
      <c r="EH12" s="305">
        <f t="shared" si="37"/>
        <v>324</v>
      </c>
      <c r="EI12" s="130">
        <f t="shared" si="23"/>
        <v>24.89706023</v>
      </c>
    </row>
    <row r="13" ht="27.75" customHeight="1">
      <c r="A13" s="130" t="s">
        <v>204</v>
      </c>
      <c r="B13" s="54" t="s">
        <v>175</v>
      </c>
      <c r="C13" s="296">
        <v>45114.0</v>
      </c>
      <c r="D13" s="130">
        <v>46.0</v>
      </c>
      <c r="E13" s="130" t="s">
        <v>130</v>
      </c>
      <c r="F13" s="130">
        <v>160.0</v>
      </c>
      <c r="G13" s="297">
        <v>65.0</v>
      </c>
      <c r="H13" s="298" t="s">
        <v>131</v>
      </c>
      <c r="I13" s="130">
        <v>3.0</v>
      </c>
      <c r="J13" s="299">
        <v>81069.0</v>
      </c>
      <c r="K13" s="130" t="s">
        <v>131</v>
      </c>
      <c r="L13" s="130">
        <v>2.0</v>
      </c>
      <c r="M13" s="299">
        <v>44075.0</v>
      </c>
      <c r="N13" s="130">
        <v>0.0</v>
      </c>
      <c r="O13" s="299">
        <v>44562.0</v>
      </c>
      <c r="P13" s="130" t="s">
        <v>132</v>
      </c>
      <c r="Q13" s="130"/>
      <c r="R13" s="130"/>
      <c r="S13" s="130"/>
      <c r="T13" s="130"/>
      <c r="U13" s="130"/>
      <c r="V13" s="121" t="str">
        <f t="shared" si="2"/>
        <v>Paciente ambulatorio</v>
      </c>
      <c r="W13" s="130" t="s">
        <v>176</v>
      </c>
      <c r="X13" s="130" t="s">
        <v>131</v>
      </c>
      <c r="Y13" s="130">
        <v>2.0</v>
      </c>
      <c r="Z13" s="130">
        <v>1.0</v>
      </c>
      <c r="AA13" s="130">
        <v>3.0</v>
      </c>
      <c r="AB13" s="130">
        <v>3.0</v>
      </c>
      <c r="AC13" s="130">
        <v>1.0</v>
      </c>
      <c r="AD13" s="130">
        <v>1.0</v>
      </c>
      <c r="AE13" s="130">
        <v>2.0</v>
      </c>
      <c r="AF13" s="130">
        <v>1.0</v>
      </c>
      <c r="AG13" s="130">
        <v>3.0</v>
      </c>
      <c r="AH13" s="130">
        <v>3.0</v>
      </c>
      <c r="AI13" s="130">
        <v>1.0</v>
      </c>
      <c r="AJ13" s="130">
        <v>1.0</v>
      </c>
      <c r="AK13" s="130" t="s">
        <v>205</v>
      </c>
      <c r="AL13" s="298" t="s">
        <v>132</v>
      </c>
      <c r="AM13" s="130" t="s">
        <v>132</v>
      </c>
      <c r="AN13" s="130" t="s">
        <v>132</v>
      </c>
      <c r="AO13" s="130" t="s">
        <v>132</v>
      </c>
      <c r="AP13" s="130" t="s">
        <v>132</v>
      </c>
      <c r="AQ13" s="130" t="s">
        <v>132</v>
      </c>
      <c r="AR13" s="130" t="s">
        <v>132</v>
      </c>
      <c r="AS13" s="130" t="s">
        <v>132</v>
      </c>
      <c r="AT13" s="130" t="s">
        <v>132</v>
      </c>
      <c r="AU13" s="130" t="s">
        <v>132</v>
      </c>
      <c r="AV13" s="130" t="s">
        <v>131</v>
      </c>
      <c r="AW13" s="130" t="s">
        <v>206</v>
      </c>
      <c r="AX13" s="130" t="s">
        <v>132</v>
      </c>
      <c r="AY13" s="130"/>
      <c r="AZ13" s="130"/>
      <c r="BA13" s="130"/>
      <c r="BB13" s="130" t="s">
        <v>145</v>
      </c>
      <c r="BC13" s="297"/>
      <c r="BD13" s="298">
        <v>1.0</v>
      </c>
      <c r="BE13" s="130">
        <v>2.0</v>
      </c>
      <c r="BF13" s="130">
        <v>4.0</v>
      </c>
      <c r="BG13" s="130">
        <v>4.0</v>
      </c>
      <c r="BH13" s="130">
        <v>2.0</v>
      </c>
      <c r="BI13" s="301" t="str">
        <f t="shared" si="3"/>
        <v>12442</v>
      </c>
      <c r="BJ13" s="130">
        <v>50.0</v>
      </c>
      <c r="BK13" s="130">
        <v>4.0</v>
      </c>
      <c r="BL13" s="130">
        <v>5.0</v>
      </c>
      <c r="BM13" s="130">
        <v>5.0</v>
      </c>
      <c r="BN13" s="130">
        <v>2.0</v>
      </c>
      <c r="BO13" s="130">
        <v>5.0</v>
      </c>
      <c r="BP13" s="130">
        <v>4.0</v>
      </c>
      <c r="BQ13" s="130">
        <v>2.0</v>
      </c>
      <c r="BR13" s="130">
        <v>4.0</v>
      </c>
      <c r="BS13" s="130">
        <v>5.0</v>
      </c>
      <c r="BT13" s="130">
        <v>3.0</v>
      </c>
      <c r="BU13" s="302">
        <f t="shared" si="4"/>
        <v>4</v>
      </c>
      <c r="BV13" s="302">
        <f t="shared" si="5"/>
        <v>3</v>
      </c>
      <c r="BW13" s="302">
        <f t="shared" si="6"/>
        <v>40</v>
      </c>
      <c r="BX13" s="302" t="str">
        <f t="shared" si="7"/>
        <v>FATIGA EXTREMA</v>
      </c>
      <c r="BY13" s="130">
        <v>0.0</v>
      </c>
      <c r="BZ13" s="130">
        <v>0.0</v>
      </c>
      <c r="CA13" s="130">
        <v>0.0</v>
      </c>
      <c r="CB13" s="130">
        <v>0.0</v>
      </c>
      <c r="CC13" s="130">
        <v>0.0</v>
      </c>
      <c r="CD13" s="130">
        <v>0.0</v>
      </c>
      <c r="CE13" s="130">
        <v>0.0</v>
      </c>
      <c r="CF13" s="130">
        <v>0.0</v>
      </c>
      <c r="CG13" s="130">
        <v>0.0</v>
      </c>
      <c r="CH13" s="130">
        <v>10.0</v>
      </c>
      <c r="CI13" s="130">
        <v>0.0</v>
      </c>
      <c r="CJ13" s="302">
        <f t="shared" si="26"/>
        <v>0</v>
      </c>
      <c r="CK13" s="301">
        <f t="shared" si="9"/>
        <v>0</v>
      </c>
      <c r="CL13" s="301" t="str">
        <f t="shared" si="43"/>
        <v>#REF!</v>
      </c>
      <c r="CM13" s="301" t="b">
        <f t="shared" si="10"/>
        <v>0</v>
      </c>
      <c r="CN13" s="208" t="str">
        <f t="shared" si="11"/>
        <v>#REF!</v>
      </c>
      <c r="CO13" s="130">
        <v>0.0</v>
      </c>
      <c r="CP13" s="130">
        <v>3.0</v>
      </c>
      <c r="CQ13" s="223">
        <f t="shared" si="12"/>
        <v>0</v>
      </c>
      <c r="CR13" s="130">
        <v>7.0</v>
      </c>
      <c r="CS13" s="130">
        <v>0.0</v>
      </c>
      <c r="CT13" s="130">
        <v>7.0</v>
      </c>
      <c r="CU13" s="130">
        <v>7.0</v>
      </c>
      <c r="CV13" s="130">
        <v>0.0</v>
      </c>
      <c r="CW13" s="130">
        <v>0.0</v>
      </c>
      <c r="CX13" s="130">
        <v>0.0</v>
      </c>
      <c r="CY13" s="130">
        <v>0.0</v>
      </c>
      <c r="CZ13" s="130">
        <v>0.0</v>
      </c>
      <c r="DA13" s="130">
        <v>2.0</v>
      </c>
      <c r="DB13" s="130">
        <v>0.0</v>
      </c>
      <c r="DC13" s="130">
        <v>0.0</v>
      </c>
      <c r="DD13" s="130">
        <v>0.0</v>
      </c>
      <c r="DE13" s="130">
        <v>0.0</v>
      </c>
      <c r="DF13" s="130"/>
      <c r="DG13" s="303">
        <f t="shared" si="39"/>
        <v>2</v>
      </c>
      <c r="DH13" s="130">
        <v>2.0</v>
      </c>
      <c r="DI13" s="130">
        <v>0.0</v>
      </c>
      <c r="DJ13" s="130">
        <v>3.0</v>
      </c>
      <c r="DK13" s="130">
        <v>3.0</v>
      </c>
      <c r="DL13" s="302">
        <f t="shared" si="27"/>
        <v>100</v>
      </c>
      <c r="DM13" s="302">
        <f t="shared" si="28"/>
        <v>0</v>
      </c>
      <c r="DN13" s="302">
        <f t="shared" si="29"/>
        <v>1</v>
      </c>
      <c r="DO13" s="302">
        <f t="shared" si="30"/>
        <v>0</v>
      </c>
      <c r="DP13" s="302">
        <f t="shared" si="31"/>
        <v>3</v>
      </c>
      <c r="DQ13" s="302">
        <f t="shared" si="32"/>
        <v>0</v>
      </c>
      <c r="DR13" s="302">
        <f t="shared" ref="DR13:DS13" si="44">(DH13)</f>
        <v>2</v>
      </c>
      <c r="DS13" s="302">
        <f t="shared" si="44"/>
        <v>0</v>
      </c>
      <c r="DT13" s="304">
        <f t="shared" si="34"/>
        <v>6</v>
      </c>
      <c r="DU13" s="304" t="str">
        <f t="shared" si="35"/>
        <v>poor sleep quality</v>
      </c>
      <c r="DV13" s="305">
        <v>1.0</v>
      </c>
      <c r="DW13" s="305" t="s">
        <v>155</v>
      </c>
      <c r="DX13" s="305" t="s">
        <v>207</v>
      </c>
      <c r="DY13" s="305">
        <v>1.0</v>
      </c>
      <c r="DZ13" s="305" t="s">
        <v>132</v>
      </c>
      <c r="EA13" s="305" t="s">
        <v>178</v>
      </c>
      <c r="EB13" s="305"/>
      <c r="EC13" s="305" t="s">
        <v>172</v>
      </c>
      <c r="ED13" s="305" t="s">
        <v>140</v>
      </c>
      <c r="EE13" s="305" t="s">
        <v>131</v>
      </c>
      <c r="EF13" s="305" t="s">
        <v>141</v>
      </c>
      <c r="EG13" s="305">
        <f t="shared" si="36"/>
        <v>1039</v>
      </c>
      <c r="EH13" s="305">
        <f t="shared" si="37"/>
        <v>552</v>
      </c>
      <c r="EI13" s="130">
        <f t="shared" si="23"/>
        <v>25.390625</v>
      </c>
    </row>
    <row r="14" ht="15.75" customHeight="1">
      <c r="A14" s="130" t="s">
        <v>210</v>
      </c>
      <c r="B14" s="54" t="s">
        <v>175</v>
      </c>
      <c r="C14" s="296">
        <v>45051.0</v>
      </c>
      <c r="D14" s="130">
        <v>46.0</v>
      </c>
      <c r="E14" s="130" t="s">
        <v>130</v>
      </c>
      <c r="F14" s="130">
        <v>157.0</v>
      </c>
      <c r="G14" s="297">
        <v>70.0</v>
      </c>
      <c r="H14" s="298" t="s">
        <v>131</v>
      </c>
      <c r="I14" s="130">
        <v>2.0</v>
      </c>
      <c r="J14" s="299">
        <v>44521.0</v>
      </c>
      <c r="K14" s="130" t="s">
        <v>131</v>
      </c>
      <c r="L14" s="130">
        <v>2.0</v>
      </c>
      <c r="M14" s="299">
        <v>44256.0</v>
      </c>
      <c r="N14" s="130">
        <v>0.0</v>
      </c>
      <c r="O14" s="299">
        <v>44751.0</v>
      </c>
      <c r="P14" s="130" t="s">
        <v>132</v>
      </c>
      <c r="Q14" s="130"/>
      <c r="R14" s="130"/>
      <c r="S14" s="130"/>
      <c r="T14" s="130"/>
      <c r="U14" s="130"/>
      <c r="V14" s="121" t="str">
        <f t="shared" si="2"/>
        <v>Paciente ambulatorio</v>
      </c>
      <c r="W14" s="130" t="s">
        <v>183</v>
      </c>
      <c r="X14" s="130"/>
      <c r="Y14" s="130">
        <v>2.0</v>
      </c>
      <c r="Z14" s="130">
        <v>1.0</v>
      </c>
      <c r="AA14" s="130">
        <v>3.0</v>
      </c>
      <c r="AB14" s="130">
        <v>3.0</v>
      </c>
      <c r="AC14" s="130">
        <v>3.0</v>
      </c>
      <c r="AD14" s="130">
        <v>1.0</v>
      </c>
      <c r="AE14" s="130">
        <v>3.0</v>
      </c>
      <c r="AF14" s="130">
        <v>1.0</v>
      </c>
      <c r="AG14" s="130">
        <v>1.0</v>
      </c>
      <c r="AH14" s="130">
        <v>1.0</v>
      </c>
      <c r="AI14" s="130">
        <v>1.0</v>
      </c>
      <c r="AJ14" s="130">
        <v>1.0</v>
      </c>
      <c r="AK14" s="297" t="s">
        <v>211</v>
      </c>
      <c r="AL14" s="298" t="s">
        <v>132</v>
      </c>
      <c r="AM14" s="130" t="s">
        <v>132</v>
      </c>
      <c r="AN14" s="130" t="s">
        <v>132</v>
      </c>
      <c r="AO14" s="130" t="s">
        <v>132</v>
      </c>
      <c r="AP14" s="130" t="s">
        <v>132</v>
      </c>
      <c r="AQ14" s="130" t="s">
        <v>132</v>
      </c>
      <c r="AR14" s="130" t="s">
        <v>132</v>
      </c>
      <c r="AS14" s="130" t="s">
        <v>132</v>
      </c>
      <c r="AT14" s="130" t="s">
        <v>132</v>
      </c>
      <c r="AU14" s="130" t="s">
        <v>132</v>
      </c>
      <c r="AV14" s="130" t="s">
        <v>131</v>
      </c>
      <c r="AW14" s="130" t="s">
        <v>212</v>
      </c>
      <c r="AX14" s="130" t="s">
        <v>132</v>
      </c>
      <c r="AY14" s="130"/>
      <c r="AZ14" s="130"/>
      <c r="BA14" s="130"/>
      <c r="BB14" s="130" t="s">
        <v>145</v>
      </c>
      <c r="BC14" s="297"/>
      <c r="BD14" s="298">
        <v>1.0</v>
      </c>
      <c r="BE14" s="130">
        <v>1.0</v>
      </c>
      <c r="BF14" s="130">
        <v>1.0</v>
      </c>
      <c r="BG14" s="130">
        <v>1.0</v>
      </c>
      <c r="BH14" s="130">
        <v>3.0</v>
      </c>
      <c r="BI14" s="301" t="str">
        <f t="shared" si="3"/>
        <v>11113</v>
      </c>
      <c r="BJ14" s="130">
        <v>65.0</v>
      </c>
      <c r="BK14" s="130">
        <v>2.0</v>
      </c>
      <c r="BL14" s="130">
        <v>2.0</v>
      </c>
      <c r="BM14" s="130">
        <v>1.0</v>
      </c>
      <c r="BN14" s="130">
        <v>4.0</v>
      </c>
      <c r="BO14" s="130">
        <v>2.0</v>
      </c>
      <c r="BP14" s="130">
        <v>2.0</v>
      </c>
      <c r="BQ14" s="130">
        <v>4.0</v>
      </c>
      <c r="BR14" s="130">
        <v>2.0</v>
      </c>
      <c r="BS14" s="130">
        <v>4.0</v>
      </c>
      <c r="BT14" s="130">
        <v>2.0</v>
      </c>
      <c r="BU14" s="302">
        <f t="shared" si="4"/>
        <v>2</v>
      </c>
      <c r="BV14" s="302">
        <f t="shared" si="5"/>
        <v>4</v>
      </c>
      <c r="BW14" s="302">
        <f t="shared" si="6"/>
        <v>25</v>
      </c>
      <c r="BX14" s="302" t="str">
        <f t="shared" si="7"/>
        <v>FATIGA</v>
      </c>
      <c r="BY14" s="130">
        <v>0.0</v>
      </c>
      <c r="BZ14" s="130"/>
      <c r="CA14" s="130"/>
      <c r="CB14" s="130">
        <v>0.0</v>
      </c>
      <c r="CC14" s="130">
        <v>0.0</v>
      </c>
      <c r="CD14" s="130">
        <v>0.0</v>
      </c>
      <c r="CE14" s="130">
        <v>7.0</v>
      </c>
      <c r="CF14" s="130">
        <v>4.0</v>
      </c>
      <c r="CG14" s="130">
        <v>0.0</v>
      </c>
      <c r="CH14" s="130">
        <v>3.0</v>
      </c>
      <c r="CI14" s="130"/>
      <c r="CJ14" s="302">
        <f t="shared" si="26"/>
        <v>5544</v>
      </c>
      <c r="CK14" s="301">
        <f t="shared" si="9"/>
        <v>7</v>
      </c>
      <c r="CL14" s="301" t="str">
        <f>IF(CJ15&gt;3000,IF(CK15&gt;6,"Nivel de actividad física alto"),IF(CJ15&gt;1500,IF(BY15&gt;2,"Nivel de actividad física alto")))</f>
        <v>Nivel de actividad física alto</v>
      </c>
      <c r="CM14" s="301" t="str">
        <f t="shared" si="10"/>
        <v>Nivel de actividad física moderado</v>
      </c>
      <c r="CN14" s="208" t="str">
        <f t="shared" si="11"/>
        <v>Nivel de actividad física alto</v>
      </c>
      <c r="CO14" s="130">
        <v>0.0</v>
      </c>
      <c r="CP14" s="130">
        <v>60.0</v>
      </c>
      <c r="CQ14" s="223">
        <f t="shared" si="12"/>
        <v>2</v>
      </c>
      <c r="CR14" s="130">
        <v>6.0</v>
      </c>
      <c r="CS14" s="130">
        <v>0.0</v>
      </c>
      <c r="CT14" s="130">
        <v>6.0</v>
      </c>
      <c r="CU14" s="130">
        <v>5.0</v>
      </c>
      <c r="CV14" s="130">
        <v>3.0</v>
      </c>
      <c r="CW14" s="130">
        <v>3.0</v>
      </c>
      <c r="CX14" s="130">
        <v>3.0</v>
      </c>
      <c r="CY14" s="130">
        <v>2.0</v>
      </c>
      <c r="CZ14" s="130">
        <v>1.0</v>
      </c>
      <c r="DA14" s="130">
        <v>0.0</v>
      </c>
      <c r="DB14" s="130">
        <v>3.0</v>
      </c>
      <c r="DC14" s="130">
        <v>1.0</v>
      </c>
      <c r="DD14" s="130">
        <v>0.0</v>
      </c>
      <c r="DE14" s="130">
        <v>0.0</v>
      </c>
      <c r="DF14" s="130"/>
      <c r="DG14" s="303">
        <f t="shared" si="39"/>
        <v>13</v>
      </c>
      <c r="DH14" s="130">
        <v>2.0</v>
      </c>
      <c r="DI14" s="130">
        <v>0.0</v>
      </c>
      <c r="DJ14" s="130">
        <v>2.0</v>
      </c>
      <c r="DK14" s="130">
        <v>2.0</v>
      </c>
      <c r="DL14" s="302">
        <f t="shared" si="27"/>
        <v>83.33333333</v>
      </c>
      <c r="DM14" s="302">
        <f t="shared" si="28"/>
        <v>2</v>
      </c>
      <c r="DN14" s="302">
        <f t="shared" si="29"/>
        <v>2</v>
      </c>
      <c r="DO14" s="302">
        <f t="shared" si="30"/>
        <v>3</v>
      </c>
      <c r="DP14" s="302">
        <f t="shared" si="31"/>
        <v>2</v>
      </c>
      <c r="DQ14" s="302">
        <f t="shared" si="32"/>
        <v>1</v>
      </c>
      <c r="DR14" s="302">
        <f t="shared" ref="DR14:DS14" si="45">(DH14)</f>
        <v>2</v>
      </c>
      <c r="DS14" s="302">
        <f t="shared" si="45"/>
        <v>0</v>
      </c>
      <c r="DT14" s="304">
        <f t="shared" si="34"/>
        <v>12</v>
      </c>
      <c r="DU14" s="304" t="str">
        <f t="shared" si="35"/>
        <v>poor sleep quality</v>
      </c>
      <c r="DV14" s="305">
        <v>0.0</v>
      </c>
      <c r="DW14" s="305"/>
      <c r="DX14" s="305" t="s">
        <v>213</v>
      </c>
      <c r="DY14" s="305">
        <v>1.0</v>
      </c>
      <c r="DZ14" s="305" t="s">
        <v>131</v>
      </c>
      <c r="EA14" s="305" t="s">
        <v>178</v>
      </c>
      <c r="EB14" s="305"/>
      <c r="EC14" s="305" t="s">
        <v>139</v>
      </c>
      <c r="ED14" s="305"/>
      <c r="EE14" s="305" t="s">
        <v>131</v>
      </c>
      <c r="EF14" s="305" t="s">
        <v>141</v>
      </c>
      <c r="EG14" s="305">
        <f t="shared" si="36"/>
        <v>795</v>
      </c>
      <c r="EH14" s="305">
        <f t="shared" si="37"/>
        <v>300</v>
      </c>
      <c r="EI14" s="130">
        <f t="shared" si="23"/>
        <v>28.398718</v>
      </c>
    </row>
    <row r="15" ht="15.75" customHeight="1">
      <c r="A15" s="130" t="s">
        <v>214</v>
      </c>
      <c r="B15" s="54" t="s">
        <v>175</v>
      </c>
      <c r="C15" s="296">
        <v>45051.0</v>
      </c>
      <c r="D15" s="130">
        <v>56.0</v>
      </c>
      <c r="E15" s="130" t="s">
        <v>130</v>
      </c>
      <c r="F15" s="130">
        <v>144.0</v>
      </c>
      <c r="G15" s="297">
        <v>47.0</v>
      </c>
      <c r="H15" s="298" t="s">
        <v>131</v>
      </c>
      <c r="I15" s="130">
        <v>2.0</v>
      </c>
      <c r="J15" s="299">
        <v>44409.0</v>
      </c>
      <c r="K15" s="130" t="s">
        <v>131</v>
      </c>
      <c r="L15" s="130">
        <v>1.0</v>
      </c>
      <c r="M15" s="299">
        <v>44562.0</v>
      </c>
      <c r="N15" s="130">
        <v>2.0</v>
      </c>
      <c r="O15" s="299">
        <v>44562.0</v>
      </c>
      <c r="P15" s="130" t="s">
        <v>132</v>
      </c>
      <c r="Q15" s="130"/>
      <c r="R15" s="130"/>
      <c r="S15" s="130"/>
      <c r="T15" s="130"/>
      <c r="U15" s="130"/>
      <c r="V15" s="121" t="str">
        <f t="shared" si="2"/>
        <v>Paciente ambulatorio</v>
      </c>
      <c r="W15" s="130" t="s">
        <v>183</v>
      </c>
      <c r="X15" s="130" t="s">
        <v>132</v>
      </c>
      <c r="Y15" s="130">
        <v>1.0</v>
      </c>
      <c r="Z15" s="130">
        <v>1.0</v>
      </c>
      <c r="AA15" s="130">
        <v>3.0</v>
      </c>
      <c r="AB15" s="130">
        <v>3.0</v>
      </c>
      <c r="AC15" s="130">
        <v>3.0</v>
      </c>
      <c r="AD15" s="130">
        <v>1.0</v>
      </c>
      <c r="AE15" s="130">
        <v>1.0</v>
      </c>
      <c r="AF15" s="130">
        <v>3.0</v>
      </c>
      <c r="AG15" s="130">
        <v>3.0</v>
      </c>
      <c r="AH15" s="130">
        <v>1.0</v>
      </c>
      <c r="AI15" s="130">
        <v>1.0</v>
      </c>
      <c r="AJ15" s="130">
        <v>3.0</v>
      </c>
      <c r="AK15" s="297" t="s">
        <v>215</v>
      </c>
      <c r="AL15" s="298" t="s">
        <v>132</v>
      </c>
      <c r="AM15" s="130" t="s">
        <v>132</v>
      </c>
      <c r="AN15" s="130" t="s">
        <v>132</v>
      </c>
      <c r="AO15" s="130" t="s">
        <v>131</v>
      </c>
      <c r="AP15" s="130" t="s">
        <v>132</v>
      </c>
      <c r="AQ15" s="130" t="s">
        <v>132</v>
      </c>
      <c r="AR15" s="130" t="s">
        <v>132</v>
      </c>
      <c r="AS15" s="130" t="s">
        <v>132</v>
      </c>
      <c r="AT15" s="130" t="s">
        <v>132</v>
      </c>
      <c r="AU15" s="130" t="s">
        <v>132</v>
      </c>
      <c r="AV15" s="130" t="s">
        <v>131</v>
      </c>
      <c r="AW15" s="130" t="s">
        <v>216</v>
      </c>
      <c r="AX15" s="130" t="s">
        <v>131</v>
      </c>
      <c r="AY15" s="130">
        <v>5.0</v>
      </c>
      <c r="AZ15" s="130">
        <v>1.0</v>
      </c>
      <c r="BA15" s="130"/>
      <c r="BB15" s="130" t="s">
        <v>135</v>
      </c>
      <c r="BC15" s="297">
        <v>1.0</v>
      </c>
      <c r="BD15" s="298">
        <v>1.0</v>
      </c>
      <c r="BE15" s="130">
        <v>1.0</v>
      </c>
      <c r="BF15" s="130">
        <v>1.0</v>
      </c>
      <c r="BG15" s="130">
        <v>3.0</v>
      </c>
      <c r="BH15" s="130">
        <v>2.0</v>
      </c>
      <c r="BI15" s="301" t="str">
        <f t="shared" si="3"/>
        <v>11132</v>
      </c>
      <c r="BJ15" s="130">
        <v>70.0</v>
      </c>
      <c r="BK15" s="130">
        <v>2.0</v>
      </c>
      <c r="BL15" s="130">
        <v>3.0</v>
      </c>
      <c r="BM15" s="130">
        <v>1.0</v>
      </c>
      <c r="BN15" s="130">
        <v>3.0</v>
      </c>
      <c r="BO15" s="130">
        <v>3.0</v>
      </c>
      <c r="BP15" s="130">
        <v>1.0</v>
      </c>
      <c r="BQ15" s="130">
        <v>1.0</v>
      </c>
      <c r="BR15" s="130">
        <v>3.0</v>
      </c>
      <c r="BS15" s="130">
        <v>2.0</v>
      </c>
      <c r="BT15" s="130">
        <v>5.0</v>
      </c>
      <c r="BU15" s="302">
        <f t="shared" si="4"/>
        <v>3</v>
      </c>
      <c r="BV15" s="302">
        <f t="shared" si="5"/>
        <v>1</v>
      </c>
      <c r="BW15" s="302">
        <f t="shared" si="6"/>
        <v>22</v>
      </c>
      <c r="BX15" s="302" t="str">
        <f t="shared" si="7"/>
        <v>FATIGA</v>
      </c>
      <c r="BY15" s="130">
        <v>6.0</v>
      </c>
      <c r="BZ15" s="130">
        <v>1.0</v>
      </c>
      <c r="CA15" s="130">
        <v>30.0</v>
      </c>
      <c r="CB15" s="130">
        <v>0.0</v>
      </c>
      <c r="CC15" s="130">
        <v>0.0</v>
      </c>
      <c r="CD15" s="130">
        <v>0.0</v>
      </c>
      <c r="CE15" s="130">
        <v>7.0</v>
      </c>
      <c r="CF15" s="130">
        <v>0.0</v>
      </c>
      <c r="CG15" s="130">
        <v>30.0</v>
      </c>
      <c r="CH15" s="130">
        <v>0.0</v>
      </c>
      <c r="CI15" s="130">
        <v>30.0</v>
      </c>
      <c r="CJ15" s="302">
        <f t="shared" si="26"/>
        <v>5013</v>
      </c>
      <c r="CK15" s="301">
        <f t="shared" si="9"/>
        <v>13</v>
      </c>
      <c r="CL15" s="301" t="str">
        <f>IF(#REF!&gt;3000,IF(#REF!&gt;6,"Nivel de actividad física alto"),IF(#REF!&gt;1500,IF(#REF!&gt;2,"Nivel de actividad física alto")))</f>
        <v>#REF!</v>
      </c>
      <c r="CM15" s="301" t="str">
        <f t="shared" si="10"/>
        <v>Nivel de actividad física moderado</v>
      </c>
      <c r="CN15" s="208" t="str">
        <f t="shared" si="11"/>
        <v>#REF!</v>
      </c>
      <c r="CO15" s="130">
        <v>1.0</v>
      </c>
      <c r="CP15" s="130">
        <v>40.0</v>
      </c>
      <c r="CQ15" s="223">
        <f t="shared" si="12"/>
        <v>2</v>
      </c>
      <c r="CR15" s="130">
        <v>6.0</v>
      </c>
      <c r="CS15" s="130">
        <v>0.0</v>
      </c>
      <c r="CT15" s="130">
        <v>5.0</v>
      </c>
      <c r="CU15" s="130">
        <v>3.0</v>
      </c>
      <c r="CV15" s="130">
        <v>3.0</v>
      </c>
      <c r="CW15" s="130">
        <v>3.0</v>
      </c>
      <c r="CX15" s="130">
        <v>0.0</v>
      </c>
      <c r="CY15" s="130">
        <v>0.0</v>
      </c>
      <c r="CZ15" s="130">
        <v>0.0</v>
      </c>
      <c r="DA15" s="130">
        <v>0.0</v>
      </c>
      <c r="DB15" s="130">
        <v>0.0</v>
      </c>
      <c r="DC15" s="130">
        <v>1.0</v>
      </c>
      <c r="DD15" s="130">
        <v>3.0</v>
      </c>
      <c r="DE15" s="130">
        <v>0.0</v>
      </c>
      <c r="DF15" s="130"/>
      <c r="DG15" s="303">
        <f t="shared" si="39"/>
        <v>7</v>
      </c>
      <c r="DH15" s="130">
        <v>2.0</v>
      </c>
      <c r="DI15" s="130">
        <v>0.0</v>
      </c>
      <c r="DJ15" s="130">
        <v>2.0</v>
      </c>
      <c r="DK15" s="130">
        <v>2.0</v>
      </c>
      <c r="DL15" s="302">
        <f t="shared" si="27"/>
        <v>60</v>
      </c>
      <c r="DM15" s="302">
        <f t="shared" si="28"/>
        <v>3</v>
      </c>
      <c r="DN15" s="302">
        <f t="shared" si="29"/>
        <v>1</v>
      </c>
      <c r="DO15" s="302">
        <f t="shared" si="30"/>
        <v>3</v>
      </c>
      <c r="DP15" s="302">
        <f t="shared" si="31"/>
        <v>2</v>
      </c>
      <c r="DQ15" s="302">
        <f t="shared" si="32"/>
        <v>3</v>
      </c>
      <c r="DR15" s="302">
        <f t="shared" ref="DR15:DS15" si="46">(DH15)</f>
        <v>2</v>
      </c>
      <c r="DS15" s="302">
        <f t="shared" si="46"/>
        <v>0</v>
      </c>
      <c r="DT15" s="304">
        <f t="shared" si="34"/>
        <v>14</v>
      </c>
      <c r="DU15" s="304" t="str">
        <f t="shared" si="35"/>
        <v>poor sleep quality</v>
      </c>
      <c r="DV15" s="305">
        <v>1.0</v>
      </c>
      <c r="DW15" s="305" t="s">
        <v>136</v>
      </c>
      <c r="DX15" s="305" t="s">
        <v>146</v>
      </c>
      <c r="DY15" s="305">
        <v>1.0</v>
      </c>
      <c r="DZ15" s="305" t="s">
        <v>131</v>
      </c>
      <c r="EA15" s="305" t="s">
        <v>178</v>
      </c>
      <c r="EB15" s="305"/>
      <c r="EC15" s="305" t="s">
        <v>198</v>
      </c>
      <c r="ED15" s="305" t="s">
        <v>131</v>
      </c>
      <c r="EE15" s="305" t="s">
        <v>132</v>
      </c>
      <c r="EF15" s="305" t="s">
        <v>140</v>
      </c>
      <c r="EG15" s="305">
        <f t="shared" si="36"/>
        <v>489</v>
      </c>
      <c r="EH15" s="305">
        <f t="shared" si="37"/>
        <v>489</v>
      </c>
      <c r="EI15" s="130">
        <f t="shared" si="23"/>
        <v>22.66589506</v>
      </c>
    </row>
    <row r="16" ht="15.75" customHeight="1">
      <c r="A16" s="130" t="s">
        <v>220</v>
      </c>
      <c r="B16" s="54" t="s">
        <v>175</v>
      </c>
      <c r="C16" s="296">
        <v>45054.0</v>
      </c>
      <c r="D16" s="130">
        <v>25.0</v>
      </c>
      <c r="E16" s="130" t="s">
        <v>153</v>
      </c>
      <c r="F16" s="130">
        <v>160.0</v>
      </c>
      <c r="G16" s="297">
        <v>55.0</v>
      </c>
      <c r="H16" s="298" t="s">
        <v>131</v>
      </c>
      <c r="I16" s="130">
        <v>5.0</v>
      </c>
      <c r="J16" s="299">
        <v>44927.0</v>
      </c>
      <c r="K16" s="130" t="s">
        <v>131</v>
      </c>
      <c r="L16" s="130">
        <v>1.0</v>
      </c>
      <c r="M16" s="299">
        <v>44256.0</v>
      </c>
      <c r="N16" s="130">
        <v>0.0</v>
      </c>
      <c r="O16" s="299">
        <v>44256.0</v>
      </c>
      <c r="P16" s="130" t="s">
        <v>132</v>
      </c>
      <c r="Q16" s="130"/>
      <c r="R16" s="130"/>
      <c r="S16" s="130"/>
      <c r="T16" s="130"/>
      <c r="U16" s="130"/>
      <c r="V16" s="121" t="str">
        <f t="shared" si="2"/>
        <v>Paciente ambulatorio</v>
      </c>
      <c r="W16" s="130" t="s">
        <v>183</v>
      </c>
      <c r="X16" s="130" t="s">
        <v>132</v>
      </c>
      <c r="Y16" s="130">
        <v>3.0</v>
      </c>
      <c r="Z16" s="130">
        <v>3.0</v>
      </c>
      <c r="AA16" s="130">
        <v>3.0</v>
      </c>
      <c r="AB16" s="130">
        <v>3.0</v>
      </c>
      <c r="AC16" s="130">
        <v>3.0</v>
      </c>
      <c r="AD16" s="130">
        <v>3.0</v>
      </c>
      <c r="AE16" s="130">
        <v>3.0</v>
      </c>
      <c r="AF16" s="130">
        <v>1.0</v>
      </c>
      <c r="AG16" s="130">
        <v>2.0</v>
      </c>
      <c r="AH16" s="130">
        <v>3.0</v>
      </c>
      <c r="AI16" s="130">
        <v>1.0</v>
      </c>
      <c r="AJ16" s="130">
        <v>1.0</v>
      </c>
      <c r="AK16" s="297"/>
      <c r="AL16" s="298" t="s">
        <v>132</v>
      </c>
      <c r="AM16" s="130" t="s">
        <v>132</v>
      </c>
      <c r="AN16" s="130" t="s">
        <v>132</v>
      </c>
      <c r="AO16" s="130" t="s">
        <v>132</v>
      </c>
      <c r="AP16" s="130" t="s">
        <v>132</v>
      </c>
      <c r="AQ16" s="130" t="s">
        <v>132</v>
      </c>
      <c r="AR16" s="130" t="s">
        <v>132</v>
      </c>
      <c r="AS16" s="130" t="s">
        <v>132</v>
      </c>
      <c r="AT16" s="130" t="s">
        <v>132</v>
      </c>
      <c r="AU16" s="130" t="s">
        <v>132</v>
      </c>
      <c r="AV16" s="130" t="s">
        <v>132</v>
      </c>
      <c r="AW16" s="130" t="s">
        <v>221</v>
      </c>
      <c r="AX16" s="130" t="s">
        <v>132</v>
      </c>
      <c r="AY16" s="130"/>
      <c r="AZ16" s="130"/>
      <c r="BA16" s="130"/>
      <c r="BB16" s="130" t="s">
        <v>145</v>
      </c>
      <c r="BC16" s="297"/>
      <c r="BD16" s="298">
        <v>1.0</v>
      </c>
      <c r="BE16" s="130">
        <v>1.0</v>
      </c>
      <c r="BF16" s="130">
        <v>2.0</v>
      </c>
      <c r="BG16" s="130">
        <v>1.0</v>
      </c>
      <c r="BH16" s="130">
        <v>1.0</v>
      </c>
      <c r="BI16" s="301" t="str">
        <f t="shared" si="3"/>
        <v>11211</v>
      </c>
      <c r="BJ16" s="130">
        <v>55.0</v>
      </c>
      <c r="BK16" s="130">
        <v>1.0</v>
      </c>
      <c r="BL16" s="130">
        <v>1.0</v>
      </c>
      <c r="BM16" s="130">
        <v>1.0</v>
      </c>
      <c r="BN16" s="130">
        <v>5.0</v>
      </c>
      <c r="BO16" s="130">
        <v>1.0</v>
      </c>
      <c r="BP16" s="130">
        <v>1.0</v>
      </c>
      <c r="BQ16" s="130">
        <v>4.0</v>
      </c>
      <c r="BR16" s="130">
        <v>1.0</v>
      </c>
      <c r="BS16" s="130">
        <v>3.0</v>
      </c>
      <c r="BT16" s="130">
        <v>1.0</v>
      </c>
      <c r="BU16" s="302">
        <f t="shared" si="4"/>
        <v>1</v>
      </c>
      <c r="BV16" s="302">
        <f t="shared" si="5"/>
        <v>5</v>
      </c>
      <c r="BW16" s="302">
        <f t="shared" si="6"/>
        <v>19</v>
      </c>
      <c r="BX16" s="302" t="str">
        <f t="shared" si="7"/>
        <v>NO HAY FATIGA</v>
      </c>
      <c r="BY16" s="130">
        <v>3.0</v>
      </c>
      <c r="BZ16" s="130">
        <v>1.0</v>
      </c>
      <c r="CA16" s="130">
        <v>15.0</v>
      </c>
      <c r="CB16" s="130">
        <v>1.0</v>
      </c>
      <c r="CC16" s="130">
        <v>0.0</v>
      </c>
      <c r="CD16" s="130">
        <v>30.0</v>
      </c>
      <c r="CE16" s="130">
        <v>7.0</v>
      </c>
      <c r="CF16" s="130">
        <v>0.0</v>
      </c>
      <c r="CG16" s="130">
        <v>15.0</v>
      </c>
      <c r="CH16" s="130">
        <v>10.0</v>
      </c>
      <c r="CI16" s="130">
        <v>0.0</v>
      </c>
      <c r="CJ16" s="302">
        <f t="shared" si="26"/>
        <v>2266.5</v>
      </c>
      <c r="CK16" s="301">
        <f t="shared" si="9"/>
        <v>11</v>
      </c>
      <c r="CL16" s="301" t="str">
        <f>IF(CJ17&gt;3000,IF(CK17&gt;6,"Nivel de actividad física alto"),IF(CJ17&gt;1500,IF(BY17&gt;2,"Nivel de actividad física alto")))</f>
        <v>Nivel de actividad física alto</v>
      </c>
      <c r="CM16" s="301" t="str">
        <f t="shared" si="10"/>
        <v>Nivel de actividad física moderado</v>
      </c>
      <c r="CN16" s="208" t="str">
        <f t="shared" si="11"/>
        <v>Nivel de actividad física alto</v>
      </c>
      <c r="CO16" s="308">
        <v>0.9375</v>
      </c>
      <c r="CP16" s="130">
        <v>20.0</v>
      </c>
      <c r="CQ16" s="223">
        <f t="shared" si="12"/>
        <v>1</v>
      </c>
      <c r="CR16" s="130">
        <v>7.0</v>
      </c>
      <c r="CS16" s="130">
        <v>0.0</v>
      </c>
      <c r="CT16" s="130">
        <v>8.5</v>
      </c>
      <c r="CU16" s="130">
        <v>7.0</v>
      </c>
      <c r="CV16" s="130">
        <v>0.0</v>
      </c>
      <c r="CW16" s="130">
        <v>0.0</v>
      </c>
      <c r="CX16" s="130">
        <v>0.0</v>
      </c>
      <c r="CY16" s="130">
        <v>0.0</v>
      </c>
      <c r="CZ16" s="130">
        <v>0.0</v>
      </c>
      <c r="DA16" s="130">
        <v>0.0</v>
      </c>
      <c r="DB16" s="130">
        <v>0.0</v>
      </c>
      <c r="DC16" s="130">
        <v>0.0</v>
      </c>
      <c r="DD16" s="130">
        <v>0.0</v>
      </c>
      <c r="DE16" s="130">
        <v>0.0</v>
      </c>
      <c r="DF16" s="130"/>
      <c r="DG16" s="303">
        <f t="shared" si="39"/>
        <v>0</v>
      </c>
      <c r="DH16" s="130">
        <v>1.0</v>
      </c>
      <c r="DI16" s="130">
        <v>0.0</v>
      </c>
      <c r="DJ16" s="130">
        <v>0.0</v>
      </c>
      <c r="DK16" s="130">
        <v>0.0</v>
      </c>
      <c r="DL16" s="302">
        <f t="shared" si="27"/>
        <v>82.35294118</v>
      </c>
      <c r="DM16" s="302">
        <f t="shared" si="28"/>
        <v>0</v>
      </c>
      <c r="DN16" s="302">
        <f t="shared" si="29"/>
        <v>0</v>
      </c>
      <c r="DO16" s="302">
        <f t="shared" si="30"/>
        <v>1</v>
      </c>
      <c r="DP16" s="302">
        <f t="shared" si="31"/>
        <v>0</v>
      </c>
      <c r="DQ16" s="302">
        <f t="shared" si="32"/>
        <v>1</v>
      </c>
      <c r="DR16" s="302">
        <f t="shared" ref="DR16:DS16" si="47">(DH16)</f>
        <v>1</v>
      </c>
      <c r="DS16" s="302">
        <f t="shared" si="47"/>
        <v>0</v>
      </c>
      <c r="DT16" s="304">
        <f t="shared" si="34"/>
        <v>3</v>
      </c>
      <c r="DU16" s="304" t="str">
        <f t="shared" si="35"/>
        <v>good sleep quality</v>
      </c>
      <c r="DV16" s="305">
        <v>1.0</v>
      </c>
      <c r="DW16" s="305" t="s">
        <v>197</v>
      </c>
      <c r="DX16" s="305" t="s">
        <v>137</v>
      </c>
      <c r="DY16" s="305">
        <v>1.0</v>
      </c>
      <c r="DZ16" s="305" t="s">
        <v>131</v>
      </c>
      <c r="EA16" s="305" t="s">
        <v>167</v>
      </c>
      <c r="EB16" s="305"/>
      <c r="EC16" s="305" t="s">
        <v>222</v>
      </c>
      <c r="ED16" s="305" t="s">
        <v>131</v>
      </c>
      <c r="EE16" s="305"/>
      <c r="EF16" s="305" t="s">
        <v>141</v>
      </c>
      <c r="EG16" s="305">
        <f t="shared" si="36"/>
        <v>798</v>
      </c>
      <c r="EH16" s="305">
        <f t="shared" si="37"/>
        <v>798</v>
      </c>
      <c r="EI16" s="130">
        <f t="shared" si="23"/>
        <v>21.484375</v>
      </c>
    </row>
    <row r="17" ht="15.75" customHeight="1">
      <c r="A17" s="130" t="s">
        <v>223</v>
      </c>
      <c r="B17" s="54" t="s">
        <v>175</v>
      </c>
      <c r="C17" s="296">
        <v>45054.0</v>
      </c>
      <c r="D17" s="130">
        <v>47.0</v>
      </c>
      <c r="E17" s="130" t="s">
        <v>130</v>
      </c>
      <c r="F17" s="130">
        <v>170.0</v>
      </c>
      <c r="G17" s="297">
        <v>88.0</v>
      </c>
      <c r="H17" s="298" t="s">
        <v>131</v>
      </c>
      <c r="I17" s="130">
        <v>4.0</v>
      </c>
      <c r="J17" s="299">
        <v>44817.0</v>
      </c>
      <c r="K17" s="130" t="s">
        <v>131</v>
      </c>
      <c r="L17" s="130">
        <v>2.0</v>
      </c>
      <c r="M17" s="299">
        <v>44294.0</v>
      </c>
      <c r="N17" s="130">
        <v>0.0</v>
      </c>
      <c r="O17" s="299">
        <v>44682.0</v>
      </c>
      <c r="P17" s="130" t="s">
        <v>131</v>
      </c>
      <c r="Q17" s="306">
        <v>44294.0</v>
      </c>
      <c r="R17" s="306">
        <v>44341.0</v>
      </c>
      <c r="S17" s="130" t="s">
        <v>132</v>
      </c>
      <c r="T17" s="130"/>
      <c r="U17" s="130" t="s">
        <v>132</v>
      </c>
      <c r="V17" s="121" t="str">
        <f t="shared" si="2"/>
        <v>Internación moderada</v>
      </c>
      <c r="W17" s="130" t="s">
        <v>183</v>
      </c>
      <c r="X17" s="130" t="s">
        <v>132</v>
      </c>
      <c r="Y17" s="130">
        <v>3.0</v>
      </c>
      <c r="Z17" s="130">
        <v>1.0</v>
      </c>
      <c r="AA17" s="130">
        <v>3.0</v>
      </c>
      <c r="AB17" s="130">
        <v>3.0</v>
      </c>
      <c r="AC17" s="130">
        <v>1.0</v>
      </c>
      <c r="AD17" s="130">
        <v>1.0</v>
      </c>
      <c r="AE17" s="130">
        <v>1.0</v>
      </c>
      <c r="AF17" s="130">
        <v>1.0</v>
      </c>
      <c r="AG17" s="130">
        <v>1.0</v>
      </c>
      <c r="AH17" s="130">
        <v>1.0</v>
      </c>
      <c r="AI17" s="130">
        <v>1.0</v>
      </c>
      <c r="AJ17" s="130">
        <v>1.0</v>
      </c>
      <c r="AK17" s="297" t="s">
        <v>224</v>
      </c>
      <c r="AL17" s="298" t="s">
        <v>132</v>
      </c>
      <c r="AM17" s="130" t="s">
        <v>132</v>
      </c>
      <c r="AN17" s="130" t="s">
        <v>132</v>
      </c>
      <c r="AO17" s="130"/>
      <c r="AP17" s="130" t="s">
        <v>132</v>
      </c>
      <c r="AQ17" s="130" t="s">
        <v>132</v>
      </c>
      <c r="AR17" s="130" t="s">
        <v>132</v>
      </c>
      <c r="AS17" s="130" t="s">
        <v>132</v>
      </c>
      <c r="AT17" s="130" t="s">
        <v>132</v>
      </c>
      <c r="AU17" s="130" t="s">
        <v>132</v>
      </c>
      <c r="AV17" s="130" t="s">
        <v>131</v>
      </c>
      <c r="AW17" s="130" t="s">
        <v>225</v>
      </c>
      <c r="AX17" s="130" t="s">
        <v>132</v>
      </c>
      <c r="AY17" s="130"/>
      <c r="AZ17" s="130"/>
      <c r="BA17" s="130"/>
      <c r="BB17" s="130" t="s">
        <v>145</v>
      </c>
      <c r="BC17" s="297"/>
      <c r="BD17" s="298">
        <v>1.0</v>
      </c>
      <c r="BE17" s="130">
        <v>1.0</v>
      </c>
      <c r="BF17" s="130">
        <v>1.0</v>
      </c>
      <c r="BG17" s="130">
        <v>3.0</v>
      </c>
      <c r="BH17" s="130">
        <v>3.0</v>
      </c>
      <c r="BI17" s="301" t="str">
        <f t="shared" si="3"/>
        <v>11133</v>
      </c>
      <c r="BJ17" s="130">
        <v>70.0</v>
      </c>
      <c r="BK17" s="130">
        <v>2.0</v>
      </c>
      <c r="BL17" s="130">
        <v>1.0</v>
      </c>
      <c r="BM17" s="130">
        <v>1.0</v>
      </c>
      <c r="BN17" s="130">
        <v>5.0</v>
      </c>
      <c r="BO17" s="130">
        <v>2.0</v>
      </c>
      <c r="BP17" s="130">
        <v>4.0</v>
      </c>
      <c r="BQ17" s="130">
        <v>2.0</v>
      </c>
      <c r="BR17" s="130">
        <v>2.0</v>
      </c>
      <c r="BS17" s="130">
        <v>2.0</v>
      </c>
      <c r="BT17" s="130">
        <v>2.0</v>
      </c>
      <c r="BU17" s="302">
        <f t="shared" si="4"/>
        <v>1</v>
      </c>
      <c r="BV17" s="302">
        <f t="shared" si="5"/>
        <v>4</v>
      </c>
      <c r="BW17" s="302">
        <f t="shared" si="6"/>
        <v>22</v>
      </c>
      <c r="BX17" s="302" t="str">
        <f t="shared" si="7"/>
        <v>FATIGA</v>
      </c>
      <c r="BY17" s="130">
        <v>3.0</v>
      </c>
      <c r="BZ17" s="130">
        <v>1.0</v>
      </c>
      <c r="CA17" s="130">
        <v>0.0</v>
      </c>
      <c r="CB17" s="130">
        <v>6.0</v>
      </c>
      <c r="CC17" s="130">
        <v>4.0</v>
      </c>
      <c r="CD17" s="130">
        <v>0.0</v>
      </c>
      <c r="CE17" s="130">
        <v>6.0</v>
      </c>
      <c r="CF17" s="130">
        <v>0.0</v>
      </c>
      <c r="CG17" s="130">
        <v>40.0</v>
      </c>
      <c r="CH17" s="130">
        <v>2.0</v>
      </c>
      <c r="CI17" s="130">
        <v>0.0</v>
      </c>
      <c r="CJ17" s="302">
        <f t="shared" si="26"/>
        <v>7992</v>
      </c>
      <c r="CK17" s="301">
        <f t="shared" si="9"/>
        <v>15</v>
      </c>
      <c r="CL17" s="301" t="str">
        <f>IF(#REF!&gt;3000,IF(#REF!&gt;6,"Nivel de actividad física alto"),IF(#REF!&gt;1500,IF(#REF!&gt;2,"Nivel de actividad física alto")))</f>
        <v>#REF!</v>
      </c>
      <c r="CM17" s="301" t="str">
        <f t="shared" si="10"/>
        <v>Nivel de actividad física moderado</v>
      </c>
      <c r="CN17" s="208" t="str">
        <f t="shared" si="11"/>
        <v>#REF!</v>
      </c>
      <c r="CO17" s="308">
        <v>0.9791666666666666</v>
      </c>
      <c r="CP17" s="130">
        <v>20.0</v>
      </c>
      <c r="CQ17" s="223">
        <f t="shared" si="12"/>
        <v>1</v>
      </c>
      <c r="CR17" s="130">
        <v>6.0</v>
      </c>
      <c r="CS17" s="130">
        <v>0.0</v>
      </c>
      <c r="CT17" s="130">
        <v>6.5</v>
      </c>
      <c r="CU17" s="130">
        <v>5.0</v>
      </c>
      <c r="CV17" s="130">
        <v>3.0</v>
      </c>
      <c r="CW17" s="130">
        <v>3.0</v>
      </c>
      <c r="CX17" s="130">
        <v>0.0</v>
      </c>
      <c r="CY17" s="130">
        <v>2.0</v>
      </c>
      <c r="CZ17" s="130">
        <v>0.0</v>
      </c>
      <c r="DA17" s="130">
        <v>0.0</v>
      </c>
      <c r="DB17" s="130">
        <v>2.0</v>
      </c>
      <c r="DC17" s="130">
        <v>1.0</v>
      </c>
      <c r="DD17" s="130">
        <v>3.0</v>
      </c>
      <c r="DE17" s="130">
        <v>0.0</v>
      </c>
      <c r="DF17" s="130"/>
      <c r="DG17" s="303">
        <f t="shared" si="39"/>
        <v>11</v>
      </c>
      <c r="DH17" s="130">
        <v>2.0</v>
      </c>
      <c r="DI17" s="130">
        <v>0.0</v>
      </c>
      <c r="DJ17" s="130">
        <v>3.0</v>
      </c>
      <c r="DK17" s="130">
        <v>2.0</v>
      </c>
      <c r="DL17" s="302">
        <f t="shared" si="27"/>
        <v>76.92307692</v>
      </c>
      <c r="DM17" s="302">
        <f t="shared" si="28"/>
        <v>2</v>
      </c>
      <c r="DN17" s="302">
        <f t="shared" si="29"/>
        <v>2</v>
      </c>
      <c r="DO17" s="302">
        <f t="shared" si="30"/>
        <v>2</v>
      </c>
      <c r="DP17" s="302">
        <f t="shared" si="31"/>
        <v>3</v>
      </c>
      <c r="DQ17" s="302">
        <f t="shared" si="32"/>
        <v>1</v>
      </c>
      <c r="DR17" s="302">
        <f t="shared" ref="DR17:DS17" si="48">(DH17)</f>
        <v>2</v>
      </c>
      <c r="DS17" s="302">
        <f t="shared" si="48"/>
        <v>0</v>
      </c>
      <c r="DT17" s="304">
        <f t="shared" si="34"/>
        <v>12</v>
      </c>
      <c r="DU17" s="304" t="str">
        <f t="shared" si="35"/>
        <v>poor sleep quality</v>
      </c>
      <c r="DV17" s="305">
        <v>1.0</v>
      </c>
      <c r="DW17" s="305" t="s">
        <v>155</v>
      </c>
      <c r="DX17" s="305" t="s">
        <v>146</v>
      </c>
      <c r="DY17" s="305">
        <v>1.0</v>
      </c>
      <c r="DZ17" s="305" t="s">
        <v>131</v>
      </c>
      <c r="EA17" s="305" t="s">
        <v>162</v>
      </c>
      <c r="EB17" s="305"/>
      <c r="EC17" s="305" t="s">
        <v>139</v>
      </c>
      <c r="ED17" s="305" t="s">
        <v>140</v>
      </c>
      <c r="EE17" s="305" t="s">
        <v>131</v>
      </c>
      <c r="EF17" s="305" t="s">
        <v>141</v>
      </c>
      <c r="EG17" s="305">
        <f t="shared" si="36"/>
        <v>760</v>
      </c>
      <c r="EH17" s="305">
        <f t="shared" si="37"/>
        <v>372</v>
      </c>
      <c r="EI17" s="130">
        <f t="shared" si="23"/>
        <v>30.44982699</v>
      </c>
    </row>
    <row r="18" ht="15.75" customHeight="1">
      <c r="A18" s="130" t="s">
        <v>231</v>
      </c>
      <c r="B18" s="54" t="s">
        <v>175</v>
      </c>
      <c r="C18" s="296">
        <v>45058.0</v>
      </c>
      <c r="D18" s="130">
        <v>59.0</v>
      </c>
      <c r="E18" s="130" t="s">
        <v>130</v>
      </c>
      <c r="F18" s="130">
        <v>160.0</v>
      </c>
      <c r="G18" s="297">
        <v>108.0</v>
      </c>
      <c r="H18" s="298" t="s">
        <v>131</v>
      </c>
      <c r="I18" s="130">
        <v>5.0</v>
      </c>
      <c r="J18" s="299">
        <v>44896.0</v>
      </c>
      <c r="K18" s="130" t="s">
        <v>131</v>
      </c>
      <c r="L18" s="130">
        <v>2.0</v>
      </c>
      <c r="M18" s="299">
        <v>44317.0</v>
      </c>
      <c r="N18" s="130">
        <v>1.0</v>
      </c>
      <c r="O18" s="299">
        <v>44713.0</v>
      </c>
      <c r="P18" s="130" t="s">
        <v>132</v>
      </c>
      <c r="Q18" s="130"/>
      <c r="R18" s="130"/>
      <c r="S18" s="130"/>
      <c r="T18" s="130"/>
      <c r="U18" s="130"/>
      <c r="V18" s="121" t="str">
        <f t="shared" si="2"/>
        <v>Paciente ambulatorio</v>
      </c>
      <c r="W18" s="130" t="s">
        <v>176</v>
      </c>
      <c r="X18" s="130" t="s">
        <v>132</v>
      </c>
      <c r="Y18" s="130">
        <v>1.0</v>
      </c>
      <c r="Z18" s="130">
        <v>1.0</v>
      </c>
      <c r="AA18" s="130">
        <v>3.0</v>
      </c>
      <c r="AB18" s="130">
        <v>3.0</v>
      </c>
      <c r="AC18" s="130">
        <v>3.0</v>
      </c>
      <c r="AD18" s="130">
        <v>1.0</v>
      </c>
      <c r="AE18" s="130">
        <v>1.0</v>
      </c>
      <c r="AF18" s="130">
        <v>1.0</v>
      </c>
      <c r="AG18" s="130">
        <v>3.0</v>
      </c>
      <c r="AH18" s="130">
        <v>3.0</v>
      </c>
      <c r="AI18" s="130">
        <v>1.0</v>
      </c>
      <c r="AJ18" s="130">
        <v>1.0</v>
      </c>
      <c r="AK18" s="297"/>
      <c r="AL18" s="298" t="s">
        <v>131</v>
      </c>
      <c r="AM18" s="130" t="s">
        <v>132</v>
      </c>
      <c r="AN18" s="130" t="s">
        <v>132</v>
      </c>
      <c r="AO18" s="130" t="s">
        <v>131</v>
      </c>
      <c r="AP18" s="130" t="s">
        <v>132</v>
      </c>
      <c r="AQ18" s="130" t="s">
        <v>132</v>
      </c>
      <c r="AR18" s="130" t="s">
        <v>132</v>
      </c>
      <c r="AS18" s="130" t="s">
        <v>131</v>
      </c>
      <c r="AT18" s="130" t="s">
        <v>132</v>
      </c>
      <c r="AU18" s="130" t="s">
        <v>132</v>
      </c>
      <c r="AV18" s="130" t="s">
        <v>131</v>
      </c>
      <c r="AW18" s="130" t="s">
        <v>232</v>
      </c>
      <c r="AX18" s="130" t="s">
        <v>132</v>
      </c>
      <c r="AY18" s="130"/>
      <c r="AZ18" s="130"/>
      <c r="BA18" s="130"/>
      <c r="BB18" s="130" t="s">
        <v>135</v>
      </c>
      <c r="BC18" s="297">
        <v>2.0</v>
      </c>
      <c r="BD18" s="298">
        <v>2.0</v>
      </c>
      <c r="BE18" s="130">
        <v>1.0</v>
      </c>
      <c r="BF18" s="130">
        <v>2.0</v>
      </c>
      <c r="BG18" s="130">
        <v>2.0</v>
      </c>
      <c r="BH18" s="130">
        <v>3.0</v>
      </c>
      <c r="BI18" s="301" t="str">
        <f t="shared" si="3"/>
        <v>21223</v>
      </c>
      <c r="BJ18" s="130">
        <v>60.0</v>
      </c>
      <c r="BK18" s="130">
        <v>4.0</v>
      </c>
      <c r="BL18" s="130">
        <v>4.0</v>
      </c>
      <c r="BM18" s="130">
        <v>5.0</v>
      </c>
      <c r="BN18" s="130">
        <v>3.0</v>
      </c>
      <c r="BO18" s="130">
        <v>3.0</v>
      </c>
      <c r="BP18" s="130">
        <v>3.0</v>
      </c>
      <c r="BQ18" s="130">
        <v>4.0</v>
      </c>
      <c r="BR18" s="130">
        <v>4.0</v>
      </c>
      <c r="BS18" s="130">
        <v>4.0</v>
      </c>
      <c r="BT18" s="130">
        <v>3.0</v>
      </c>
      <c r="BU18" s="302">
        <f t="shared" si="4"/>
        <v>3</v>
      </c>
      <c r="BV18" s="302">
        <f t="shared" si="5"/>
        <v>3</v>
      </c>
      <c r="BW18" s="302">
        <f t="shared" si="6"/>
        <v>37</v>
      </c>
      <c r="BX18" s="302" t="str">
        <f t="shared" si="7"/>
        <v>FATIGA EXTREMA</v>
      </c>
      <c r="BY18" s="130">
        <v>0.0</v>
      </c>
      <c r="BZ18" s="130">
        <v>0.0</v>
      </c>
      <c r="CA18" s="130">
        <v>0.0</v>
      </c>
      <c r="CB18" s="130">
        <v>1.0</v>
      </c>
      <c r="CC18" s="130">
        <v>1.0</v>
      </c>
      <c r="CD18" s="130">
        <v>0.0</v>
      </c>
      <c r="CE18" s="130">
        <v>5.0</v>
      </c>
      <c r="CF18" s="130">
        <v>0.0</v>
      </c>
      <c r="CG18" s="130">
        <v>30.0</v>
      </c>
      <c r="CH18" s="130">
        <v>12.0</v>
      </c>
      <c r="CI18" s="130">
        <v>0.0</v>
      </c>
      <c r="CJ18" s="302">
        <f t="shared" si="26"/>
        <v>735</v>
      </c>
      <c r="CK18" s="301">
        <f t="shared" si="9"/>
        <v>6</v>
      </c>
      <c r="CL18" s="301" t="b">
        <f t="shared" ref="CL18:CL25" si="50">IF(CJ19&gt;3000,IF(CK19&gt;6,"Nivel de actividad física alto"),IF(CJ19&gt;1500,IF(BY19&gt;2,"Nivel de actividad física alto")))</f>
        <v>0</v>
      </c>
      <c r="CM18" s="301" t="str">
        <f t="shared" si="10"/>
        <v>Nivel de actividad física moderado</v>
      </c>
      <c r="CN18" s="208" t="str">
        <f t="shared" si="11"/>
        <v>Nivel de actividad física moderado</v>
      </c>
      <c r="CO18" s="308">
        <v>0.9166666666666666</v>
      </c>
      <c r="CP18" s="130">
        <v>5.0</v>
      </c>
      <c r="CQ18" s="223">
        <f t="shared" si="12"/>
        <v>0</v>
      </c>
      <c r="CR18" s="130">
        <v>7.0</v>
      </c>
      <c r="CS18" s="130">
        <v>0.0</v>
      </c>
      <c r="CT18" s="130">
        <v>9.0</v>
      </c>
      <c r="CU18" s="130">
        <v>6.5</v>
      </c>
      <c r="CV18" s="130">
        <v>0.0</v>
      </c>
      <c r="CW18" s="130">
        <v>3.0</v>
      </c>
      <c r="CX18" s="130">
        <v>3.0</v>
      </c>
      <c r="CY18" s="130">
        <v>0.0</v>
      </c>
      <c r="CZ18" s="130">
        <v>0.0</v>
      </c>
      <c r="DA18" s="130">
        <v>1.0</v>
      </c>
      <c r="DB18" s="130">
        <v>1.0</v>
      </c>
      <c r="DC18" s="130">
        <v>0.0</v>
      </c>
      <c r="DD18" s="130">
        <v>0.0</v>
      </c>
      <c r="DE18" s="130">
        <v>0.0</v>
      </c>
      <c r="DF18" s="130"/>
      <c r="DG18" s="303">
        <f t="shared" si="39"/>
        <v>8</v>
      </c>
      <c r="DH18" s="130">
        <v>1.0</v>
      </c>
      <c r="DI18" s="130">
        <v>0.0</v>
      </c>
      <c r="DJ18" s="130">
        <v>3.0</v>
      </c>
      <c r="DK18" s="130">
        <v>2.0</v>
      </c>
      <c r="DL18" s="302">
        <f t="shared" si="27"/>
        <v>72.22222222</v>
      </c>
      <c r="DM18" s="302">
        <f t="shared" si="28"/>
        <v>1</v>
      </c>
      <c r="DN18" s="302">
        <f t="shared" si="29"/>
        <v>1</v>
      </c>
      <c r="DO18" s="302">
        <f t="shared" si="30"/>
        <v>0</v>
      </c>
      <c r="DP18" s="302">
        <f t="shared" si="31"/>
        <v>3</v>
      </c>
      <c r="DQ18" s="302">
        <f t="shared" si="32"/>
        <v>2</v>
      </c>
      <c r="DR18" s="302">
        <f t="shared" ref="DR18:DS18" si="49">(DH18)</f>
        <v>1</v>
      </c>
      <c r="DS18" s="302">
        <f t="shared" si="49"/>
        <v>0</v>
      </c>
      <c r="DT18" s="304">
        <f t="shared" si="34"/>
        <v>8</v>
      </c>
      <c r="DU18" s="304" t="str">
        <f t="shared" si="35"/>
        <v>poor sleep quality</v>
      </c>
      <c r="DV18" s="305">
        <v>1.0</v>
      </c>
      <c r="DW18" s="305" t="s">
        <v>136</v>
      </c>
      <c r="DX18" s="305" t="s">
        <v>146</v>
      </c>
      <c r="DY18" s="305">
        <v>1.0</v>
      </c>
      <c r="DZ18" s="305" t="s">
        <v>131</v>
      </c>
      <c r="EA18" s="305" t="s">
        <v>147</v>
      </c>
      <c r="EB18" s="305"/>
      <c r="EC18" s="305" t="s">
        <v>139</v>
      </c>
      <c r="ED18" s="305"/>
      <c r="EE18" s="305" t="s">
        <v>132</v>
      </c>
      <c r="EF18" s="305" t="s">
        <v>141</v>
      </c>
      <c r="EG18" s="305">
        <f t="shared" si="36"/>
        <v>741</v>
      </c>
      <c r="EH18" s="305">
        <f t="shared" si="37"/>
        <v>345</v>
      </c>
      <c r="EI18" s="130">
        <f t="shared" si="23"/>
        <v>42.1875</v>
      </c>
    </row>
    <row r="19" ht="15.75" customHeight="1">
      <c r="A19" s="130" t="s">
        <v>233</v>
      </c>
      <c r="B19" s="54" t="s">
        <v>175</v>
      </c>
      <c r="C19" s="296">
        <v>45061.0</v>
      </c>
      <c r="D19" s="130">
        <v>53.0</v>
      </c>
      <c r="E19" s="130" t="s">
        <v>130</v>
      </c>
      <c r="F19" s="130">
        <v>160.0</v>
      </c>
      <c r="G19" s="297">
        <v>73.0</v>
      </c>
      <c r="H19" s="298" t="s">
        <v>131</v>
      </c>
      <c r="I19" s="130">
        <v>4.0</v>
      </c>
      <c r="J19" s="299">
        <v>44743.0</v>
      </c>
      <c r="K19" s="130" t="s">
        <v>131</v>
      </c>
      <c r="L19" s="130">
        <v>1.0</v>
      </c>
      <c r="M19" s="299">
        <v>44287.0</v>
      </c>
      <c r="N19" s="130"/>
      <c r="O19" s="299">
        <v>44287.0</v>
      </c>
      <c r="P19" s="130" t="s">
        <v>132</v>
      </c>
      <c r="Q19" s="130"/>
      <c r="R19" s="130"/>
      <c r="S19" s="130"/>
      <c r="T19" s="130"/>
      <c r="U19" s="130"/>
      <c r="V19" s="121" t="str">
        <f t="shared" si="2"/>
        <v>Paciente ambulatorio</v>
      </c>
      <c r="W19" s="130" t="s">
        <v>176</v>
      </c>
      <c r="X19" s="130" t="s">
        <v>132</v>
      </c>
      <c r="Y19" s="130">
        <v>1.0</v>
      </c>
      <c r="Z19" s="130">
        <v>1.0</v>
      </c>
      <c r="AA19" s="130">
        <v>1.0</v>
      </c>
      <c r="AB19" s="130">
        <v>3.0</v>
      </c>
      <c r="AC19" s="130">
        <v>1.0</v>
      </c>
      <c r="AD19" s="130">
        <v>3.0</v>
      </c>
      <c r="AE19" s="130">
        <v>1.0</v>
      </c>
      <c r="AF19" s="130">
        <v>1.0</v>
      </c>
      <c r="AG19" s="130">
        <v>3.0</v>
      </c>
      <c r="AH19" s="130">
        <v>3.0</v>
      </c>
      <c r="AI19" s="130">
        <v>1.0</v>
      </c>
      <c r="AJ19" s="130">
        <v>1.0</v>
      </c>
      <c r="AK19" s="297"/>
      <c r="AL19" s="298" t="s">
        <v>131</v>
      </c>
      <c r="AM19" s="130" t="s">
        <v>132</v>
      </c>
      <c r="AN19" s="130" t="s">
        <v>132</v>
      </c>
      <c r="AO19" s="130" t="s">
        <v>132</v>
      </c>
      <c r="AP19" s="130" t="s">
        <v>132</v>
      </c>
      <c r="AQ19" s="130" t="s">
        <v>132</v>
      </c>
      <c r="AR19" s="130" t="s">
        <v>132</v>
      </c>
      <c r="AS19" s="130" t="s">
        <v>132</v>
      </c>
      <c r="AT19" s="130" t="s">
        <v>132</v>
      </c>
      <c r="AU19" s="130" t="s">
        <v>132</v>
      </c>
      <c r="AV19" s="130" t="s">
        <v>132</v>
      </c>
      <c r="AW19" s="130"/>
      <c r="AX19" s="130" t="s">
        <v>165</v>
      </c>
      <c r="AY19" s="130"/>
      <c r="AZ19" s="130"/>
      <c r="BA19" s="130">
        <v>2.0</v>
      </c>
      <c r="BB19" s="130" t="s">
        <v>135</v>
      </c>
      <c r="BC19" s="297">
        <v>2.0</v>
      </c>
      <c r="BD19" s="298">
        <v>2.0</v>
      </c>
      <c r="BE19" s="130">
        <v>1.0</v>
      </c>
      <c r="BF19" s="130">
        <v>2.0</v>
      </c>
      <c r="BG19" s="130">
        <v>2.0</v>
      </c>
      <c r="BH19" s="130">
        <v>3.0</v>
      </c>
      <c r="BI19" s="301" t="str">
        <f t="shared" si="3"/>
        <v>21223</v>
      </c>
      <c r="BJ19" s="130">
        <v>40.0</v>
      </c>
      <c r="BK19" s="130">
        <v>5.0</v>
      </c>
      <c r="BL19" s="130">
        <v>5.0</v>
      </c>
      <c r="BM19" s="130">
        <v>5.0</v>
      </c>
      <c r="BN19" s="130">
        <v>3.0</v>
      </c>
      <c r="BO19" s="130">
        <v>4.0</v>
      </c>
      <c r="BP19" s="130">
        <v>5.0</v>
      </c>
      <c r="BQ19" s="130">
        <v>1.0</v>
      </c>
      <c r="BR19" s="130">
        <v>2.0</v>
      </c>
      <c r="BS19" s="130">
        <v>4.0</v>
      </c>
      <c r="BT19" s="130">
        <v>2.0</v>
      </c>
      <c r="BU19" s="302">
        <f t="shared" si="4"/>
        <v>3</v>
      </c>
      <c r="BV19" s="302">
        <f t="shared" si="5"/>
        <v>4</v>
      </c>
      <c r="BW19" s="302">
        <f t="shared" si="6"/>
        <v>37</v>
      </c>
      <c r="BX19" s="302" t="str">
        <f t="shared" si="7"/>
        <v>FATIGA EXTREMA</v>
      </c>
      <c r="BY19" s="130">
        <v>0.0</v>
      </c>
      <c r="BZ19" s="130">
        <v>0.0</v>
      </c>
      <c r="CA19" s="130">
        <v>0.0</v>
      </c>
      <c r="CB19" s="130">
        <v>0.0</v>
      </c>
      <c r="CC19" s="130">
        <v>0.0</v>
      </c>
      <c r="CD19" s="130">
        <v>0.0</v>
      </c>
      <c r="CE19" s="130">
        <v>0.0</v>
      </c>
      <c r="CF19" s="130">
        <v>0.0</v>
      </c>
      <c r="CG19" s="130">
        <v>0.0</v>
      </c>
      <c r="CH19" s="130">
        <v>7.0</v>
      </c>
      <c r="CI19" s="130">
        <v>0.0</v>
      </c>
      <c r="CJ19" s="302">
        <f t="shared" si="26"/>
        <v>0</v>
      </c>
      <c r="CK19" s="301">
        <f t="shared" si="9"/>
        <v>0</v>
      </c>
      <c r="CL19" s="301" t="b">
        <f t="shared" si="50"/>
        <v>0</v>
      </c>
      <c r="CM19" s="301" t="b">
        <f t="shared" si="10"/>
        <v>0</v>
      </c>
      <c r="CN19" s="208" t="str">
        <f t="shared" si="11"/>
        <v>Nivel de actividad física bajo</v>
      </c>
      <c r="CO19" s="130">
        <v>6.0</v>
      </c>
      <c r="CP19" s="130">
        <v>30.0</v>
      </c>
      <c r="CQ19" s="223">
        <f t="shared" si="12"/>
        <v>1</v>
      </c>
      <c r="CR19" s="130">
        <v>12.0</v>
      </c>
      <c r="CS19" s="130">
        <v>0.0</v>
      </c>
      <c r="CT19" s="130">
        <v>5.5</v>
      </c>
      <c r="CU19" s="309">
        <v>45385.0</v>
      </c>
      <c r="CV19" s="130">
        <v>3.0</v>
      </c>
      <c r="CW19" s="130">
        <v>1.0</v>
      </c>
      <c r="CX19" s="130">
        <v>2.0</v>
      </c>
      <c r="CY19" s="130">
        <v>3.0</v>
      </c>
      <c r="CZ19" s="130">
        <v>1.0</v>
      </c>
      <c r="DA19" s="130">
        <v>0.0</v>
      </c>
      <c r="DB19" s="130">
        <v>3.0</v>
      </c>
      <c r="DC19" s="130">
        <v>1.0</v>
      </c>
      <c r="DD19" s="130">
        <v>0.0</v>
      </c>
      <c r="DE19" s="130">
        <v>0.0</v>
      </c>
      <c r="DF19" s="130"/>
      <c r="DG19" s="303">
        <f t="shared" si="39"/>
        <v>11</v>
      </c>
      <c r="DH19" s="130">
        <v>2.0</v>
      </c>
      <c r="DI19" s="130">
        <v>0.0</v>
      </c>
      <c r="DJ19" s="130">
        <v>0.0</v>
      </c>
      <c r="DK19" s="130">
        <v>1.0</v>
      </c>
      <c r="DL19" s="310">
        <f t="shared" si="27"/>
        <v>825181.8182</v>
      </c>
      <c r="DM19" s="302">
        <f t="shared" si="28"/>
        <v>0</v>
      </c>
      <c r="DN19" s="302">
        <f t="shared" si="29"/>
        <v>2</v>
      </c>
      <c r="DO19" s="302">
        <f t="shared" si="30"/>
        <v>2</v>
      </c>
      <c r="DP19" s="302">
        <f t="shared" si="31"/>
        <v>1</v>
      </c>
      <c r="DQ19" s="302">
        <f t="shared" si="32"/>
        <v>0</v>
      </c>
      <c r="DR19" s="302">
        <f t="shared" ref="DR19:DS19" si="51">(DH19)</f>
        <v>2</v>
      </c>
      <c r="DS19" s="302">
        <f t="shared" si="51"/>
        <v>0</v>
      </c>
      <c r="DT19" s="304">
        <f t="shared" si="34"/>
        <v>7</v>
      </c>
      <c r="DU19" s="304" t="str">
        <f t="shared" si="35"/>
        <v>poor sleep quality</v>
      </c>
      <c r="DV19" s="305">
        <v>2.0</v>
      </c>
      <c r="DW19" s="305" t="s">
        <v>234</v>
      </c>
      <c r="DX19" s="305" t="s">
        <v>146</v>
      </c>
      <c r="DY19" s="305" t="s">
        <v>156</v>
      </c>
      <c r="DZ19" s="305" t="s">
        <v>131</v>
      </c>
      <c r="EA19" s="305" t="s">
        <v>167</v>
      </c>
      <c r="EB19" s="305"/>
      <c r="EC19" s="305" t="s">
        <v>172</v>
      </c>
      <c r="ED19" s="305"/>
      <c r="EE19" s="305"/>
      <c r="EF19" s="305" t="s">
        <v>235</v>
      </c>
      <c r="EG19" s="305">
        <f t="shared" si="36"/>
        <v>774</v>
      </c>
      <c r="EH19" s="305">
        <f t="shared" si="37"/>
        <v>774</v>
      </c>
      <c r="EI19" s="130">
        <f t="shared" si="23"/>
        <v>28.515625</v>
      </c>
    </row>
    <row r="20" ht="15.75" customHeight="1">
      <c r="A20" s="130" t="s">
        <v>236</v>
      </c>
      <c r="B20" s="54" t="s">
        <v>175</v>
      </c>
      <c r="C20" s="296">
        <v>45061.0</v>
      </c>
      <c r="D20" s="130">
        <v>55.0</v>
      </c>
      <c r="E20" s="130" t="s">
        <v>130</v>
      </c>
      <c r="F20" s="130">
        <v>161.0</v>
      </c>
      <c r="G20" s="297">
        <v>70.0</v>
      </c>
      <c r="H20" s="298" t="s">
        <v>131</v>
      </c>
      <c r="I20" s="130">
        <v>2.0</v>
      </c>
      <c r="J20" s="299">
        <v>44197.0</v>
      </c>
      <c r="K20" s="130" t="s">
        <v>131</v>
      </c>
      <c r="L20" s="130">
        <v>1.0</v>
      </c>
      <c r="M20" s="299">
        <v>44378.0</v>
      </c>
      <c r="N20" s="130">
        <v>0.0</v>
      </c>
      <c r="O20" s="299">
        <v>44378.0</v>
      </c>
      <c r="P20" s="130" t="s">
        <v>132</v>
      </c>
      <c r="Q20" s="130"/>
      <c r="R20" s="130"/>
      <c r="S20" s="130"/>
      <c r="T20" s="130"/>
      <c r="U20" s="130"/>
      <c r="V20" s="121" t="str">
        <f t="shared" si="2"/>
        <v>Paciente ambulatorio</v>
      </c>
      <c r="W20" s="130" t="s">
        <v>176</v>
      </c>
      <c r="X20" s="130" t="s">
        <v>131</v>
      </c>
      <c r="Y20" s="130">
        <v>3.0</v>
      </c>
      <c r="Z20" s="130">
        <v>1.0</v>
      </c>
      <c r="AA20" s="130">
        <v>2.0</v>
      </c>
      <c r="AB20" s="130">
        <v>2.0</v>
      </c>
      <c r="AC20" s="130">
        <v>1.0</v>
      </c>
      <c r="AD20" s="130">
        <v>1.0</v>
      </c>
      <c r="AE20" s="130">
        <v>1.0</v>
      </c>
      <c r="AF20" s="130">
        <v>1.0</v>
      </c>
      <c r="AG20" s="130">
        <v>1.0</v>
      </c>
      <c r="AH20" s="130">
        <v>2.0</v>
      </c>
      <c r="AI20" s="130">
        <v>1.0</v>
      </c>
      <c r="AJ20" s="130">
        <v>1.0</v>
      </c>
      <c r="AK20" s="297"/>
      <c r="AL20" s="298" t="s">
        <v>132</v>
      </c>
      <c r="AM20" s="130" t="s">
        <v>132</v>
      </c>
      <c r="AN20" s="130" t="s">
        <v>132</v>
      </c>
      <c r="AO20" s="130" t="s">
        <v>132</v>
      </c>
      <c r="AP20" s="130" t="s">
        <v>132</v>
      </c>
      <c r="AQ20" s="130" t="s">
        <v>132</v>
      </c>
      <c r="AR20" s="130" t="s">
        <v>132</v>
      </c>
      <c r="AS20" s="130" t="s">
        <v>132</v>
      </c>
      <c r="AT20" s="130" t="s">
        <v>132</v>
      </c>
      <c r="AU20" s="130" t="s">
        <v>132</v>
      </c>
      <c r="AV20" s="130" t="s">
        <v>131</v>
      </c>
      <c r="AW20" s="130" t="s">
        <v>218</v>
      </c>
      <c r="AX20" s="130" t="s">
        <v>132</v>
      </c>
      <c r="AY20" s="130"/>
      <c r="AZ20" s="130"/>
      <c r="BA20" s="130"/>
      <c r="BB20" s="130" t="s">
        <v>135</v>
      </c>
      <c r="BC20" s="297">
        <v>1.0</v>
      </c>
      <c r="BD20" s="298">
        <v>2.0</v>
      </c>
      <c r="BE20" s="130">
        <v>1.0</v>
      </c>
      <c r="BF20" s="130">
        <v>1.0</v>
      </c>
      <c r="BG20" s="130">
        <v>2.0</v>
      </c>
      <c r="BH20" s="130">
        <v>2.0</v>
      </c>
      <c r="BI20" s="301" t="str">
        <f t="shared" si="3"/>
        <v>21122</v>
      </c>
      <c r="BJ20" s="130">
        <v>70.0</v>
      </c>
      <c r="BK20" s="130">
        <v>3.0</v>
      </c>
      <c r="BL20" s="130">
        <v>5.0</v>
      </c>
      <c r="BM20" s="130">
        <v>1.0</v>
      </c>
      <c r="BN20" s="130">
        <v>3.0</v>
      </c>
      <c r="BO20" s="130">
        <v>4.0</v>
      </c>
      <c r="BP20" s="130">
        <v>2.0</v>
      </c>
      <c r="BQ20" s="130">
        <v>2.0</v>
      </c>
      <c r="BR20" s="130">
        <v>1.0</v>
      </c>
      <c r="BS20" s="130">
        <v>3.0</v>
      </c>
      <c r="BT20" s="130">
        <v>4.0</v>
      </c>
      <c r="BU20" s="302">
        <f t="shared" si="4"/>
        <v>3</v>
      </c>
      <c r="BV20" s="302">
        <f t="shared" si="5"/>
        <v>2</v>
      </c>
      <c r="BW20" s="302">
        <f t="shared" si="6"/>
        <v>27</v>
      </c>
      <c r="BX20" s="302" t="str">
        <f t="shared" si="7"/>
        <v>FATIGA</v>
      </c>
      <c r="BY20" s="130">
        <v>0.0</v>
      </c>
      <c r="BZ20" s="130">
        <v>0.0</v>
      </c>
      <c r="CA20" s="130">
        <v>0.0</v>
      </c>
      <c r="CB20" s="130">
        <v>0.0</v>
      </c>
      <c r="CC20" s="130">
        <v>0.0</v>
      </c>
      <c r="CD20" s="130">
        <v>0.0</v>
      </c>
      <c r="CE20" s="130">
        <v>7.0</v>
      </c>
      <c r="CF20" s="130">
        <v>0.0</v>
      </c>
      <c r="CG20" s="130">
        <v>30.0</v>
      </c>
      <c r="CH20" s="130">
        <v>5.0</v>
      </c>
      <c r="CI20" s="130">
        <v>0.0</v>
      </c>
      <c r="CJ20" s="302">
        <f t="shared" si="26"/>
        <v>693</v>
      </c>
      <c r="CK20" s="301">
        <f t="shared" si="9"/>
        <v>7</v>
      </c>
      <c r="CL20" s="301" t="b">
        <f t="shared" si="50"/>
        <v>0</v>
      </c>
      <c r="CM20" s="301" t="b">
        <f t="shared" si="10"/>
        <v>0</v>
      </c>
      <c r="CN20" s="208" t="str">
        <f t="shared" si="11"/>
        <v>Nivel de actividad física bajo</v>
      </c>
      <c r="CO20" s="308">
        <v>0.9166666666666666</v>
      </c>
      <c r="CP20" s="130">
        <v>5.0</v>
      </c>
      <c r="CQ20" s="223">
        <f t="shared" si="12"/>
        <v>0</v>
      </c>
      <c r="CR20" s="130">
        <v>5.0</v>
      </c>
      <c r="CS20" s="130">
        <v>0.0</v>
      </c>
      <c r="CT20" s="130">
        <v>7.0</v>
      </c>
      <c r="CU20" s="130">
        <v>3.5</v>
      </c>
      <c r="CV20" s="130">
        <v>0.0</v>
      </c>
      <c r="CW20" s="130">
        <v>3.0</v>
      </c>
      <c r="CX20" s="130">
        <v>0.0</v>
      </c>
      <c r="CY20" s="130">
        <v>0.0</v>
      </c>
      <c r="CZ20" s="130">
        <v>1.0</v>
      </c>
      <c r="DA20" s="130">
        <v>0.0</v>
      </c>
      <c r="DB20" s="130">
        <v>3.0</v>
      </c>
      <c r="DC20" s="130">
        <v>0.0</v>
      </c>
      <c r="DD20" s="130">
        <v>2.0</v>
      </c>
      <c r="DE20" s="130"/>
      <c r="DF20" s="130"/>
      <c r="DG20" s="303">
        <f t="shared" si="39"/>
        <v>9</v>
      </c>
      <c r="DH20" s="130">
        <v>2.0</v>
      </c>
      <c r="DI20" s="130">
        <v>2.0</v>
      </c>
      <c r="DJ20" s="130">
        <v>0.0</v>
      </c>
      <c r="DK20" s="130">
        <v>0.0</v>
      </c>
      <c r="DL20" s="302">
        <f t="shared" si="27"/>
        <v>50</v>
      </c>
      <c r="DM20" s="302">
        <f t="shared" si="28"/>
        <v>3</v>
      </c>
      <c r="DN20" s="302">
        <f t="shared" si="29"/>
        <v>1</v>
      </c>
      <c r="DO20" s="302">
        <f t="shared" si="30"/>
        <v>0</v>
      </c>
      <c r="DP20" s="302">
        <f t="shared" si="31"/>
        <v>0</v>
      </c>
      <c r="DQ20" s="302">
        <f t="shared" si="32"/>
        <v>3</v>
      </c>
      <c r="DR20" s="302">
        <f t="shared" ref="DR20:DS20" si="52">(DH20)</f>
        <v>2</v>
      </c>
      <c r="DS20" s="302">
        <f t="shared" si="52"/>
        <v>2</v>
      </c>
      <c r="DT20" s="304">
        <f t="shared" si="34"/>
        <v>11</v>
      </c>
      <c r="DU20" s="304" t="str">
        <f t="shared" si="35"/>
        <v>poor sleep quality</v>
      </c>
      <c r="DV20" s="305">
        <v>1.0</v>
      </c>
      <c r="DW20" s="305" t="s">
        <v>155</v>
      </c>
      <c r="DX20" s="305" t="s">
        <v>146</v>
      </c>
      <c r="DY20" s="305">
        <v>2.0</v>
      </c>
      <c r="DZ20" s="305" t="s">
        <v>131</v>
      </c>
      <c r="EA20" s="305" t="s">
        <v>157</v>
      </c>
      <c r="EB20" s="305"/>
      <c r="EC20" s="305" t="s">
        <v>139</v>
      </c>
      <c r="ED20" s="305"/>
      <c r="EE20" s="305"/>
      <c r="EF20" s="305" t="s">
        <v>141</v>
      </c>
      <c r="EG20" s="305">
        <f t="shared" si="36"/>
        <v>683</v>
      </c>
      <c r="EH20" s="305">
        <f t="shared" si="37"/>
        <v>683</v>
      </c>
      <c r="EI20" s="130">
        <f t="shared" si="23"/>
        <v>27.00513097</v>
      </c>
    </row>
    <row r="21" ht="15.75" customHeight="1">
      <c r="A21" s="130" t="s">
        <v>237</v>
      </c>
      <c r="B21" s="54" t="s">
        <v>175</v>
      </c>
      <c r="C21" s="296">
        <v>45065.0</v>
      </c>
      <c r="D21" s="130">
        <v>47.0</v>
      </c>
      <c r="E21" s="130" t="s">
        <v>130</v>
      </c>
      <c r="F21" s="130">
        <v>154.0</v>
      </c>
      <c r="G21" s="297">
        <v>60.0</v>
      </c>
      <c r="H21" s="298" t="s">
        <v>131</v>
      </c>
      <c r="I21" s="130">
        <v>3.0</v>
      </c>
      <c r="J21" s="299">
        <v>44958.0</v>
      </c>
      <c r="K21" s="130" t="s">
        <v>131</v>
      </c>
      <c r="L21" s="130">
        <v>1.0</v>
      </c>
      <c r="M21" s="299">
        <v>44105.0</v>
      </c>
      <c r="N21" s="130">
        <v>0.0</v>
      </c>
      <c r="O21" s="299">
        <v>44105.0</v>
      </c>
      <c r="P21" s="130" t="s">
        <v>132</v>
      </c>
      <c r="Q21" s="130"/>
      <c r="R21" s="130"/>
      <c r="S21" s="130"/>
      <c r="T21" s="130"/>
      <c r="U21" s="130"/>
      <c r="V21" s="121" t="str">
        <f t="shared" si="2"/>
        <v>Paciente ambulatorio</v>
      </c>
      <c r="W21" s="130" t="s">
        <v>190</v>
      </c>
      <c r="X21" s="130" t="s">
        <v>132</v>
      </c>
      <c r="Y21" s="130">
        <v>1.0</v>
      </c>
      <c r="Z21" s="130">
        <v>1.0</v>
      </c>
      <c r="AA21" s="130">
        <v>2.0</v>
      </c>
      <c r="AB21" s="130">
        <v>2.0</v>
      </c>
      <c r="AC21" s="130">
        <v>1.0</v>
      </c>
      <c r="AD21" s="130">
        <v>1.0</v>
      </c>
      <c r="AE21" s="130">
        <v>2.0</v>
      </c>
      <c r="AF21" s="130">
        <v>1.0</v>
      </c>
      <c r="AG21" s="130">
        <v>1.0</v>
      </c>
      <c r="AH21" s="130">
        <v>1.0</v>
      </c>
      <c r="AI21" s="130">
        <v>1.0</v>
      </c>
      <c r="AJ21" s="130">
        <v>1.0</v>
      </c>
      <c r="AK21" s="297" t="s">
        <v>238</v>
      </c>
      <c r="AL21" s="298" t="s">
        <v>132</v>
      </c>
      <c r="AM21" s="130" t="s">
        <v>132</v>
      </c>
      <c r="AN21" s="130" t="s">
        <v>132</v>
      </c>
      <c r="AO21" s="130" t="s">
        <v>132</v>
      </c>
      <c r="AP21" s="130" t="s">
        <v>132</v>
      </c>
      <c r="AQ21" s="130" t="s">
        <v>132</v>
      </c>
      <c r="AR21" s="130" t="s">
        <v>132</v>
      </c>
      <c r="AS21" s="130" t="s">
        <v>132</v>
      </c>
      <c r="AT21" s="130" t="s">
        <v>132</v>
      </c>
      <c r="AU21" s="130" t="s">
        <v>132</v>
      </c>
      <c r="AV21" s="130" t="s">
        <v>131</v>
      </c>
      <c r="AW21" s="130" t="s">
        <v>239</v>
      </c>
      <c r="AX21" s="130" t="s">
        <v>131</v>
      </c>
      <c r="AY21" s="130">
        <v>5.0</v>
      </c>
      <c r="AZ21" s="130">
        <v>30.0</v>
      </c>
      <c r="BA21" s="130"/>
      <c r="BB21" s="130" t="s">
        <v>135</v>
      </c>
      <c r="BC21" s="297">
        <v>3.0</v>
      </c>
      <c r="BD21" s="298">
        <v>2.0</v>
      </c>
      <c r="BE21" s="130">
        <v>1.0</v>
      </c>
      <c r="BF21" s="130">
        <v>4.0</v>
      </c>
      <c r="BG21" s="130">
        <v>5.0</v>
      </c>
      <c r="BH21" s="130">
        <v>4.0</v>
      </c>
      <c r="BI21" s="301" t="str">
        <f t="shared" si="3"/>
        <v>21454</v>
      </c>
      <c r="BJ21" s="130">
        <v>60.0</v>
      </c>
      <c r="BK21" s="130">
        <v>4.0</v>
      </c>
      <c r="BL21" s="130">
        <v>4.0</v>
      </c>
      <c r="BM21" s="130">
        <v>2.0</v>
      </c>
      <c r="BN21" s="130">
        <v>2.0</v>
      </c>
      <c r="BO21" s="130">
        <v>3.0</v>
      </c>
      <c r="BP21" s="130">
        <v>3.0</v>
      </c>
      <c r="BQ21" s="130">
        <v>4.0</v>
      </c>
      <c r="BR21" s="130">
        <v>4.0</v>
      </c>
      <c r="BS21" s="130">
        <v>5.0</v>
      </c>
      <c r="BT21" s="130">
        <v>2.0</v>
      </c>
      <c r="BU21" s="302">
        <f t="shared" si="4"/>
        <v>4</v>
      </c>
      <c r="BV21" s="302">
        <f t="shared" si="5"/>
        <v>4</v>
      </c>
      <c r="BW21" s="302">
        <f t="shared" si="6"/>
        <v>35</v>
      </c>
      <c r="BX21" s="302" t="str">
        <f t="shared" si="7"/>
        <v>FATIGA EXTREMA</v>
      </c>
      <c r="BY21" s="130">
        <v>0.0</v>
      </c>
      <c r="BZ21" s="130">
        <v>0.0</v>
      </c>
      <c r="CA21" s="130">
        <v>0.0</v>
      </c>
      <c r="CB21" s="130">
        <v>1.0</v>
      </c>
      <c r="CC21" s="130">
        <v>4.0</v>
      </c>
      <c r="CD21" s="130">
        <v>0.0</v>
      </c>
      <c r="CE21" s="130">
        <v>0.0</v>
      </c>
      <c r="CF21" s="130">
        <v>0.0</v>
      </c>
      <c r="CG21" s="130">
        <v>0.0</v>
      </c>
      <c r="CH21" s="130">
        <v>2.0</v>
      </c>
      <c r="CI21" s="130">
        <v>0.0</v>
      </c>
      <c r="CJ21" s="302">
        <f t="shared" si="26"/>
        <v>960</v>
      </c>
      <c r="CK21" s="301">
        <f t="shared" si="9"/>
        <v>1</v>
      </c>
      <c r="CL21" s="301" t="b">
        <f t="shared" si="50"/>
        <v>0</v>
      </c>
      <c r="CM21" s="301" t="b">
        <f t="shared" si="10"/>
        <v>0</v>
      </c>
      <c r="CN21" s="208" t="str">
        <f t="shared" si="11"/>
        <v>Nivel de actividad física bajo</v>
      </c>
      <c r="CO21" s="308">
        <v>0.0</v>
      </c>
      <c r="CP21" s="130">
        <v>5.75</v>
      </c>
      <c r="CQ21" s="223">
        <f t="shared" si="12"/>
        <v>0</v>
      </c>
      <c r="CR21" s="130">
        <v>6.0</v>
      </c>
      <c r="CS21" s="130">
        <v>0.0</v>
      </c>
      <c r="CT21" s="130">
        <v>6.0</v>
      </c>
      <c r="CU21" s="130">
        <v>5.0</v>
      </c>
      <c r="CV21" s="130">
        <v>0.0</v>
      </c>
      <c r="CW21" s="130">
        <v>3.0</v>
      </c>
      <c r="CX21" s="130">
        <v>2.0</v>
      </c>
      <c r="CY21" s="130">
        <v>0.0</v>
      </c>
      <c r="CZ21" s="130">
        <v>0.0</v>
      </c>
      <c r="DA21" s="130">
        <v>0.0</v>
      </c>
      <c r="DB21" s="130">
        <v>3.0</v>
      </c>
      <c r="DC21" s="130">
        <v>3.0</v>
      </c>
      <c r="DD21" s="130">
        <v>3.0</v>
      </c>
      <c r="DE21" s="130">
        <v>3.0</v>
      </c>
      <c r="DF21" s="130" t="s">
        <v>240</v>
      </c>
      <c r="DG21" s="303">
        <f t="shared" si="39"/>
        <v>17</v>
      </c>
      <c r="DH21" s="130">
        <v>3.0</v>
      </c>
      <c r="DI21" s="130">
        <v>3.0</v>
      </c>
      <c r="DJ21" s="130">
        <v>3.0</v>
      </c>
      <c r="DK21" s="130">
        <v>3.0</v>
      </c>
      <c r="DL21" s="302">
        <f t="shared" si="27"/>
        <v>83.33333333</v>
      </c>
      <c r="DM21" s="302">
        <f t="shared" si="28"/>
        <v>2</v>
      </c>
      <c r="DN21" s="302">
        <f t="shared" si="29"/>
        <v>2</v>
      </c>
      <c r="DO21" s="302">
        <f t="shared" si="30"/>
        <v>0</v>
      </c>
      <c r="DP21" s="302">
        <f t="shared" si="31"/>
        <v>3</v>
      </c>
      <c r="DQ21" s="302">
        <f t="shared" si="32"/>
        <v>1</v>
      </c>
      <c r="DR21" s="302">
        <f t="shared" ref="DR21:DS21" si="53">(DH21)</f>
        <v>3</v>
      </c>
      <c r="DS21" s="302">
        <f t="shared" si="53"/>
        <v>3</v>
      </c>
      <c r="DT21" s="304">
        <f t="shared" si="34"/>
        <v>14</v>
      </c>
      <c r="DU21" s="304" t="str">
        <f t="shared" si="35"/>
        <v>poor sleep quality</v>
      </c>
      <c r="DV21" s="305">
        <v>2.0</v>
      </c>
      <c r="DW21" s="305" t="s">
        <v>155</v>
      </c>
      <c r="DX21" s="305" t="s">
        <v>137</v>
      </c>
      <c r="DY21" s="305">
        <v>1.0</v>
      </c>
      <c r="DZ21" s="305" t="s">
        <v>131</v>
      </c>
      <c r="EA21" s="305" t="s">
        <v>147</v>
      </c>
      <c r="EB21" s="305"/>
      <c r="EC21" s="305" t="s">
        <v>139</v>
      </c>
      <c r="ED21" s="305"/>
      <c r="EE21" s="305"/>
      <c r="EF21" s="305" t="s">
        <v>141</v>
      </c>
      <c r="EG21" s="305">
        <f t="shared" si="36"/>
        <v>960</v>
      </c>
      <c r="EH21" s="305">
        <f t="shared" si="37"/>
        <v>960</v>
      </c>
      <c r="EI21" s="130">
        <f t="shared" si="23"/>
        <v>25.29937595</v>
      </c>
    </row>
    <row r="22" ht="15.75" customHeight="1">
      <c r="A22" s="130" t="s">
        <v>241</v>
      </c>
      <c r="B22" s="54" t="s">
        <v>175</v>
      </c>
      <c r="C22" s="296">
        <v>45065.0</v>
      </c>
      <c r="D22" s="130">
        <v>41.0</v>
      </c>
      <c r="E22" s="130" t="s">
        <v>130</v>
      </c>
      <c r="F22" s="130">
        <v>155.0</v>
      </c>
      <c r="G22" s="297">
        <v>90.0</v>
      </c>
      <c r="H22" s="298" t="s">
        <v>131</v>
      </c>
      <c r="I22" s="130">
        <v>4.0</v>
      </c>
      <c r="J22" s="299">
        <v>44621.0</v>
      </c>
      <c r="K22" s="130" t="s">
        <v>131</v>
      </c>
      <c r="L22" s="130">
        <v>1.0</v>
      </c>
      <c r="M22" s="299">
        <v>44743.0</v>
      </c>
      <c r="N22" s="130">
        <v>2.0</v>
      </c>
      <c r="O22" s="299">
        <v>44743.0</v>
      </c>
      <c r="P22" s="130" t="s">
        <v>132</v>
      </c>
      <c r="S22" s="130"/>
      <c r="V22" s="121" t="str">
        <f t="shared" si="2"/>
        <v>Paciente ambulatorio</v>
      </c>
      <c r="W22" s="130" t="s">
        <v>176</v>
      </c>
      <c r="X22" s="130" t="s">
        <v>132</v>
      </c>
      <c r="Y22" s="130">
        <v>1.0</v>
      </c>
      <c r="Z22" s="130">
        <v>1.0</v>
      </c>
      <c r="AA22" s="130">
        <v>3.0</v>
      </c>
      <c r="AB22" s="130">
        <v>3.0</v>
      </c>
      <c r="AC22" s="130">
        <v>3.0</v>
      </c>
      <c r="AD22" s="130">
        <v>3.0</v>
      </c>
      <c r="AE22" s="130">
        <v>3.0</v>
      </c>
      <c r="AF22" s="130">
        <v>3.0</v>
      </c>
      <c r="AG22" s="130">
        <v>3.0</v>
      </c>
      <c r="AH22" s="130">
        <v>3.0</v>
      </c>
      <c r="AI22" s="130">
        <v>3.0</v>
      </c>
      <c r="AJ22" s="130">
        <v>3.0</v>
      </c>
      <c r="AK22" s="297"/>
      <c r="AL22" s="298" t="s">
        <v>132</v>
      </c>
      <c r="AM22" s="130" t="s">
        <v>132</v>
      </c>
      <c r="AN22" s="130" t="s">
        <v>132</v>
      </c>
      <c r="AO22" s="130" t="s">
        <v>132</v>
      </c>
      <c r="AP22" s="130" t="s">
        <v>132</v>
      </c>
      <c r="AQ22" s="130" t="s">
        <v>132</v>
      </c>
      <c r="AR22" s="130" t="s">
        <v>132</v>
      </c>
      <c r="AS22" s="130" t="s">
        <v>132</v>
      </c>
      <c r="AT22" s="130" t="s">
        <v>132</v>
      </c>
      <c r="AU22" s="130" t="s">
        <v>132</v>
      </c>
      <c r="AV22" s="130" t="s">
        <v>132</v>
      </c>
      <c r="AW22" s="130"/>
      <c r="AX22" s="130" t="s">
        <v>165</v>
      </c>
      <c r="AY22" s="130"/>
      <c r="AZ22" s="130">
        <v>8.0</v>
      </c>
      <c r="BA22" s="130"/>
      <c r="BB22" s="130" t="s">
        <v>135</v>
      </c>
      <c r="BC22" s="297">
        <v>2.0</v>
      </c>
      <c r="BD22" s="298">
        <v>1.0</v>
      </c>
      <c r="BE22" s="130">
        <v>1.0</v>
      </c>
      <c r="BF22" s="130">
        <v>1.0</v>
      </c>
      <c r="BG22" s="130">
        <v>2.0</v>
      </c>
      <c r="BH22" s="130">
        <v>1.0</v>
      </c>
      <c r="BI22" s="301" t="str">
        <f t="shared" si="3"/>
        <v>11121</v>
      </c>
      <c r="BJ22" s="130">
        <v>80.0</v>
      </c>
      <c r="BK22" s="130">
        <v>3.0</v>
      </c>
      <c r="BL22" s="130">
        <v>3.0</v>
      </c>
      <c r="BM22" s="130">
        <v>4.0</v>
      </c>
      <c r="BN22" s="130">
        <v>4.0</v>
      </c>
      <c r="BO22" s="130">
        <v>3.0</v>
      </c>
      <c r="BP22" s="130">
        <v>2.0</v>
      </c>
      <c r="BQ22" s="130">
        <v>1.0</v>
      </c>
      <c r="BR22" s="130">
        <v>2.0</v>
      </c>
      <c r="BS22" s="130">
        <v>2.0</v>
      </c>
      <c r="BT22" s="130">
        <v>4.0</v>
      </c>
      <c r="BU22" s="302">
        <f t="shared" si="4"/>
        <v>2</v>
      </c>
      <c r="BV22" s="302">
        <f t="shared" si="5"/>
        <v>2</v>
      </c>
      <c r="BW22" s="302">
        <f t="shared" si="6"/>
        <v>26</v>
      </c>
      <c r="BX22" s="302" t="str">
        <f t="shared" si="7"/>
        <v>FATIGA</v>
      </c>
      <c r="BY22" s="130">
        <v>0.0</v>
      </c>
      <c r="BZ22" s="130">
        <v>0.0</v>
      </c>
      <c r="CA22" s="130">
        <v>0.0</v>
      </c>
      <c r="CB22" s="130">
        <v>0.0</v>
      </c>
      <c r="CC22" s="130">
        <v>0.0</v>
      </c>
      <c r="CD22" s="130">
        <v>0.0</v>
      </c>
      <c r="CE22" s="130">
        <v>7.0</v>
      </c>
      <c r="CF22" s="130">
        <v>0.0</v>
      </c>
      <c r="CG22" s="130">
        <v>30.0</v>
      </c>
      <c r="CH22" s="130">
        <v>4.0</v>
      </c>
      <c r="CI22" s="130">
        <v>0.0</v>
      </c>
      <c r="CJ22" s="302">
        <f t="shared" si="26"/>
        <v>693</v>
      </c>
      <c r="CK22" s="301">
        <f t="shared" si="9"/>
        <v>7</v>
      </c>
      <c r="CL22" s="301" t="str">
        <f t="shared" si="50"/>
        <v>Nivel de actividad física alto</v>
      </c>
      <c r="CM22" s="301" t="b">
        <f t="shared" si="10"/>
        <v>0</v>
      </c>
      <c r="CN22" s="208" t="str">
        <f t="shared" si="11"/>
        <v>Nivel de actividad física alto</v>
      </c>
      <c r="CO22" s="130">
        <v>22.0</v>
      </c>
      <c r="CP22" s="130">
        <v>90.0</v>
      </c>
      <c r="CQ22" s="223">
        <f t="shared" si="12"/>
        <v>3</v>
      </c>
      <c r="CR22" s="130">
        <v>5.0</v>
      </c>
      <c r="CS22" s="130">
        <v>0.0</v>
      </c>
      <c r="CT22" s="130">
        <v>7.0</v>
      </c>
      <c r="CU22" s="130">
        <v>5.0</v>
      </c>
      <c r="CV22" s="130">
        <v>3.0</v>
      </c>
      <c r="CW22" s="130">
        <v>3.0</v>
      </c>
      <c r="CX22" s="130">
        <v>2.0</v>
      </c>
      <c r="CY22" s="130">
        <v>2.0</v>
      </c>
      <c r="CZ22" s="130">
        <v>0.0</v>
      </c>
      <c r="DA22" s="130">
        <v>0.0</v>
      </c>
      <c r="DB22" s="130">
        <v>0.0</v>
      </c>
      <c r="DC22" s="130">
        <v>3.0</v>
      </c>
      <c r="DD22" s="130">
        <v>0.0</v>
      </c>
      <c r="DE22" s="130">
        <v>3.0</v>
      </c>
      <c r="DF22" s="130"/>
      <c r="DG22" s="303">
        <f t="shared" si="39"/>
        <v>13</v>
      </c>
      <c r="DH22" s="130">
        <v>2.0</v>
      </c>
      <c r="DI22" s="130">
        <v>0.0</v>
      </c>
      <c r="DJ22" s="130">
        <v>3.0</v>
      </c>
      <c r="DK22" s="130">
        <v>1.0</v>
      </c>
      <c r="DL22" s="302">
        <f t="shared" si="27"/>
        <v>71.42857143</v>
      </c>
      <c r="DM22" s="302">
        <f t="shared" si="28"/>
        <v>2</v>
      </c>
      <c r="DN22" s="302">
        <f t="shared" si="29"/>
        <v>2</v>
      </c>
      <c r="DO22" s="302">
        <f t="shared" si="30"/>
        <v>3</v>
      </c>
      <c r="DP22" s="302">
        <f t="shared" si="31"/>
        <v>2</v>
      </c>
      <c r="DQ22" s="302">
        <f t="shared" si="32"/>
        <v>2</v>
      </c>
      <c r="DR22" s="302">
        <f t="shared" ref="DR22:DS22" si="54">(DH22)</f>
        <v>2</v>
      </c>
      <c r="DS22" s="302">
        <f t="shared" si="54"/>
        <v>0</v>
      </c>
      <c r="DT22" s="304">
        <f t="shared" si="34"/>
        <v>13</v>
      </c>
      <c r="DU22" s="304" t="str">
        <f t="shared" si="35"/>
        <v>poor sleep quality</v>
      </c>
      <c r="DV22" s="305">
        <v>0.0</v>
      </c>
      <c r="DW22" s="305"/>
      <c r="DX22" s="305" t="s">
        <v>137</v>
      </c>
      <c r="DY22" s="305">
        <v>1.0</v>
      </c>
      <c r="DZ22" s="305" t="s">
        <v>131</v>
      </c>
      <c r="EA22" s="305" t="s">
        <v>178</v>
      </c>
      <c r="EB22" s="305"/>
      <c r="EC22" s="305" t="s">
        <v>172</v>
      </c>
      <c r="ED22" s="305"/>
      <c r="EE22" s="305" t="s">
        <v>132</v>
      </c>
      <c r="EF22" s="305" t="s">
        <v>141</v>
      </c>
      <c r="EG22" s="305">
        <f t="shared" si="36"/>
        <v>322</v>
      </c>
      <c r="EH22" s="305">
        <f t="shared" si="37"/>
        <v>322</v>
      </c>
      <c r="EI22" s="130">
        <f t="shared" si="23"/>
        <v>37.46097815</v>
      </c>
    </row>
    <row r="23" ht="15.75" customHeight="1">
      <c r="A23" s="130" t="s">
        <v>242</v>
      </c>
      <c r="B23" s="54" t="s">
        <v>175</v>
      </c>
      <c r="C23" s="296">
        <v>45065.0</v>
      </c>
      <c r="D23" s="130">
        <v>44.0</v>
      </c>
      <c r="E23" s="130" t="s">
        <v>130</v>
      </c>
      <c r="F23" s="130">
        <v>170.0</v>
      </c>
      <c r="G23" s="297">
        <v>73.0</v>
      </c>
      <c r="H23" s="298" t="s">
        <v>131</v>
      </c>
      <c r="I23" s="130">
        <v>4.0</v>
      </c>
      <c r="J23" s="299">
        <v>44562.0</v>
      </c>
      <c r="K23" s="130" t="s">
        <v>131</v>
      </c>
      <c r="L23" s="130">
        <v>2.0</v>
      </c>
      <c r="M23" s="299">
        <v>44075.0</v>
      </c>
      <c r="N23" s="130">
        <v>0.0</v>
      </c>
      <c r="O23" s="299">
        <v>44228.0</v>
      </c>
      <c r="P23" s="130" t="s">
        <v>132</v>
      </c>
      <c r="S23" s="130"/>
      <c r="V23" s="121" t="str">
        <f t="shared" si="2"/>
        <v>Paciente ambulatorio</v>
      </c>
      <c r="W23" s="130" t="s">
        <v>176</v>
      </c>
      <c r="X23" s="130" t="s">
        <v>132</v>
      </c>
      <c r="Y23" s="130">
        <v>2.0</v>
      </c>
      <c r="Z23" s="130">
        <v>2.0</v>
      </c>
      <c r="AA23" s="130">
        <v>2.0</v>
      </c>
      <c r="AB23" s="130">
        <v>2.0</v>
      </c>
      <c r="AC23" s="130">
        <v>3.0</v>
      </c>
      <c r="AD23" s="130">
        <v>1.0</v>
      </c>
      <c r="AE23" s="130">
        <v>2.0</v>
      </c>
      <c r="AF23" s="130">
        <v>1.0</v>
      </c>
      <c r="AG23" s="130">
        <v>1.0</v>
      </c>
      <c r="AH23" s="130">
        <v>3.0</v>
      </c>
      <c r="AI23" s="130">
        <v>1.0</v>
      </c>
      <c r="AJ23" s="130">
        <v>1.0</v>
      </c>
      <c r="AK23" s="297"/>
      <c r="AL23" s="298" t="s">
        <v>132</v>
      </c>
      <c r="AM23" s="130" t="s">
        <v>132</v>
      </c>
      <c r="AN23" s="130" t="s">
        <v>132</v>
      </c>
      <c r="AO23" s="130" t="s">
        <v>132</v>
      </c>
      <c r="AP23" s="130" t="s">
        <v>132</v>
      </c>
      <c r="AQ23" s="130" t="s">
        <v>132</v>
      </c>
      <c r="AR23" s="130" t="s">
        <v>132</v>
      </c>
      <c r="AS23" s="130" t="s">
        <v>132</v>
      </c>
      <c r="AT23" s="130" t="s">
        <v>132</v>
      </c>
      <c r="AU23" s="130" t="s">
        <v>132</v>
      </c>
      <c r="AV23" s="130" t="s">
        <v>131</v>
      </c>
      <c r="AW23" s="130" t="s">
        <v>243</v>
      </c>
      <c r="AX23" s="130" t="s">
        <v>165</v>
      </c>
      <c r="AY23" s="130"/>
      <c r="AZ23" s="130">
        <v>22.0</v>
      </c>
      <c r="BA23" s="130"/>
      <c r="BB23" s="130" t="s">
        <v>135</v>
      </c>
      <c r="BC23" s="297">
        <v>1.0</v>
      </c>
      <c r="BD23" s="298">
        <v>1.0</v>
      </c>
      <c r="BE23" s="130">
        <v>1.0</v>
      </c>
      <c r="BF23" s="130">
        <v>3.0</v>
      </c>
      <c r="BG23" s="130">
        <v>2.0</v>
      </c>
      <c r="BH23" s="130">
        <v>1.0</v>
      </c>
      <c r="BI23" s="301" t="str">
        <f t="shared" si="3"/>
        <v>11321</v>
      </c>
      <c r="BJ23" s="130">
        <v>85.0</v>
      </c>
      <c r="BK23" s="130">
        <v>3.0</v>
      </c>
      <c r="BL23" s="130">
        <v>3.0</v>
      </c>
      <c r="BM23" s="130">
        <v>1.0</v>
      </c>
      <c r="BN23" s="130">
        <v>2.0</v>
      </c>
      <c r="BO23" s="130">
        <v>4.0</v>
      </c>
      <c r="BP23" s="130">
        <v>3.0</v>
      </c>
      <c r="BQ23" s="130">
        <v>2.0</v>
      </c>
      <c r="BR23" s="130">
        <v>1.0</v>
      </c>
      <c r="BS23" s="130">
        <v>3.0</v>
      </c>
      <c r="BT23" s="130">
        <v>2.0</v>
      </c>
      <c r="BU23" s="302">
        <f t="shared" si="4"/>
        <v>4</v>
      </c>
      <c r="BV23" s="302">
        <f t="shared" si="5"/>
        <v>4</v>
      </c>
      <c r="BW23" s="302">
        <f t="shared" si="6"/>
        <v>26</v>
      </c>
      <c r="BX23" s="302" t="str">
        <f t="shared" si="7"/>
        <v>FATIGA</v>
      </c>
      <c r="BY23" s="130">
        <v>4.0</v>
      </c>
      <c r="BZ23" s="130">
        <v>1.0</v>
      </c>
      <c r="CA23" s="130">
        <v>0.0</v>
      </c>
      <c r="CB23" s="130">
        <v>0.0</v>
      </c>
      <c r="CC23" s="130">
        <v>0.0</v>
      </c>
      <c r="CD23" s="130">
        <v>0.0</v>
      </c>
      <c r="CE23" s="130">
        <v>3.0</v>
      </c>
      <c r="CF23" s="130">
        <v>1.0</v>
      </c>
      <c r="CG23" s="130">
        <v>0.0</v>
      </c>
      <c r="CH23" s="130">
        <v>4.0</v>
      </c>
      <c r="CI23" s="130">
        <v>0.0</v>
      </c>
      <c r="CJ23" s="302">
        <f t="shared" si="26"/>
        <v>2514</v>
      </c>
      <c r="CK23" s="301">
        <f t="shared" si="9"/>
        <v>7</v>
      </c>
      <c r="CL23" s="301" t="b">
        <f t="shared" si="50"/>
        <v>0</v>
      </c>
      <c r="CM23" s="301" t="str">
        <f t="shared" si="10"/>
        <v>Nivel de actividad física moderado</v>
      </c>
      <c r="CN23" s="208" t="str">
        <f t="shared" si="11"/>
        <v>Nivel de actividad física moderado</v>
      </c>
      <c r="CO23" s="130">
        <v>23.0</v>
      </c>
      <c r="CP23" s="130">
        <v>0.0</v>
      </c>
      <c r="CQ23" s="223">
        <f t="shared" si="12"/>
        <v>0</v>
      </c>
      <c r="CR23" s="130">
        <v>6.0</v>
      </c>
      <c r="CS23" s="130">
        <v>0.0</v>
      </c>
      <c r="CT23" s="130">
        <v>7.0</v>
      </c>
      <c r="CU23" s="130">
        <v>7.0</v>
      </c>
      <c r="CV23" s="130">
        <v>0.0</v>
      </c>
      <c r="CW23" s="130">
        <v>1.0</v>
      </c>
      <c r="CX23" s="130">
        <v>0.0</v>
      </c>
      <c r="CY23" s="130">
        <v>0.0</v>
      </c>
      <c r="CZ23" s="130">
        <v>0.0</v>
      </c>
      <c r="DA23" s="130">
        <v>0.0</v>
      </c>
      <c r="DB23" s="130">
        <v>0.0</v>
      </c>
      <c r="DC23" s="130">
        <v>0.0</v>
      </c>
      <c r="DD23" s="130">
        <v>0.0</v>
      </c>
      <c r="DE23" s="130">
        <v>2.0</v>
      </c>
      <c r="DF23" s="130" t="s">
        <v>244</v>
      </c>
      <c r="DG23" s="303">
        <f t="shared" si="39"/>
        <v>3</v>
      </c>
      <c r="DH23" s="130">
        <v>0.0</v>
      </c>
      <c r="DI23" s="130">
        <v>0.0</v>
      </c>
      <c r="DJ23" s="130">
        <v>3.0</v>
      </c>
      <c r="DK23" s="130">
        <v>2.0</v>
      </c>
      <c r="DL23" s="302">
        <f t="shared" si="27"/>
        <v>100</v>
      </c>
      <c r="DM23" s="302">
        <f t="shared" si="28"/>
        <v>0</v>
      </c>
      <c r="DN23" s="302">
        <f t="shared" si="29"/>
        <v>1</v>
      </c>
      <c r="DO23" s="302">
        <f t="shared" si="30"/>
        <v>0</v>
      </c>
      <c r="DP23" s="302">
        <f t="shared" si="31"/>
        <v>3</v>
      </c>
      <c r="DQ23" s="302">
        <f t="shared" si="32"/>
        <v>0</v>
      </c>
      <c r="DR23" s="302">
        <f t="shared" ref="DR23:DS23" si="55">(DH23)</f>
        <v>0</v>
      </c>
      <c r="DS23" s="302">
        <f t="shared" si="55"/>
        <v>0</v>
      </c>
      <c r="DT23" s="304">
        <f t="shared" si="34"/>
        <v>4</v>
      </c>
      <c r="DU23" s="304" t="str">
        <f t="shared" si="35"/>
        <v>good sleep quality</v>
      </c>
      <c r="DV23" s="305">
        <v>3.0</v>
      </c>
      <c r="DW23" s="305" t="s">
        <v>149</v>
      </c>
      <c r="DX23" s="305" t="s">
        <v>146</v>
      </c>
      <c r="DY23" s="305" t="s">
        <v>156</v>
      </c>
      <c r="DZ23" s="305" t="s">
        <v>131</v>
      </c>
      <c r="EA23" s="305" t="s">
        <v>167</v>
      </c>
      <c r="EB23" s="305"/>
      <c r="EC23" s="305" t="s">
        <v>172</v>
      </c>
      <c r="ED23" s="305"/>
      <c r="EE23" s="305" t="s">
        <v>131</v>
      </c>
      <c r="EF23" s="305" t="s">
        <v>141</v>
      </c>
      <c r="EG23" s="305">
        <f t="shared" si="36"/>
        <v>990</v>
      </c>
      <c r="EH23" s="305">
        <f t="shared" si="37"/>
        <v>837</v>
      </c>
      <c r="EI23" s="130">
        <f t="shared" si="23"/>
        <v>25.25951557</v>
      </c>
    </row>
    <row r="24" ht="15.75" customHeight="1">
      <c r="A24" s="130" t="s">
        <v>245</v>
      </c>
      <c r="B24" s="54" t="s">
        <v>175</v>
      </c>
      <c r="C24" s="296">
        <v>45068.0</v>
      </c>
      <c r="D24" s="130">
        <v>39.0</v>
      </c>
      <c r="E24" s="130" t="s">
        <v>130</v>
      </c>
      <c r="F24" s="130">
        <v>153.0</v>
      </c>
      <c r="G24" s="297">
        <v>40.0</v>
      </c>
      <c r="H24" s="298" t="s">
        <v>131</v>
      </c>
      <c r="I24" s="130">
        <v>3.0</v>
      </c>
      <c r="J24" s="299">
        <v>44682.0</v>
      </c>
      <c r="K24" s="130" t="s">
        <v>131</v>
      </c>
      <c r="L24" s="130">
        <v>2.0</v>
      </c>
      <c r="M24" s="299">
        <v>44075.0</v>
      </c>
      <c r="N24" s="130">
        <v>0.0</v>
      </c>
      <c r="O24" s="299">
        <v>44562.0</v>
      </c>
      <c r="P24" s="130" t="s">
        <v>132</v>
      </c>
      <c r="S24" s="130"/>
      <c r="V24" s="121" t="str">
        <f t="shared" si="2"/>
        <v>Paciente ambulatorio</v>
      </c>
      <c r="W24" s="130" t="s">
        <v>183</v>
      </c>
      <c r="X24" s="130"/>
      <c r="Y24" s="130">
        <v>1.0</v>
      </c>
      <c r="Z24" s="130">
        <v>1.0</v>
      </c>
      <c r="AA24" s="130">
        <v>1.0</v>
      </c>
      <c r="AB24" s="130">
        <v>2.0</v>
      </c>
      <c r="AC24" s="130">
        <v>1.0</v>
      </c>
      <c r="AD24" s="130">
        <v>1.0</v>
      </c>
      <c r="AE24" s="130">
        <v>3.0</v>
      </c>
      <c r="AF24" s="130">
        <v>1.0</v>
      </c>
      <c r="AG24" s="130">
        <v>1.0</v>
      </c>
      <c r="AH24" s="130">
        <v>3.0</v>
      </c>
      <c r="AI24" s="130">
        <v>1.0</v>
      </c>
      <c r="AJ24" s="130">
        <v>3.0</v>
      </c>
      <c r="AK24" s="297" t="s">
        <v>246</v>
      </c>
      <c r="AL24" s="298" t="s">
        <v>132</v>
      </c>
      <c r="AM24" s="130" t="s">
        <v>132</v>
      </c>
      <c r="AN24" s="130" t="s">
        <v>132</v>
      </c>
      <c r="AO24" s="130" t="s">
        <v>132</v>
      </c>
      <c r="AP24" s="130" t="s">
        <v>132</v>
      </c>
      <c r="AQ24" s="130" t="s">
        <v>132</v>
      </c>
      <c r="AR24" s="130" t="s">
        <v>132</v>
      </c>
      <c r="AS24" s="130" t="s">
        <v>132</v>
      </c>
      <c r="AT24" s="130" t="s">
        <v>132</v>
      </c>
      <c r="AU24" s="130" t="s">
        <v>132</v>
      </c>
      <c r="AV24" s="130" t="s">
        <v>131</v>
      </c>
      <c r="AW24" s="130" t="s">
        <v>218</v>
      </c>
      <c r="AX24" s="130" t="s">
        <v>132</v>
      </c>
      <c r="AY24" s="130"/>
      <c r="AZ24" s="130"/>
      <c r="BA24" s="130"/>
      <c r="BB24" s="130" t="s">
        <v>145</v>
      </c>
      <c r="BC24" s="297"/>
      <c r="BD24" s="298">
        <v>2.0</v>
      </c>
      <c r="BE24" s="130">
        <v>1.0</v>
      </c>
      <c r="BF24" s="130">
        <v>2.0</v>
      </c>
      <c r="BG24" s="130">
        <v>1.0</v>
      </c>
      <c r="BH24" s="130">
        <v>1.0</v>
      </c>
      <c r="BI24" s="301" t="str">
        <f t="shared" si="3"/>
        <v>21211</v>
      </c>
      <c r="BJ24" s="130">
        <v>80.0</v>
      </c>
      <c r="BK24" s="130">
        <v>3.0</v>
      </c>
      <c r="BL24" s="130">
        <v>4.0</v>
      </c>
      <c r="BM24" s="130">
        <v>1.0</v>
      </c>
      <c r="BN24" s="130">
        <v>3.0</v>
      </c>
      <c r="BO24" s="130">
        <v>2.0</v>
      </c>
      <c r="BP24" s="130">
        <v>2.0</v>
      </c>
      <c r="BQ24" s="130">
        <v>1.0</v>
      </c>
      <c r="BR24" s="130">
        <v>1.0</v>
      </c>
      <c r="BS24" s="130">
        <v>1.0</v>
      </c>
      <c r="BT24" s="130">
        <v>2.0</v>
      </c>
      <c r="BU24" s="302">
        <f t="shared" si="4"/>
        <v>3</v>
      </c>
      <c r="BV24" s="302">
        <f t="shared" si="5"/>
        <v>4</v>
      </c>
      <c r="BW24" s="302">
        <f t="shared" si="6"/>
        <v>21</v>
      </c>
      <c r="BX24" s="302" t="str">
        <f t="shared" si="7"/>
        <v>NO HAY FATIGA</v>
      </c>
      <c r="BY24" s="130">
        <v>0.0</v>
      </c>
      <c r="BZ24" s="130">
        <v>0.0</v>
      </c>
      <c r="CA24" s="130">
        <v>0.0</v>
      </c>
      <c r="CB24" s="130">
        <v>4.0</v>
      </c>
      <c r="CC24" s="130">
        <v>1.0</v>
      </c>
      <c r="CD24" s="130">
        <v>0.0</v>
      </c>
      <c r="CE24" s="130">
        <v>3.0</v>
      </c>
      <c r="CF24" s="130">
        <v>0.0</v>
      </c>
      <c r="CG24" s="130">
        <v>10.0</v>
      </c>
      <c r="CH24" s="130">
        <v>2.0</v>
      </c>
      <c r="CI24" s="130">
        <v>0.0</v>
      </c>
      <c r="CJ24" s="302">
        <f t="shared" si="26"/>
        <v>1059</v>
      </c>
      <c r="CK24" s="301">
        <f t="shared" si="9"/>
        <v>7</v>
      </c>
      <c r="CL24" s="301" t="b">
        <f t="shared" si="50"/>
        <v>0</v>
      </c>
      <c r="CM24" s="301" t="str">
        <f t="shared" si="10"/>
        <v>Nivel de actividad física moderado</v>
      </c>
      <c r="CN24" s="208" t="str">
        <f t="shared" si="11"/>
        <v>Nivel de actividad física moderado</v>
      </c>
      <c r="CO24" s="130">
        <v>0.0</v>
      </c>
      <c r="CP24" s="130">
        <v>130.0</v>
      </c>
      <c r="CQ24" s="223">
        <f t="shared" si="12"/>
        <v>3</v>
      </c>
      <c r="CR24" s="130">
        <v>6.0</v>
      </c>
      <c r="CS24" s="130">
        <v>30.0</v>
      </c>
      <c r="CT24" s="130">
        <v>6.5</v>
      </c>
      <c r="CU24" s="130">
        <v>7.0</v>
      </c>
      <c r="CV24" s="130">
        <v>1.0</v>
      </c>
      <c r="CW24" s="130">
        <v>3.0</v>
      </c>
      <c r="CX24" s="130">
        <v>0.0</v>
      </c>
      <c r="CY24" s="130">
        <v>0.0</v>
      </c>
      <c r="CZ24" s="130">
        <v>0.0</v>
      </c>
      <c r="DA24" s="130">
        <v>0.0</v>
      </c>
      <c r="DB24" s="130">
        <v>2.0</v>
      </c>
      <c r="DC24" s="130">
        <v>0.0</v>
      </c>
      <c r="DD24" s="130">
        <v>0.0</v>
      </c>
      <c r="DE24" s="130"/>
      <c r="DF24" s="130"/>
      <c r="DG24" s="303">
        <f t="shared" si="39"/>
        <v>5</v>
      </c>
      <c r="DH24" s="130">
        <v>1.0</v>
      </c>
      <c r="DI24" s="130">
        <v>0.0</v>
      </c>
      <c r="DJ24" s="130">
        <v>2.0</v>
      </c>
      <c r="DK24" s="130">
        <v>1.0</v>
      </c>
      <c r="DL24" s="302">
        <f t="shared" si="27"/>
        <v>107.6923077</v>
      </c>
      <c r="DM24" s="302">
        <f t="shared" si="28"/>
        <v>0</v>
      </c>
      <c r="DN24" s="302">
        <f t="shared" si="29"/>
        <v>1</v>
      </c>
      <c r="DO24" s="302">
        <f t="shared" si="30"/>
        <v>2</v>
      </c>
      <c r="DP24" s="302">
        <f t="shared" si="31"/>
        <v>2</v>
      </c>
      <c r="DQ24" s="302">
        <f t="shared" si="32"/>
        <v>0</v>
      </c>
      <c r="DR24" s="302">
        <f t="shared" ref="DR24:DS24" si="56">(DH24)</f>
        <v>1</v>
      </c>
      <c r="DS24" s="302">
        <f t="shared" si="56"/>
        <v>0</v>
      </c>
      <c r="DT24" s="304">
        <f t="shared" si="34"/>
        <v>6</v>
      </c>
      <c r="DU24" s="304" t="str">
        <f t="shared" si="35"/>
        <v>poor sleep quality</v>
      </c>
      <c r="DV24" s="305">
        <v>2.0</v>
      </c>
      <c r="DW24" s="305" t="s">
        <v>247</v>
      </c>
      <c r="DX24" s="305" t="s">
        <v>146</v>
      </c>
      <c r="DY24" s="305">
        <v>2.0</v>
      </c>
      <c r="DZ24" s="305" t="s">
        <v>131</v>
      </c>
      <c r="EA24" s="305" t="s">
        <v>147</v>
      </c>
      <c r="EB24" s="305"/>
      <c r="EC24" s="305" t="s">
        <v>248</v>
      </c>
      <c r="ED24" s="305" t="s">
        <v>132</v>
      </c>
      <c r="EE24" s="305" t="s">
        <v>132</v>
      </c>
      <c r="EF24" s="305" t="s">
        <v>203</v>
      </c>
      <c r="EG24" s="305">
        <f t="shared" si="36"/>
        <v>993</v>
      </c>
      <c r="EH24" s="305">
        <f t="shared" si="37"/>
        <v>506</v>
      </c>
      <c r="EI24" s="130">
        <f t="shared" si="23"/>
        <v>17.087445</v>
      </c>
    </row>
    <row r="25" ht="15.75" customHeight="1">
      <c r="A25" s="130" t="s">
        <v>249</v>
      </c>
      <c r="B25" s="54" t="s">
        <v>175</v>
      </c>
      <c r="C25" s="296">
        <v>45068.0</v>
      </c>
      <c r="D25" s="130">
        <v>49.0</v>
      </c>
      <c r="E25" s="130" t="s">
        <v>153</v>
      </c>
      <c r="F25" s="130">
        <v>183.0</v>
      </c>
      <c r="G25" s="297">
        <v>104.0</v>
      </c>
      <c r="H25" s="298" t="s">
        <v>131</v>
      </c>
      <c r="I25" s="130">
        <v>5.0</v>
      </c>
      <c r="J25" s="299">
        <v>44958.0</v>
      </c>
      <c r="K25" s="130" t="s">
        <v>131</v>
      </c>
      <c r="L25" s="130">
        <v>1.0</v>
      </c>
      <c r="M25" s="299">
        <v>44075.0</v>
      </c>
      <c r="N25" s="130">
        <v>0.0</v>
      </c>
      <c r="O25" s="299">
        <v>44075.0</v>
      </c>
      <c r="P25" s="130" t="s">
        <v>132</v>
      </c>
      <c r="S25" s="130"/>
      <c r="V25" s="121" t="str">
        <f t="shared" si="2"/>
        <v>Paciente ambulatorio</v>
      </c>
      <c r="W25" s="130" t="s">
        <v>176</v>
      </c>
      <c r="X25" s="130" t="s">
        <v>132</v>
      </c>
      <c r="Y25" s="130">
        <v>3.0</v>
      </c>
      <c r="Z25" s="130">
        <v>1.0</v>
      </c>
      <c r="AA25" s="130">
        <v>2.0</v>
      </c>
      <c r="AB25" s="130">
        <v>2.0</v>
      </c>
      <c r="AC25" s="130">
        <v>1.0</v>
      </c>
      <c r="AD25" s="130">
        <v>1.0</v>
      </c>
      <c r="AE25" s="130">
        <v>1.0</v>
      </c>
      <c r="AF25" s="130">
        <v>1.0</v>
      </c>
      <c r="AG25" s="130">
        <v>1.0</v>
      </c>
      <c r="AH25" s="130">
        <v>1.0</v>
      </c>
      <c r="AI25" s="130">
        <v>1.0</v>
      </c>
      <c r="AJ25" s="130">
        <v>1.0</v>
      </c>
      <c r="AK25" s="297"/>
      <c r="AL25" s="298" t="s">
        <v>132</v>
      </c>
      <c r="AM25" s="130" t="s">
        <v>132</v>
      </c>
      <c r="AN25" s="130" t="s">
        <v>132</v>
      </c>
      <c r="AO25" s="130" t="s">
        <v>132</v>
      </c>
      <c r="AP25" s="130" t="s">
        <v>132</v>
      </c>
      <c r="AQ25" s="130" t="s">
        <v>132</v>
      </c>
      <c r="AR25" s="130" t="s">
        <v>132</v>
      </c>
      <c r="AS25" s="130" t="s">
        <v>132</v>
      </c>
      <c r="AT25" s="130" t="s">
        <v>132</v>
      </c>
      <c r="AU25" s="130" t="s">
        <v>132</v>
      </c>
      <c r="AV25" s="130" t="s">
        <v>132</v>
      </c>
      <c r="AW25" s="130"/>
      <c r="AX25" s="130" t="s">
        <v>131</v>
      </c>
      <c r="AY25" s="130"/>
      <c r="AZ25" s="130"/>
      <c r="BA25" s="130"/>
      <c r="BB25" s="130" t="s">
        <v>145</v>
      </c>
      <c r="BC25" s="297"/>
      <c r="BD25" s="298">
        <v>1.0</v>
      </c>
      <c r="BE25" s="130">
        <v>1.0</v>
      </c>
      <c r="BF25" s="130">
        <v>2.0</v>
      </c>
      <c r="BG25" s="130">
        <v>1.0</v>
      </c>
      <c r="BH25" s="130">
        <v>2.0</v>
      </c>
      <c r="BI25" s="301" t="str">
        <f t="shared" si="3"/>
        <v>11212</v>
      </c>
      <c r="BJ25" s="130">
        <v>75.0</v>
      </c>
      <c r="BK25" s="130">
        <v>3.0</v>
      </c>
      <c r="BL25" s="130">
        <v>2.0</v>
      </c>
      <c r="BM25" s="130">
        <v>1.0</v>
      </c>
      <c r="BN25" s="130">
        <v>5.0</v>
      </c>
      <c r="BO25" s="130">
        <v>2.0</v>
      </c>
      <c r="BP25" s="130">
        <v>1.0</v>
      </c>
      <c r="BQ25" s="130">
        <v>2.0</v>
      </c>
      <c r="BR25" s="130">
        <v>2.0</v>
      </c>
      <c r="BS25" s="130">
        <v>5.0</v>
      </c>
      <c r="BT25" s="130">
        <v>2.0</v>
      </c>
      <c r="BU25" s="302">
        <f t="shared" si="4"/>
        <v>1</v>
      </c>
      <c r="BV25" s="302">
        <f t="shared" si="5"/>
        <v>4</v>
      </c>
      <c r="BW25" s="302">
        <f t="shared" si="6"/>
        <v>24</v>
      </c>
      <c r="BX25" s="302" t="str">
        <f t="shared" si="7"/>
        <v>FATIGA</v>
      </c>
      <c r="BY25" s="130">
        <v>1.0</v>
      </c>
      <c r="BZ25" s="130">
        <v>0.0</v>
      </c>
      <c r="CA25" s="130">
        <v>10.0</v>
      </c>
      <c r="CB25" s="130">
        <v>0.0</v>
      </c>
      <c r="CC25" s="130">
        <v>0.0</v>
      </c>
      <c r="CD25" s="130">
        <v>0.0</v>
      </c>
      <c r="CE25" s="130">
        <v>2.0</v>
      </c>
      <c r="CF25" s="130">
        <v>0.0</v>
      </c>
      <c r="CG25" s="130">
        <v>10.0</v>
      </c>
      <c r="CH25" s="130">
        <v>2.0</v>
      </c>
      <c r="CI25" s="130">
        <v>0.0</v>
      </c>
      <c r="CJ25" s="302">
        <f t="shared" si="26"/>
        <v>146</v>
      </c>
      <c r="CK25" s="301">
        <f t="shared" si="9"/>
        <v>3</v>
      </c>
      <c r="CL25" s="301" t="b">
        <f t="shared" si="50"/>
        <v>0</v>
      </c>
      <c r="CM25" s="301" t="b">
        <f t="shared" si="10"/>
        <v>0</v>
      </c>
      <c r="CN25" s="208" t="str">
        <f t="shared" si="11"/>
        <v>Nivel de actividad física bajo</v>
      </c>
      <c r="CO25" s="130">
        <v>23.0</v>
      </c>
      <c r="CP25" s="130">
        <v>45.0</v>
      </c>
      <c r="CQ25" s="223">
        <f t="shared" si="12"/>
        <v>2</v>
      </c>
      <c r="CR25" s="130">
        <v>5.0</v>
      </c>
      <c r="CS25" s="130">
        <v>50.0</v>
      </c>
      <c r="CT25" s="130">
        <v>6.0</v>
      </c>
      <c r="CU25" s="130">
        <v>5.0</v>
      </c>
      <c r="CV25" s="130">
        <v>0.0</v>
      </c>
      <c r="CW25" s="130">
        <v>3.0</v>
      </c>
      <c r="CX25" s="130">
        <v>0.0</v>
      </c>
      <c r="CY25" s="130">
        <v>0.0</v>
      </c>
      <c r="CZ25" s="130">
        <v>1.0</v>
      </c>
      <c r="DA25" s="130">
        <v>0.0</v>
      </c>
      <c r="DB25" s="130">
        <v>2.0</v>
      </c>
      <c r="DC25" s="130">
        <v>0.0</v>
      </c>
      <c r="DD25" s="130">
        <v>2.0</v>
      </c>
      <c r="DE25" s="130">
        <v>3.0</v>
      </c>
      <c r="DF25" s="130"/>
      <c r="DG25" s="303">
        <f t="shared" si="39"/>
        <v>11</v>
      </c>
      <c r="DH25" s="130">
        <v>1.0</v>
      </c>
      <c r="DI25" s="130">
        <v>0.0</v>
      </c>
      <c r="DJ25" s="130">
        <v>3.0</v>
      </c>
      <c r="DK25" s="130">
        <v>0.0</v>
      </c>
      <c r="DL25" s="302">
        <f t="shared" si="27"/>
        <v>83.33333333</v>
      </c>
      <c r="DM25" s="302">
        <f t="shared" si="28"/>
        <v>2</v>
      </c>
      <c r="DN25" s="302">
        <f t="shared" si="29"/>
        <v>2</v>
      </c>
      <c r="DO25" s="302">
        <f t="shared" si="30"/>
        <v>1</v>
      </c>
      <c r="DP25" s="302">
        <f t="shared" si="31"/>
        <v>2</v>
      </c>
      <c r="DQ25" s="302">
        <f t="shared" si="32"/>
        <v>1</v>
      </c>
      <c r="DR25" s="302">
        <f t="shared" ref="DR25:DS25" si="57">(DH25)</f>
        <v>1</v>
      </c>
      <c r="DS25" s="302">
        <f t="shared" si="57"/>
        <v>0</v>
      </c>
      <c r="DT25" s="304">
        <f t="shared" si="34"/>
        <v>9</v>
      </c>
      <c r="DU25" s="304" t="str">
        <f t="shared" si="35"/>
        <v>poor sleep quality</v>
      </c>
      <c r="DV25" s="305">
        <v>3.0</v>
      </c>
      <c r="DW25" s="305" t="s">
        <v>149</v>
      </c>
      <c r="DX25" s="305" t="s">
        <v>146</v>
      </c>
      <c r="DY25" s="305">
        <v>1.0</v>
      </c>
      <c r="DZ25" s="305" t="s">
        <v>131</v>
      </c>
      <c r="EA25" s="305" t="s">
        <v>138</v>
      </c>
      <c r="EB25" s="305"/>
      <c r="EC25" s="305" t="s">
        <v>139</v>
      </c>
      <c r="ED25" s="305" t="s">
        <v>140</v>
      </c>
      <c r="EE25" s="305" t="s">
        <v>131</v>
      </c>
      <c r="EF25" s="305" t="s">
        <v>141</v>
      </c>
      <c r="EG25" s="305">
        <f t="shared" si="36"/>
        <v>993</v>
      </c>
      <c r="EH25" s="305">
        <f t="shared" si="37"/>
        <v>993</v>
      </c>
      <c r="EI25" s="130">
        <f t="shared" si="23"/>
        <v>31.05497327</v>
      </c>
    </row>
    <row r="26" ht="15.75" customHeight="1">
      <c r="A26" s="130" t="s">
        <v>250</v>
      </c>
      <c r="B26" s="54" t="s">
        <v>175</v>
      </c>
      <c r="C26" s="296">
        <v>45075.0</v>
      </c>
      <c r="D26" s="130">
        <v>57.0</v>
      </c>
      <c r="E26" s="130" t="s">
        <v>130</v>
      </c>
      <c r="F26" s="130">
        <v>170.0</v>
      </c>
      <c r="G26" s="297">
        <v>72.0</v>
      </c>
      <c r="H26" s="298" t="s">
        <v>131</v>
      </c>
      <c r="I26" s="130">
        <v>4.0</v>
      </c>
      <c r="J26" s="299">
        <v>44835.0</v>
      </c>
      <c r="K26" s="130" t="s">
        <v>131</v>
      </c>
      <c r="L26" s="130">
        <v>3.0</v>
      </c>
      <c r="M26" s="299">
        <v>44682.0</v>
      </c>
      <c r="N26" s="130">
        <v>2.0</v>
      </c>
      <c r="O26" s="299">
        <v>44713.0</v>
      </c>
      <c r="P26" s="130" t="s">
        <v>132</v>
      </c>
      <c r="S26" s="130"/>
      <c r="V26" s="121" t="str">
        <f t="shared" si="2"/>
        <v>Paciente ambulatorio</v>
      </c>
      <c r="W26" s="130" t="s">
        <v>176</v>
      </c>
      <c r="X26" s="130" t="s">
        <v>132</v>
      </c>
      <c r="Y26" s="130">
        <v>3.0</v>
      </c>
      <c r="Z26" s="130">
        <v>1.0</v>
      </c>
      <c r="AA26" s="130">
        <v>3.0</v>
      </c>
      <c r="AB26" s="130">
        <v>3.0</v>
      </c>
      <c r="AC26" s="130">
        <v>3.0</v>
      </c>
      <c r="AD26" s="130">
        <v>1.0</v>
      </c>
      <c r="AE26" s="130">
        <v>1.0</v>
      </c>
      <c r="AF26" s="130">
        <v>1.0</v>
      </c>
      <c r="AG26" s="130">
        <v>3.0</v>
      </c>
      <c r="AH26" s="130">
        <v>3.0</v>
      </c>
      <c r="AI26" s="130">
        <v>1.0</v>
      </c>
      <c r="AJ26" s="130">
        <v>1.0</v>
      </c>
      <c r="AK26" s="297"/>
      <c r="AL26" s="298" t="s">
        <v>131</v>
      </c>
      <c r="AM26" s="130" t="s">
        <v>132</v>
      </c>
      <c r="AN26" s="130" t="s">
        <v>132</v>
      </c>
      <c r="AO26" s="130" t="s">
        <v>132</v>
      </c>
      <c r="AP26" s="130" t="s">
        <v>132</v>
      </c>
      <c r="AQ26" s="130" t="s">
        <v>132</v>
      </c>
      <c r="AR26" s="130" t="s">
        <v>132</v>
      </c>
      <c r="AS26" s="130" t="s">
        <v>131</v>
      </c>
      <c r="AT26" s="130" t="s">
        <v>132</v>
      </c>
      <c r="AU26" s="130" t="s">
        <v>132</v>
      </c>
      <c r="AV26" s="130" t="s">
        <v>132</v>
      </c>
      <c r="AW26" s="130"/>
      <c r="AX26" s="130" t="s">
        <v>131</v>
      </c>
      <c r="AY26" s="130">
        <v>12.0</v>
      </c>
      <c r="AZ26" s="130">
        <v>30.0</v>
      </c>
      <c r="BA26" s="130"/>
      <c r="BB26" s="130" t="s">
        <v>145</v>
      </c>
      <c r="BC26" s="297"/>
      <c r="BD26" s="298">
        <v>1.0</v>
      </c>
      <c r="BE26" s="130">
        <v>1.0</v>
      </c>
      <c r="BF26" s="130">
        <v>1.0</v>
      </c>
      <c r="BG26" s="130">
        <v>1.0</v>
      </c>
      <c r="BH26" s="130">
        <v>2.0</v>
      </c>
      <c r="BI26" s="301" t="str">
        <f t="shared" si="3"/>
        <v>11112</v>
      </c>
      <c r="BJ26" s="130">
        <v>70.0</v>
      </c>
      <c r="BK26" s="130">
        <v>4.0</v>
      </c>
      <c r="BL26" s="130">
        <v>4.0</v>
      </c>
      <c r="BM26" s="130">
        <v>4.0</v>
      </c>
      <c r="BN26" s="130">
        <v>2.0</v>
      </c>
      <c r="BO26" s="130">
        <v>2.0</v>
      </c>
      <c r="BP26" s="130">
        <v>2.0</v>
      </c>
      <c r="BQ26" s="130">
        <v>2.0</v>
      </c>
      <c r="BR26" s="130">
        <v>2.0</v>
      </c>
      <c r="BS26" s="130">
        <v>2.0</v>
      </c>
      <c r="BT26" s="130">
        <v>2.0</v>
      </c>
      <c r="BU26" s="302">
        <f t="shared" si="4"/>
        <v>4</v>
      </c>
      <c r="BV26" s="302">
        <f t="shared" si="5"/>
        <v>4</v>
      </c>
      <c r="BW26" s="302">
        <f t="shared" si="6"/>
        <v>28</v>
      </c>
      <c r="BX26" s="302" t="str">
        <f t="shared" si="7"/>
        <v>FATIGA</v>
      </c>
      <c r="BY26" s="130">
        <v>0.0</v>
      </c>
      <c r="BZ26" s="130">
        <v>0.0</v>
      </c>
      <c r="CA26" s="130">
        <v>0.0</v>
      </c>
      <c r="CB26" s="130">
        <v>0.0</v>
      </c>
      <c r="CC26" s="130">
        <v>0.0</v>
      </c>
      <c r="CD26" s="130">
        <v>0.0</v>
      </c>
      <c r="CE26" s="130">
        <v>0.0</v>
      </c>
      <c r="CF26" s="130">
        <v>0.0</v>
      </c>
      <c r="CG26" s="130">
        <v>0.0</v>
      </c>
      <c r="CH26" s="130">
        <v>2.0</v>
      </c>
      <c r="CI26" s="130">
        <v>0.0</v>
      </c>
      <c r="CJ26" s="302">
        <f t="shared" si="26"/>
        <v>0</v>
      </c>
      <c r="CK26" s="301">
        <f t="shared" si="9"/>
        <v>0</v>
      </c>
      <c r="CL26" s="301" t="str">
        <f>IF(#REF!&gt;3000,IF(#REF!&gt;6,"Nivel de actividad física alto"),IF(#REF!&gt;1500,IF(#REF!&gt;2,"Nivel de actividad física alto")))</f>
        <v>#REF!</v>
      </c>
      <c r="CM26" s="301" t="b">
        <f t="shared" si="10"/>
        <v>0</v>
      </c>
      <c r="CN26" s="208" t="str">
        <f t="shared" si="11"/>
        <v>#REF!</v>
      </c>
      <c r="CO26" s="308">
        <v>0.9791666666666666</v>
      </c>
      <c r="CP26" s="130">
        <v>15.0</v>
      </c>
      <c r="CQ26" s="223">
        <f t="shared" si="12"/>
        <v>0</v>
      </c>
      <c r="CR26" s="130">
        <v>6.0</v>
      </c>
      <c r="CS26" s="130">
        <v>30.0</v>
      </c>
      <c r="CT26" s="130">
        <v>7.0</v>
      </c>
      <c r="CU26" s="130">
        <v>5.0</v>
      </c>
      <c r="CV26" s="130">
        <v>2.0</v>
      </c>
      <c r="CW26" s="130">
        <v>0.0</v>
      </c>
      <c r="CX26" s="130">
        <v>0.0</v>
      </c>
      <c r="CY26" s="130">
        <v>0.0</v>
      </c>
      <c r="CZ26" s="130">
        <v>3.0</v>
      </c>
      <c r="DA26" s="130">
        <v>0.0</v>
      </c>
      <c r="DB26" s="130">
        <v>0.0</v>
      </c>
      <c r="DC26" s="130">
        <v>1.0</v>
      </c>
      <c r="DD26" s="130">
        <v>3.0</v>
      </c>
      <c r="DE26" s="130">
        <v>3.0</v>
      </c>
      <c r="DF26" s="130" t="s">
        <v>251</v>
      </c>
      <c r="DG26" s="303">
        <f t="shared" si="39"/>
        <v>10</v>
      </c>
      <c r="DH26" s="130">
        <v>1.0</v>
      </c>
      <c r="DI26" s="130">
        <v>0.0</v>
      </c>
      <c r="DJ26" s="130">
        <v>3.0</v>
      </c>
      <c r="DK26" s="130">
        <v>1.0</v>
      </c>
      <c r="DL26" s="302">
        <f t="shared" si="27"/>
        <v>71.42857143</v>
      </c>
      <c r="DM26" s="302">
        <f t="shared" si="28"/>
        <v>2</v>
      </c>
      <c r="DN26" s="302">
        <f t="shared" si="29"/>
        <v>2</v>
      </c>
      <c r="DO26" s="302">
        <f t="shared" si="30"/>
        <v>1</v>
      </c>
      <c r="DP26" s="302">
        <f t="shared" si="31"/>
        <v>2</v>
      </c>
      <c r="DQ26" s="302">
        <f t="shared" si="32"/>
        <v>2</v>
      </c>
      <c r="DR26" s="302">
        <f t="shared" ref="DR26:DS26" si="58">(DH26)</f>
        <v>1</v>
      </c>
      <c r="DS26" s="302">
        <f t="shared" si="58"/>
        <v>0</v>
      </c>
      <c r="DT26" s="304">
        <f t="shared" si="34"/>
        <v>10</v>
      </c>
      <c r="DU26" s="304" t="str">
        <f t="shared" si="35"/>
        <v>poor sleep quality</v>
      </c>
      <c r="DV26" s="305">
        <v>1.0</v>
      </c>
      <c r="DW26" s="305" t="s">
        <v>155</v>
      </c>
      <c r="DX26" s="305" t="s">
        <v>146</v>
      </c>
      <c r="DY26" s="305">
        <v>1.0</v>
      </c>
      <c r="DZ26" s="305" t="s">
        <v>131</v>
      </c>
      <c r="EA26" s="305" t="s">
        <v>157</v>
      </c>
      <c r="EB26" s="305"/>
      <c r="EC26" s="305" t="s">
        <v>252</v>
      </c>
      <c r="ED26" s="305"/>
      <c r="EE26" s="305" t="s">
        <v>132</v>
      </c>
      <c r="EF26" s="305" t="s">
        <v>141</v>
      </c>
      <c r="EG26" s="305">
        <f t="shared" si="36"/>
        <v>393</v>
      </c>
      <c r="EH26" s="305">
        <f t="shared" si="37"/>
        <v>362</v>
      </c>
      <c r="EI26" s="130">
        <f t="shared" si="23"/>
        <v>24.91349481</v>
      </c>
    </row>
    <row r="27" ht="15.75" customHeight="1">
      <c r="A27" s="130" t="s">
        <v>255</v>
      </c>
      <c r="B27" s="54" t="s">
        <v>175</v>
      </c>
      <c r="C27" s="296">
        <v>45075.0</v>
      </c>
      <c r="D27" s="130">
        <v>44.0</v>
      </c>
      <c r="E27" s="130" t="s">
        <v>153</v>
      </c>
      <c r="F27" s="130">
        <v>186.0</v>
      </c>
      <c r="G27" s="297">
        <v>72.0</v>
      </c>
      <c r="H27" s="298" t="s">
        <v>131</v>
      </c>
      <c r="I27" s="130">
        <v>4.0</v>
      </c>
      <c r="J27" s="299">
        <v>44743.0</v>
      </c>
      <c r="K27" s="130" t="s">
        <v>131</v>
      </c>
      <c r="L27" s="130">
        <v>1.0</v>
      </c>
      <c r="M27" s="299">
        <v>44093.0</v>
      </c>
      <c r="N27" s="130">
        <v>0.0</v>
      </c>
      <c r="O27" s="299">
        <v>44093.0</v>
      </c>
      <c r="P27" s="130" t="s">
        <v>132</v>
      </c>
      <c r="S27" s="130"/>
      <c r="V27" s="121" t="str">
        <f t="shared" si="2"/>
        <v>Paciente ambulatorio</v>
      </c>
      <c r="W27" s="130" t="s">
        <v>190</v>
      </c>
      <c r="X27" s="130" t="s">
        <v>132</v>
      </c>
      <c r="Y27" s="130">
        <v>3.0</v>
      </c>
      <c r="Z27" s="130">
        <v>1.0</v>
      </c>
      <c r="AA27" s="130">
        <v>1.0</v>
      </c>
      <c r="AB27" s="130">
        <v>1.0</v>
      </c>
      <c r="AC27" s="130">
        <v>3.0</v>
      </c>
      <c r="AD27" s="130">
        <v>3.0</v>
      </c>
      <c r="AE27" s="130">
        <v>3.0</v>
      </c>
      <c r="AF27" s="130">
        <v>1.0</v>
      </c>
      <c r="AG27" s="130">
        <v>3.0</v>
      </c>
      <c r="AH27" s="130">
        <v>3.0</v>
      </c>
      <c r="AI27" s="130">
        <v>1.0</v>
      </c>
      <c r="AJ27" s="130">
        <v>1.0</v>
      </c>
      <c r="AK27" s="297"/>
      <c r="AL27" s="298" t="s">
        <v>132</v>
      </c>
      <c r="AM27" s="130" t="s">
        <v>132</v>
      </c>
      <c r="AN27" s="130" t="s">
        <v>132</v>
      </c>
      <c r="AO27" s="130" t="s">
        <v>132</v>
      </c>
      <c r="AP27" s="130" t="s">
        <v>132</v>
      </c>
      <c r="AQ27" s="130" t="s">
        <v>132</v>
      </c>
      <c r="AR27" s="130" t="s">
        <v>132</v>
      </c>
      <c r="AS27" s="130" t="s">
        <v>132</v>
      </c>
      <c r="AT27" s="130" t="s">
        <v>132</v>
      </c>
      <c r="AU27" s="130" t="s">
        <v>132</v>
      </c>
      <c r="AV27" s="130" t="s">
        <v>131</v>
      </c>
      <c r="AW27" s="130" t="s">
        <v>256</v>
      </c>
      <c r="AX27" s="130" t="s">
        <v>131</v>
      </c>
      <c r="AY27" s="130">
        <v>3.0</v>
      </c>
      <c r="AZ27" s="130">
        <v>20.0</v>
      </c>
      <c r="BA27" s="130"/>
      <c r="BB27" s="130" t="s">
        <v>192</v>
      </c>
      <c r="BC27" s="297">
        <v>1.5</v>
      </c>
      <c r="BD27" s="298">
        <v>1.0</v>
      </c>
      <c r="BE27" s="130">
        <v>1.0</v>
      </c>
      <c r="BF27" s="130">
        <v>1.0</v>
      </c>
      <c r="BG27" s="130">
        <v>1.0</v>
      </c>
      <c r="BH27" s="130">
        <v>2.0</v>
      </c>
      <c r="BI27" s="301" t="str">
        <f t="shared" si="3"/>
        <v>11112</v>
      </c>
      <c r="BJ27" s="130">
        <v>80.0</v>
      </c>
      <c r="BK27" s="130">
        <v>2.0</v>
      </c>
      <c r="BL27" s="130">
        <v>2.0</v>
      </c>
      <c r="BM27" s="130">
        <v>1.0</v>
      </c>
      <c r="BN27" s="130">
        <v>5.0</v>
      </c>
      <c r="BO27" s="130">
        <v>2.0</v>
      </c>
      <c r="BP27" s="130">
        <v>2.0</v>
      </c>
      <c r="BQ27" s="130">
        <v>2.0</v>
      </c>
      <c r="BR27" s="130">
        <v>1.0</v>
      </c>
      <c r="BS27" s="130">
        <v>2.0</v>
      </c>
      <c r="BT27" s="130">
        <v>2.0</v>
      </c>
      <c r="BU27" s="302">
        <f t="shared" si="4"/>
        <v>1</v>
      </c>
      <c r="BV27" s="302">
        <f t="shared" si="5"/>
        <v>4</v>
      </c>
      <c r="BW27" s="302">
        <f t="shared" si="6"/>
        <v>20</v>
      </c>
      <c r="BX27" s="302" t="str">
        <f t="shared" si="7"/>
        <v>NO HAY FATIGA</v>
      </c>
      <c r="BY27" s="130">
        <v>0.0</v>
      </c>
      <c r="BZ27" s="130">
        <v>0.0</v>
      </c>
      <c r="CA27" s="130">
        <v>0.0</v>
      </c>
      <c r="CB27" s="130">
        <v>2.0</v>
      </c>
      <c r="CC27" s="130">
        <v>1.0</v>
      </c>
      <c r="CD27" s="130">
        <v>20.0</v>
      </c>
      <c r="CE27" s="130">
        <v>7.0</v>
      </c>
      <c r="CF27" s="130">
        <v>0.0</v>
      </c>
      <c r="CG27" s="130">
        <v>20.0</v>
      </c>
      <c r="CH27" s="130">
        <v>1.0</v>
      </c>
      <c r="CI27" s="130">
        <v>0.0</v>
      </c>
      <c r="CJ27" s="302">
        <f t="shared" si="26"/>
        <v>1102</v>
      </c>
      <c r="CK27" s="301">
        <f t="shared" si="9"/>
        <v>9</v>
      </c>
      <c r="CL27" s="301" t="b">
        <f t="shared" ref="CL27:CL28" si="60">IF(CJ28&gt;3000,IF(CK28&gt;6,"Nivel de actividad física alto"),IF(CJ28&gt;1500,IF(BY28&gt;2,"Nivel de actividad física alto")))</f>
        <v>0</v>
      </c>
      <c r="CM27" s="301" t="str">
        <f t="shared" si="10"/>
        <v>Nivel de actividad física moderado</v>
      </c>
      <c r="CN27" s="208" t="str">
        <f t="shared" si="11"/>
        <v>Nivel de actividad física moderado</v>
      </c>
      <c r="CO27" s="130">
        <v>1.0</v>
      </c>
      <c r="CP27" s="130">
        <v>5.0</v>
      </c>
      <c r="CQ27" s="223">
        <f t="shared" si="12"/>
        <v>0</v>
      </c>
      <c r="CR27" s="130">
        <v>9.0</v>
      </c>
      <c r="CS27" s="130">
        <v>30.0</v>
      </c>
      <c r="CT27" s="130">
        <v>8.5</v>
      </c>
      <c r="CU27" s="130">
        <v>8.0</v>
      </c>
      <c r="CV27" s="130">
        <v>1.0</v>
      </c>
      <c r="CW27" s="130">
        <v>3.0</v>
      </c>
      <c r="CX27" s="130">
        <v>3.0</v>
      </c>
      <c r="CY27" s="130">
        <v>0.0</v>
      </c>
      <c r="CZ27" s="130">
        <v>1.0</v>
      </c>
      <c r="DA27" s="130">
        <v>0.0</v>
      </c>
      <c r="DB27" s="130">
        <v>0.0</v>
      </c>
      <c r="DC27" s="130">
        <v>0.0</v>
      </c>
      <c r="DD27" s="130">
        <v>0.0</v>
      </c>
      <c r="DE27" s="130"/>
      <c r="DF27" s="130"/>
      <c r="DG27" s="303">
        <f t="shared" si="39"/>
        <v>7</v>
      </c>
      <c r="DH27" s="130">
        <v>0.0</v>
      </c>
      <c r="DI27" s="130">
        <v>0.0</v>
      </c>
      <c r="DJ27" s="130">
        <v>3.0</v>
      </c>
      <c r="DK27" s="130">
        <v>0.0</v>
      </c>
      <c r="DL27" s="302">
        <f t="shared" si="27"/>
        <v>94.11764706</v>
      </c>
      <c r="DM27" s="302">
        <f t="shared" si="28"/>
        <v>0</v>
      </c>
      <c r="DN27" s="302">
        <f t="shared" si="29"/>
        <v>1</v>
      </c>
      <c r="DO27" s="302">
        <f t="shared" si="30"/>
        <v>1</v>
      </c>
      <c r="DP27" s="302">
        <f t="shared" si="31"/>
        <v>2</v>
      </c>
      <c r="DQ27" s="302">
        <f t="shared" si="32"/>
        <v>0</v>
      </c>
      <c r="DR27" s="302">
        <f t="shared" ref="DR27:DS27" si="59">(DH27)</f>
        <v>0</v>
      </c>
      <c r="DS27" s="302">
        <f t="shared" si="59"/>
        <v>0</v>
      </c>
      <c r="DT27" s="304">
        <f t="shared" si="34"/>
        <v>4</v>
      </c>
      <c r="DU27" s="304" t="str">
        <f t="shared" si="35"/>
        <v>good sleep quality</v>
      </c>
      <c r="DV27" s="305">
        <v>1.0</v>
      </c>
      <c r="DW27" s="305" t="s">
        <v>257</v>
      </c>
      <c r="DX27" s="305" t="s">
        <v>137</v>
      </c>
      <c r="DY27" s="305">
        <v>1.0</v>
      </c>
      <c r="DZ27" s="305" t="s">
        <v>131</v>
      </c>
      <c r="EA27" s="305" t="s">
        <v>147</v>
      </c>
      <c r="EB27" s="305"/>
      <c r="EC27" s="305" t="s">
        <v>139</v>
      </c>
      <c r="ED27" s="305"/>
      <c r="EE27" s="305" t="s">
        <v>132</v>
      </c>
      <c r="EF27" s="305" t="s">
        <v>158</v>
      </c>
      <c r="EG27" s="305">
        <f t="shared" si="36"/>
        <v>982</v>
      </c>
      <c r="EH27" s="305">
        <f t="shared" si="37"/>
        <v>982</v>
      </c>
      <c r="EI27" s="130">
        <f t="shared" si="23"/>
        <v>20.81165453</v>
      </c>
    </row>
    <row r="28" ht="15.75" customHeight="1">
      <c r="A28" s="130" t="s">
        <v>258</v>
      </c>
      <c r="B28" s="54" t="s">
        <v>175</v>
      </c>
      <c r="C28" s="296">
        <v>45075.0</v>
      </c>
      <c r="D28" s="130">
        <v>59.0</v>
      </c>
      <c r="E28" s="130" t="s">
        <v>130</v>
      </c>
      <c r="F28" s="130">
        <v>162.0</v>
      </c>
      <c r="G28" s="297">
        <v>104.0</v>
      </c>
      <c r="H28" s="298" t="s">
        <v>131</v>
      </c>
      <c r="I28" s="130">
        <v>5.0</v>
      </c>
      <c r="J28" s="299" t="s">
        <v>761</v>
      </c>
      <c r="K28" s="130" t="s">
        <v>131</v>
      </c>
      <c r="L28" s="130">
        <v>1.0</v>
      </c>
      <c r="M28" s="299">
        <v>44106.0</v>
      </c>
      <c r="N28" s="130">
        <v>0.0</v>
      </c>
      <c r="O28" s="299">
        <v>44106.0</v>
      </c>
      <c r="P28" s="130" t="s">
        <v>132</v>
      </c>
      <c r="S28" s="130"/>
      <c r="V28" s="121" t="str">
        <f t="shared" si="2"/>
        <v>Paciente ambulatorio</v>
      </c>
      <c r="W28" s="130" t="s">
        <v>176</v>
      </c>
      <c r="X28" s="130" t="s">
        <v>132</v>
      </c>
      <c r="Y28" s="130">
        <v>1.0</v>
      </c>
      <c r="Z28" s="130">
        <v>1.0</v>
      </c>
      <c r="AA28" s="130">
        <v>2.0</v>
      </c>
      <c r="AB28" s="130">
        <v>3.0</v>
      </c>
      <c r="AC28" s="130">
        <v>3.0</v>
      </c>
      <c r="AD28" s="130">
        <v>1.0</v>
      </c>
      <c r="AE28" s="130">
        <v>1.0</v>
      </c>
      <c r="AF28" s="130">
        <v>1.0</v>
      </c>
      <c r="AG28" s="130">
        <v>3.0</v>
      </c>
      <c r="AH28" s="130">
        <v>1.0</v>
      </c>
      <c r="AI28" s="130">
        <v>1.0</v>
      </c>
      <c r="AJ28" s="130">
        <v>1.0</v>
      </c>
      <c r="AK28" s="297"/>
      <c r="AL28" s="298" t="s">
        <v>132</v>
      </c>
      <c r="AM28" s="130" t="s">
        <v>131</v>
      </c>
      <c r="AN28" s="130" t="s">
        <v>132</v>
      </c>
      <c r="AO28" s="130" t="s">
        <v>131</v>
      </c>
      <c r="AP28" s="130" t="s">
        <v>132</v>
      </c>
      <c r="AQ28" s="130" t="s">
        <v>132</v>
      </c>
      <c r="AR28" s="130" t="s">
        <v>132</v>
      </c>
      <c r="AS28" s="130" t="s">
        <v>132</v>
      </c>
      <c r="AT28" s="130" t="s">
        <v>132</v>
      </c>
      <c r="AU28" s="130" t="s">
        <v>132</v>
      </c>
      <c r="AV28" s="130" t="s">
        <v>131</v>
      </c>
      <c r="AW28" s="130" t="s">
        <v>259</v>
      </c>
      <c r="AX28" s="130" t="s">
        <v>165</v>
      </c>
      <c r="AY28" s="130"/>
      <c r="AZ28" s="130"/>
      <c r="BA28" s="130">
        <v>17.0</v>
      </c>
      <c r="BB28" s="130" t="s">
        <v>145</v>
      </c>
      <c r="BC28" s="297"/>
      <c r="BD28" s="298">
        <v>2.0</v>
      </c>
      <c r="BE28" s="130">
        <v>1.0</v>
      </c>
      <c r="BF28" s="130">
        <v>2.0</v>
      </c>
      <c r="BG28" s="130">
        <v>2.0</v>
      </c>
      <c r="BH28" s="130">
        <v>3.0</v>
      </c>
      <c r="BI28" s="301" t="str">
        <f t="shared" si="3"/>
        <v>21223</v>
      </c>
      <c r="BJ28" s="130">
        <v>50.0</v>
      </c>
      <c r="BK28" s="130">
        <v>4.0</v>
      </c>
      <c r="BL28" s="130">
        <v>4.0</v>
      </c>
      <c r="BM28" s="130">
        <v>5.0</v>
      </c>
      <c r="BN28" s="130">
        <v>3.0</v>
      </c>
      <c r="BO28" s="130">
        <v>3.0</v>
      </c>
      <c r="BP28" s="130"/>
      <c r="BQ28" s="130">
        <v>3.0</v>
      </c>
      <c r="BR28" s="130">
        <v>5.0</v>
      </c>
      <c r="BS28" s="130">
        <v>4.0</v>
      </c>
      <c r="BT28" s="130">
        <v>2.0</v>
      </c>
      <c r="BU28" s="302">
        <f t="shared" si="4"/>
        <v>3</v>
      </c>
      <c r="BV28" s="302">
        <f t="shared" si="5"/>
        <v>4</v>
      </c>
      <c r="BW28" s="302">
        <f t="shared" si="6"/>
        <v>34</v>
      </c>
      <c r="BX28" s="302" t="str">
        <f t="shared" si="7"/>
        <v>FATIGA</v>
      </c>
      <c r="BY28" s="130">
        <v>0.0</v>
      </c>
      <c r="BZ28" s="130">
        <v>0.0</v>
      </c>
      <c r="CA28" s="130">
        <v>0.0</v>
      </c>
      <c r="CB28" s="130">
        <v>2.0</v>
      </c>
      <c r="CC28" s="130">
        <v>1.0</v>
      </c>
      <c r="CD28" s="130">
        <v>0.0</v>
      </c>
      <c r="CE28" s="130">
        <v>0.0</v>
      </c>
      <c r="CF28" s="130">
        <v>0.0</v>
      </c>
      <c r="CG28" s="130">
        <v>0.0</v>
      </c>
      <c r="CH28" s="130">
        <v>4.0</v>
      </c>
      <c r="CI28" s="130">
        <v>0.0</v>
      </c>
      <c r="CJ28" s="302">
        <f t="shared" si="26"/>
        <v>480</v>
      </c>
      <c r="CK28" s="301">
        <f t="shared" si="9"/>
        <v>2</v>
      </c>
      <c r="CL28" s="301" t="b">
        <f t="shared" si="60"/>
        <v>0</v>
      </c>
      <c r="CM28" s="301" t="b">
        <f t="shared" si="10"/>
        <v>0</v>
      </c>
      <c r="CN28" s="208" t="str">
        <f t="shared" si="11"/>
        <v>Nivel de actividad física bajo</v>
      </c>
      <c r="CO28" s="130">
        <v>23.0</v>
      </c>
      <c r="CP28" s="130">
        <v>120.0</v>
      </c>
      <c r="CQ28" s="223">
        <f t="shared" si="12"/>
        <v>3</v>
      </c>
      <c r="CR28" s="130">
        <v>9.0</v>
      </c>
      <c r="CS28" s="130">
        <v>30.0</v>
      </c>
      <c r="CT28" s="130">
        <v>10.5</v>
      </c>
      <c r="CU28" s="130">
        <v>5.5</v>
      </c>
      <c r="CV28" s="130">
        <v>2.0</v>
      </c>
      <c r="CW28" s="130">
        <v>2.0</v>
      </c>
      <c r="CX28" s="130">
        <v>2.0</v>
      </c>
      <c r="CY28" s="130">
        <v>0.0</v>
      </c>
      <c r="CZ28" s="130">
        <v>1.0</v>
      </c>
      <c r="DA28" s="130">
        <v>0.0</v>
      </c>
      <c r="DB28" s="130">
        <v>2.0</v>
      </c>
      <c r="DC28" s="130">
        <v>0.0</v>
      </c>
      <c r="DD28" s="130">
        <v>2.0</v>
      </c>
      <c r="DE28" s="130"/>
      <c r="DF28" s="130"/>
      <c r="DG28" s="303">
        <f t="shared" si="39"/>
        <v>9</v>
      </c>
      <c r="DH28" s="130">
        <v>2.0</v>
      </c>
      <c r="DI28" s="130">
        <v>3.0</v>
      </c>
      <c r="DJ28" s="130">
        <v>2.0</v>
      </c>
      <c r="DK28" s="130">
        <v>3.0</v>
      </c>
      <c r="DL28" s="302">
        <f t="shared" si="27"/>
        <v>52.38095238</v>
      </c>
      <c r="DM28" s="302">
        <f t="shared" si="28"/>
        <v>2</v>
      </c>
      <c r="DN28" s="302">
        <f t="shared" si="29"/>
        <v>1</v>
      </c>
      <c r="DO28" s="302">
        <f t="shared" si="30"/>
        <v>3</v>
      </c>
      <c r="DP28" s="302">
        <f t="shared" si="31"/>
        <v>3</v>
      </c>
      <c r="DQ28" s="302">
        <f t="shared" si="32"/>
        <v>3</v>
      </c>
      <c r="DR28" s="302">
        <f t="shared" ref="DR28:DS28" si="61">(DH28)</f>
        <v>2</v>
      </c>
      <c r="DS28" s="302">
        <f t="shared" si="61"/>
        <v>3</v>
      </c>
      <c r="DT28" s="304">
        <f t="shared" si="34"/>
        <v>17</v>
      </c>
      <c r="DU28" s="304" t="str">
        <f t="shared" si="35"/>
        <v>poor sleep quality</v>
      </c>
      <c r="DV28" s="305">
        <v>2.0</v>
      </c>
      <c r="DW28" s="305" t="s">
        <v>260</v>
      </c>
      <c r="DX28" s="305" t="s">
        <v>146</v>
      </c>
      <c r="DY28" s="305">
        <v>1.0</v>
      </c>
      <c r="DZ28" s="305" t="s">
        <v>131</v>
      </c>
      <c r="EA28" s="305" t="s">
        <v>147</v>
      </c>
      <c r="EB28" s="305"/>
      <c r="EC28" s="305" t="s">
        <v>261</v>
      </c>
      <c r="ED28" s="305" t="s">
        <v>131</v>
      </c>
      <c r="EE28" s="305" t="s">
        <v>131</v>
      </c>
      <c r="EF28" s="305" t="s">
        <v>141</v>
      </c>
      <c r="EG28" s="305">
        <f t="shared" si="36"/>
        <v>969</v>
      </c>
      <c r="EH28" s="305">
        <f t="shared" si="37"/>
        <v>969</v>
      </c>
      <c r="EI28" s="130">
        <f t="shared" si="23"/>
        <v>39.62810547</v>
      </c>
    </row>
    <row r="29" ht="15.75" customHeight="1">
      <c r="A29" s="130" t="s">
        <v>262</v>
      </c>
      <c r="B29" s="54" t="s">
        <v>175</v>
      </c>
      <c r="C29" s="296">
        <v>45079.0</v>
      </c>
      <c r="D29" s="130">
        <v>37.0</v>
      </c>
      <c r="E29" s="130" t="s">
        <v>130</v>
      </c>
      <c r="F29" s="130">
        <v>156.0</v>
      </c>
      <c r="G29" s="297">
        <v>59.0</v>
      </c>
      <c r="H29" s="298" t="s">
        <v>131</v>
      </c>
      <c r="I29" s="130">
        <v>5.0</v>
      </c>
      <c r="J29" s="299">
        <v>44860.0</v>
      </c>
      <c r="K29" s="130" t="s">
        <v>131</v>
      </c>
      <c r="L29" s="130">
        <v>1.0</v>
      </c>
      <c r="M29" s="299">
        <v>44578.0</v>
      </c>
      <c r="N29" s="130">
        <v>3.0</v>
      </c>
      <c r="O29" s="299">
        <v>44578.0</v>
      </c>
      <c r="P29" s="130" t="s">
        <v>132</v>
      </c>
      <c r="S29" s="130"/>
      <c r="V29" s="121" t="str">
        <f t="shared" si="2"/>
        <v>Paciente ambulatorio</v>
      </c>
      <c r="W29" s="130" t="s">
        <v>176</v>
      </c>
      <c r="X29" s="130" t="s">
        <v>131</v>
      </c>
      <c r="Y29" s="130">
        <v>2.0</v>
      </c>
      <c r="Z29" s="130">
        <v>1.0</v>
      </c>
      <c r="AA29" s="130">
        <v>3.0</v>
      </c>
      <c r="AB29" s="130">
        <v>3.0</v>
      </c>
      <c r="AC29" s="130">
        <v>1.0</v>
      </c>
      <c r="AD29" s="130">
        <v>2.0</v>
      </c>
      <c r="AE29" s="130">
        <v>2.0</v>
      </c>
      <c r="AF29" s="130">
        <v>1.0</v>
      </c>
      <c r="AG29" s="130">
        <v>3.0</v>
      </c>
      <c r="AH29" s="130">
        <v>3.0</v>
      </c>
      <c r="AI29" s="130">
        <v>1.0</v>
      </c>
      <c r="AJ29" s="130">
        <v>1.0</v>
      </c>
      <c r="AK29" s="297" t="s">
        <v>263</v>
      </c>
      <c r="AL29" s="298" t="s">
        <v>131</v>
      </c>
      <c r="AM29" s="130" t="s">
        <v>132</v>
      </c>
      <c r="AN29" s="130" t="s">
        <v>131</v>
      </c>
      <c r="AO29" s="130" t="s">
        <v>131</v>
      </c>
      <c r="AP29" s="130" t="s">
        <v>132</v>
      </c>
      <c r="AQ29" s="130" t="s">
        <v>132</v>
      </c>
      <c r="AR29" s="130" t="s">
        <v>132</v>
      </c>
      <c r="AS29" s="130" t="s">
        <v>131</v>
      </c>
      <c r="AT29" s="130" t="s">
        <v>132</v>
      </c>
      <c r="AU29" s="130" t="s">
        <v>132</v>
      </c>
      <c r="AV29" s="130" t="s">
        <v>131</v>
      </c>
      <c r="AW29" s="130" t="s">
        <v>264</v>
      </c>
      <c r="AX29" s="130" t="s">
        <v>132</v>
      </c>
      <c r="AY29" s="130"/>
      <c r="AZ29" s="130"/>
      <c r="BA29" s="130"/>
      <c r="BB29" s="130" t="s">
        <v>145</v>
      </c>
      <c r="BC29" s="297"/>
      <c r="BD29" s="298">
        <v>1.0</v>
      </c>
      <c r="BE29" s="130">
        <v>1.0</v>
      </c>
      <c r="BF29" s="130">
        <v>1.0</v>
      </c>
      <c r="BG29" s="130">
        <v>1.0</v>
      </c>
      <c r="BH29" s="130">
        <v>2.0</v>
      </c>
      <c r="BI29" s="301" t="str">
        <f t="shared" si="3"/>
        <v>11112</v>
      </c>
      <c r="BJ29" s="130">
        <v>80.0</v>
      </c>
      <c r="BK29" s="130">
        <v>4.0</v>
      </c>
      <c r="BL29" s="130">
        <v>5.0</v>
      </c>
      <c r="BM29" s="130">
        <v>3.0</v>
      </c>
      <c r="BN29" s="130">
        <v>5.0</v>
      </c>
      <c r="BO29" s="130">
        <v>3.0</v>
      </c>
      <c r="BP29" s="130">
        <v>2.0</v>
      </c>
      <c r="BQ29" s="130">
        <v>3.0</v>
      </c>
      <c r="BR29" s="130">
        <v>2.0</v>
      </c>
      <c r="BS29" s="130">
        <v>2.0</v>
      </c>
      <c r="BT29" s="130">
        <v>2.0</v>
      </c>
      <c r="BU29" s="302">
        <f t="shared" si="4"/>
        <v>1</v>
      </c>
      <c r="BV29" s="302">
        <f t="shared" si="5"/>
        <v>4</v>
      </c>
      <c r="BW29" s="302">
        <f t="shared" si="6"/>
        <v>30</v>
      </c>
      <c r="BX29" s="302" t="str">
        <f t="shared" si="7"/>
        <v>FATIGA</v>
      </c>
      <c r="BY29" s="130">
        <v>1.0</v>
      </c>
      <c r="BZ29" s="130">
        <v>2.0</v>
      </c>
      <c r="CA29" s="130">
        <v>0.0</v>
      </c>
      <c r="CB29" s="130">
        <v>0.0</v>
      </c>
      <c r="CC29" s="130">
        <v>0.0</v>
      </c>
      <c r="CD29" s="130">
        <v>0.0</v>
      </c>
      <c r="CE29" s="130">
        <v>1.0</v>
      </c>
      <c r="CF29" s="130">
        <v>0.0</v>
      </c>
      <c r="CG29" s="130">
        <v>35.0</v>
      </c>
      <c r="CH29" s="130">
        <v>10.0</v>
      </c>
      <c r="CI29" s="130">
        <v>0.0</v>
      </c>
      <c r="CJ29" s="302">
        <f t="shared" si="26"/>
        <v>1075.5</v>
      </c>
      <c r="CK29" s="301">
        <f t="shared" si="9"/>
        <v>2</v>
      </c>
      <c r="CL29" s="301" t="str">
        <f>IF(#REF!&gt;3000,IF(#REF!&gt;6,"Nivel de actividad física alto"),IF(#REF!&gt;1500,IF(#REF!&gt;2,"Nivel de actividad física alto")))</f>
        <v>#REF!</v>
      </c>
      <c r="CM29" s="301" t="b">
        <f t="shared" si="10"/>
        <v>0</v>
      </c>
      <c r="CN29" s="208" t="str">
        <f t="shared" si="11"/>
        <v>#REF!</v>
      </c>
      <c r="CO29" s="130">
        <v>22.0</v>
      </c>
      <c r="CP29" s="130">
        <v>30.0</v>
      </c>
      <c r="CQ29" s="223">
        <f t="shared" si="12"/>
        <v>1</v>
      </c>
      <c r="CR29" s="130">
        <v>6.0</v>
      </c>
      <c r="CS29" s="130">
        <v>0.0</v>
      </c>
      <c r="CT29" s="130">
        <v>8.0</v>
      </c>
      <c r="CU29" s="130">
        <v>5.0</v>
      </c>
      <c r="CV29" s="130">
        <v>2.0</v>
      </c>
      <c r="CW29" s="130">
        <v>3.0</v>
      </c>
      <c r="CX29" s="130">
        <v>3.0</v>
      </c>
      <c r="CY29" s="130">
        <v>0.0</v>
      </c>
      <c r="CZ29" s="130">
        <v>0.0</v>
      </c>
      <c r="DA29" s="130">
        <v>0.0</v>
      </c>
      <c r="DB29" s="130">
        <v>2.0</v>
      </c>
      <c r="DC29" s="130">
        <v>2.0</v>
      </c>
      <c r="DD29" s="130">
        <v>1.0</v>
      </c>
      <c r="DE29" s="130"/>
      <c r="DF29" s="130"/>
      <c r="DG29" s="303">
        <f t="shared" si="39"/>
        <v>11</v>
      </c>
      <c r="DH29" s="130">
        <v>1.0</v>
      </c>
      <c r="DI29" s="130">
        <v>0.0</v>
      </c>
      <c r="DJ29" s="130">
        <v>2.0</v>
      </c>
      <c r="DK29" s="130">
        <v>2.0</v>
      </c>
      <c r="DL29" s="302">
        <f t="shared" si="27"/>
        <v>62.5</v>
      </c>
      <c r="DM29" s="302">
        <f t="shared" si="28"/>
        <v>2</v>
      </c>
      <c r="DN29" s="302">
        <f t="shared" si="29"/>
        <v>2</v>
      </c>
      <c r="DO29" s="302">
        <f t="shared" si="30"/>
        <v>2</v>
      </c>
      <c r="DP29" s="302">
        <f t="shared" si="31"/>
        <v>2</v>
      </c>
      <c r="DQ29" s="302">
        <f t="shared" si="32"/>
        <v>3</v>
      </c>
      <c r="DR29" s="302">
        <f t="shared" ref="DR29:DS29" si="62">(DH29)</f>
        <v>1</v>
      </c>
      <c r="DS29" s="302">
        <f t="shared" si="62"/>
        <v>0</v>
      </c>
      <c r="DT29" s="304">
        <f t="shared" si="34"/>
        <v>12</v>
      </c>
      <c r="DU29" s="304" t="str">
        <f t="shared" si="35"/>
        <v>poor sleep quality</v>
      </c>
      <c r="DV29" s="305">
        <v>3.0</v>
      </c>
      <c r="DW29" s="130" t="s">
        <v>247</v>
      </c>
      <c r="DX29" s="305" t="s">
        <v>146</v>
      </c>
      <c r="DY29" s="305">
        <v>2.0</v>
      </c>
      <c r="DZ29" s="305" t="s">
        <v>131</v>
      </c>
      <c r="EA29" s="305" t="s">
        <v>167</v>
      </c>
      <c r="EB29" s="305"/>
      <c r="EC29" s="305" t="s">
        <v>172</v>
      </c>
      <c r="ED29" s="305"/>
      <c r="EE29" s="305" t="s">
        <v>132</v>
      </c>
      <c r="EF29" s="305" t="s">
        <v>141</v>
      </c>
      <c r="EG29" s="305">
        <f t="shared" si="36"/>
        <v>501</v>
      </c>
      <c r="EH29" s="305">
        <f t="shared" si="37"/>
        <v>501</v>
      </c>
      <c r="EI29" s="130">
        <f t="shared" si="23"/>
        <v>24.24391847</v>
      </c>
    </row>
    <row r="30" ht="19.5" customHeight="1">
      <c r="A30" s="130" t="s">
        <v>277</v>
      </c>
      <c r="B30" s="54" t="s">
        <v>175</v>
      </c>
      <c r="C30" s="296">
        <v>45079.0</v>
      </c>
      <c r="D30" s="130">
        <v>44.0</v>
      </c>
      <c r="E30" s="130" t="s">
        <v>130</v>
      </c>
      <c r="F30" s="130">
        <v>164.0</v>
      </c>
      <c r="G30" s="297">
        <v>57.0</v>
      </c>
      <c r="H30" s="298" t="s">
        <v>131</v>
      </c>
      <c r="I30" s="130">
        <v>2.0</v>
      </c>
      <c r="J30" s="299"/>
      <c r="K30" s="130" t="s">
        <v>131</v>
      </c>
      <c r="L30" s="130">
        <v>1.0</v>
      </c>
      <c r="M30" s="299">
        <v>44053.0</v>
      </c>
      <c r="N30" s="130">
        <v>0.0</v>
      </c>
      <c r="O30" s="299">
        <v>44053.0</v>
      </c>
      <c r="P30" s="130" t="s">
        <v>132</v>
      </c>
      <c r="Q30" s="306"/>
      <c r="R30" s="306"/>
      <c r="S30" s="130"/>
      <c r="U30" s="130"/>
      <c r="V30" s="121" t="str">
        <f t="shared" si="2"/>
        <v>Paciente ambulatorio</v>
      </c>
      <c r="W30" s="130" t="s">
        <v>176</v>
      </c>
      <c r="X30" s="130" t="s">
        <v>132</v>
      </c>
      <c r="Y30" s="130">
        <v>2.0</v>
      </c>
      <c r="Z30" s="130">
        <v>1.0</v>
      </c>
      <c r="AA30" s="130">
        <v>2.0</v>
      </c>
      <c r="AB30" s="130">
        <v>2.0</v>
      </c>
      <c r="AC30" s="130">
        <v>2.0</v>
      </c>
      <c r="AD30" s="130">
        <v>1.0</v>
      </c>
      <c r="AE30" s="130">
        <v>1.0</v>
      </c>
      <c r="AF30" s="130">
        <v>1.0</v>
      </c>
      <c r="AG30" s="130">
        <v>3.0</v>
      </c>
      <c r="AH30" s="130">
        <v>3.0</v>
      </c>
      <c r="AI30" s="130">
        <v>1.0</v>
      </c>
      <c r="AJ30" s="130">
        <v>1.0</v>
      </c>
      <c r="AK30" s="297" t="s">
        <v>278</v>
      </c>
      <c r="AL30" s="298" t="s">
        <v>132</v>
      </c>
      <c r="AM30" s="130" t="s">
        <v>132</v>
      </c>
      <c r="AN30" s="130" t="s">
        <v>132</v>
      </c>
      <c r="AO30" s="130" t="s">
        <v>132</v>
      </c>
      <c r="AP30" s="130" t="s">
        <v>132</v>
      </c>
      <c r="AQ30" s="130" t="s">
        <v>132</v>
      </c>
      <c r="AR30" s="130" t="s">
        <v>132</v>
      </c>
      <c r="AS30" s="130" t="s">
        <v>132</v>
      </c>
      <c r="AT30" s="130" t="s">
        <v>132</v>
      </c>
      <c r="AU30" s="130" t="s">
        <v>132</v>
      </c>
      <c r="AV30" s="130" t="s">
        <v>132</v>
      </c>
      <c r="AW30" s="130"/>
      <c r="AX30" s="130" t="s">
        <v>132</v>
      </c>
      <c r="AY30" s="130"/>
      <c r="AZ30" s="130"/>
      <c r="BA30" s="130"/>
      <c r="BB30" s="130" t="s">
        <v>135</v>
      </c>
      <c r="BC30" s="297">
        <v>4.0</v>
      </c>
      <c r="BD30" s="298">
        <v>1.0</v>
      </c>
      <c r="BE30" s="130">
        <v>1.0</v>
      </c>
      <c r="BF30" s="130">
        <v>1.0</v>
      </c>
      <c r="BG30" s="130">
        <v>2.0</v>
      </c>
      <c r="BH30" s="130">
        <v>2.0</v>
      </c>
      <c r="BI30" s="301" t="str">
        <f t="shared" si="3"/>
        <v>11122</v>
      </c>
      <c r="BJ30" s="130">
        <v>60.0</v>
      </c>
      <c r="BK30" s="130">
        <v>3.0</v>
      </c>
      <c r="BL30" s="130">
        <v>3.0</v>
      </c>
      <c r="BM30" s="130">
        <v>3.0</v>
      </c>
      <c r="BN30" s="130">
        <v>2.0</v>
      </c>
      <c r="BO30" s="130">
        <v>4.0</v>
      </c>
      <c r="BP30" s="130">
        <v>3.0</v>
      </c>
      <c r="BQ30" s="130">
        <v>4.0</v>
      </c>
      <c r="BR30" s="130">
        <v>3.0</v>
      </c>
      <c r="BS30" s="130">
        <v>4.0</v>
      </c>
      <c r="BT30" s="130">
        <v>2.0</v>
      </c>
      <c r="BU30" s="302">
        <f t="shared" si="4"/>
        <v>4</v>
      </c>
      <c r="BV30" s="302">
        <f t="shared" si="5"/>
        <v>4</v>
      </c>
      <c r="BW30" s="302">
        <f t="shared" si="6"/>
        <v>33</v>
      </c>
      <c r="BX30" s="302" t="str">
        <f t="shared" si="7"/>
        <v>FATIGA</v>
      </c>
      <c r="BY30" s="130">
        <v>0.0</v>
      </c>
      <c r="BZ30" s="130">
        <v>0.0</v>
      </c>
      <c r="CA30" s="130">
        <v>0.0</v>
      </c>
      <c r="CB30" s="130">
        <v>2.0</v>
      </c>
      <c r="CC30" s="130">
        <v>1.0</v>
      </c>
      <c r="CD30" s="130">
        <v>0.0</v>
      </c>
      <c r="CE30" s="130">
        <v>0.0</v>
      </c>
      <c r="CF30" s="130">
        <v>0.0</v>
      </c>
      <c r="CG30" s="130">
        <v>0.0</v>
      </c>
      <c r="CH30" s="130">
        <v>5.0</v>
      </c>
      <c r="CI30" s="130">
        <v>0.0</v>
      </c>
      <c r="CJ30" s="302">
        <f t="shared" si="26"/>
        <v>480</v>
      </c>
      <c r="CK30" s="301">
        <f t="shared" si="9"/>
        <v>2</v>
      </c>
      <c r="CL30" s="301" t="b">
        <f>IF(CJ31&gt;3000,IF(CK31&gt;6,"Nivel de actividad física alto"),IF(CJ31&gt;1500,IF(BY31&gt;2,"Nivel de actividad física alto")))</f>
        <v>0</v>
      </c>
      <c r="CM30" s="301" t="b">
        <f t="shared" si="10"/>
        <v>0</v>
      </c>
      <c r="CN30" s="208" t="str">
        <f t="shared" si="11"/>
        <v>Nivel de actividad física bajo</v>
      </c>
      <c r="CO30" s="130">
        <v>0.0</v>
      </c>
      <c r="CP30" s="130">
        <v>10.0</v>
      </c>
      <c r="CQ30" s="223">
        <f t="shared" si="12"/>
        <v>0</v>
      </c>
      <c r="CR30" s="130">
        <v>7.0</v>
      </c>
      <c r="CS30" s="130">
        <v>0.0</v>
      </c>
      <c r="CT30" s="130">
        <v>7.0</v>
      </c>
      <c r="CU30" s="130">
        <v>6.0</v>
      </c>
      <c r="CV30" s="130">
        <v>0.0</v>
      </c>
      <c r="CW30" s="130">
        <v>2.0</v>
      </c>
      <c r="CX30" s="130">
        <v>0.0</v>
      </c>
      <c r="CY30" s="130">
        <v>0.0</v>
      </c>
      <c r="CZ30" s="130">
        <v>0.0</v>
      </c>
      <c r="DA30" s="130">
        <v>0.0</v>
      </c>
      <c r="DB30" s="130">
        <v>0.0</v>
      </c>
      <c r="DC30" s="130">
        <v>0.0</v>
      </c>
      <c r="DD30" s="130">
        <v>2.0</v>
      </c>
      <c r="DE30" s="130">
        <v>2.0</v>
      </c>
      <c r="DF30" s="130" t="s">
        <v>279</v>
      </c>
      <c r="DG30" s="303">
        <f t="shared" si="39"/>
        <v>6</v>
      </c>
      <c r="DH30" s="130">
        <v>1.0</v>
      </c>
      <c r="DI30" s="130">
        <v>0.0</v>
      </c>
      <c r="DJ30" s="130">
        <v>1.0</v>
      </c>
      <c r="DK30" s="130">
        <v>1.0</v>
      </c>
      <c r="DL30" s="302">
        <f t="shared" si="27"/>
        <v>85.71428571</v>
      </c>
      <c r="DM30" s="302">
        <f t="shared" si="28"/>
        <v>1</v>
      </c>
      <c r="DN30" s="302">
        <f t="shared" si="29"/>
        <v>1</v>
      </c>
      <c r="DO30" s="302">
        <f t="shared" si="30"/>
        <v>0</v>
      </c>
      <c r="DP30" s="302">
        <f t="shared" si="31"/>
        <v>1</v>
      </c>
      <c r="DQ30" s="302">
        <f t="shared" si="32"/>
        <v>0</v>
      </c>
      <c r="DR30" s="302">
        <f t="shared" ref="DR30:DS30" si="63">(DH30)</f>
        <v>1</v>
      </c>
      <c r="DS30" s="302">
        <f t="shared" si="63"/>
        <v>0</v>
      </c>
      <c r="DT30" s="304">
        <f t="shared" si="34"/>
        <v>4</v>
      </c>
      <c r="DU30" s="304" t="str">
        <f t="shared" si="35"/>
        <v>good sleep quality</v>
      </c>
      <c r="DV30" s="305">
        <v>6.0</v>
      </c>
      <c r="DW30" s="305" t="s">
        <v>280</v>
      </c>
      <c r="DX30" s="305" t="s">
        <v>146</v>
      </c>
      <c r="DY30" s="305">
        <v>1.0</v>
      </c>
      <c r="DZ30" s="305" t="s">
        <v>131</v>
      </c>
      <c r="EA30" s="305" t="s">
        <v>167</v>
      </c>
      <c r="EB30" s="305"/>
      <c r="EC30" s="305" t="s">
        <v>139</v>
      </c>
      <c r="ED30" s="305"/>
      <c r="EE30" s="305" t="s">
        <v>131</v>
      </c>
      <c r="EF30" s="305" t="s">
        <v>203</v>
      </c>
      <c r="EG30" s="305">
        <f t="shared" si="36"/>
        <v>1026</v>
      </c>
      <c r="EH30" s="305">
        <f t="shared" si="37"/>
        <v>1026</v>
      </c>
      <c r="EI30" s="130">
        <f t="shared" si="23"/>
        <v>21.19274242</v>
      </c>
    </row>
    <row r="31" ht="15.75" customHeight="1">
      <c r="A31" s="130" t="s">
        <v>281</v>
      </c>
      <c r="B31" s="54" t="s">
        <v>175</v>
      </c>
      <c r="C31" s="296">
        <v>45082.0</v>
      </c>
      <c r="D31" s="130">
        <v>60.0</v>
      </c>
      <c r="E31" s="130" t="s">
        <v>130</v>
      </c>
      <c r="F31" s="130">
        <v>168.0</v>
      </c>
      <c r="G31" s="297">
        <v>75.0</v>
      </c>
      <c r="H31" s="298" t="s">
        <v>131</v>
      </c>
      <c r="I31" s="130">
        <v>5.0</v>
      </c>
      <c r="J31" s="299">
        <v>44927.0</v>
      </c>
      <c r="K31" s="130" t="s">
        <v>131</v>
      </c>
      <c r="L31" s="130">
        <v>1.0</v>
      </c>
      <c r="M31" s="299">
        <v>44105.0</v>
      </c>
      <c r="N31" s="130">
        <v>0.0</v>
      </c>
      <c r="O31" s="299">
        <v>44105.0</v>
      </c>
      <c r="P31" s="130" t="s">
        <v>132</v>
      </c>
      <c r="Q31" s="306"/>
      <c r="R31" s="306"/>
      <c r="S31" s="130"/>
      <c r="U31" s="130"/>
      <c r="V31" s="121" t="str">
        <f t="shared" si="2"/>
        <v>Paciente ambulatorio</v>
      </c>
      <c r="W31" s="130" t="s">
        <v>176</v>
      </c>
      <c r="X31" s="130" t="s">
        <v>132</v>
      </c>
      <c r="Y31" s="130">
        <v>3.0</v>
      </c>
      <c r="Z31" s="130">
        <v>1.0</v>
      </c>
      <c r="AA31" s="130">
        <v>2.0</v>
      </c>
      <c r="AB31" s="130">
        <v>3.0</v>
      </c>
      <c r="AC31" s="130">
        <v>3.0</v>
      </c>
      <c r="AD31" s="130">
        <v>1.0</v>
      </c>
      <c r="AE31" s="130">
        <v>1.0</v>
      </c>
      <c r="AF31" s="130">
        <v>1.0</v>
      </c>
      <c r="AG31" s="130">
        <v>1.0</v>
      </c>
      <c r="AH31" s="130">
        <v>1.0</v>
      </c>
      <c r="AI31" s="130">
        <v>1.0</v>
      </c>
      <c r="AJ31" s="130">
        <v>1.0</v>
      </c>
      <c r="AK31" s="297"/>
      <c r="AL31" s="298" t="s">
        <v>131</v>
      </c>
      <c r="AM31" s="130" t="s">
        <v>132</v>
      </c>
      <c r="AN31" s="130" t="s">
        <v>132</v>
      </c>
      <c r="AO31" s="130" t="s">
        <v>131</v>
      </c>
      <c r="AP31" s="130" t="s">
        <v>132</v>
      </c>
      <c r="AQ31" s="130" t="s">
        <v>132</v>
      </c>
      <c r="AR31" s="130" t="s">
        <v>132</v>
      </c>
      <c r="AS31" s="130" t="s">
        <v>131</v>
      </c>
      <c r="AT31" s="130" t="s">
        <v>132</v>
      </c>
      <c r="AU31" s="130" t="s">
        <v>132</v>
      </c>
      <c r="AV31" s="130" t="s">
        <v>132</v>
      </c>
      <c r="AW31" s="130"/>
      <c r="AX31" s="130" t="s">
        <v>165</v>
      </c>
      <c r="AY31" s="130"/>
      <c r="AZ31" s="130"/>
      <c r="BA31" s="130"/>
      <c r="BB31" s="130" t="s">
        <v>135</v>
      </c>
      <c r="BC31" s="297">
        <v>1.5</v>
      </c>
      <c r="BD31" s="298">
        <v>1.0</v>
      </c>
      <c r="BE31" s="130">
        <v>1.0</v>
      </c>
      <c r="BF31" s="130">
        <v>1.0</v>
      </c>
      <c r="BG31" s="130">
        <v>2.0</v>
      </c>
      <c r="BH31" s="130">
        <v>2.0</v>
      </c>
      <c r="BI31" s="301" t="str">
        <f t="shared" si="3"/>
        <v>11122</v>
      </c>
      <c r="BJ31" s="130">
        <v>70.0</v>
      </c>
      <c r="BK31" s="130">
        <v>3.0</v>
      </c>
      <c r="BL31" s="130">
        <v>3.0</v>
      </c>
      <c r="BM31" s="130">
        <v>5.0</v>
      </c>
      <c r="BN31" s="130">
        <v>2.0</v>
      </c>
      <c r="BO31" s="130">
        <v>3.0</v>
      </c>
      <c r="BP31" s="130">
        <v>5.0</v>
      </c>
      <c r="BQ31" s="130">
        <v>3.0</v>
      </c>
      <c r="BR31" s="130">
        <v>5.0</v>
      </c>
      <c r="BS31" s="130">
        <v>4.0</v>
      </c>
      <c r="BT31" s="130">
        <v>4.0</v>
      </c>
      <c r="BU31" s="302">
        <f t="shared" si="4"/>
        <v>4</v>
      </c>
      <c r="BV31" s="302">
        <f t="shared" si="5"/>
        <v>2</v>
      </c>
      <c r="BW31" s="302">
        <f t="shared" si="6"/>
        <v>37</v>
      </c>
      <c r="BX31" s="302" t="str">
        <f t="shared" si="7"/>
        <v>FATIGA EXTREMA</v>
      </c>
      <c r="BY31" s="130">
        <v>0.0</v>
      </c>
      <c r="BZ31" s="130">
        <v>0.0</v>
      </c>
      <c r="CA31" s="130">
        <v>0.0</v>
      </c>
      <c r="CB31" s="130">
        <v>0.0</v>
      </c>
      <c r="CC31" s="130">
        <v>0.0</v>
      </c>
      <c r="CD31" s="130">
        <v>0.0</v>
      </c>
      <c r="CE31" s="130">
        <v>7.0</v>
      </c>
      <c r="CF31" s="130">
        <v>0.0</v>
      </c>
      <c r="CG31" s="130">
        <v>15.0</v>
      </c>
      <c r="CH31" s="130">
        <v>6.0</v>
      </c>
      <c r="CI31" s="130">
        <v>0.0</v>
      </c>
      <c r="CJ31" s="302">
        <f t="shared" si="26"/>
        <v>346.5</v>
      </c>
      <c r="CK31" s="301">
        <f t="shared" si="9"/>
        <v>7</v>
      </c>
      <c r="CL31" s="301" t="str">
        <f t="shared" ref="CL31:CL35" si="65">IF(#REF!&gt;3000,IF(#REF!&gt;6,"Nivel de actividad física alto"),IF(#REF!&gt;1500,IF(#REF!&gt;2,"Nivel de actividad física alto")))</f>
        <v>#REF!</v>
      </c>
      <c r="CM31" s="301" t="b">
        <f t="shared" si="10"/>
        <v>0</v>
      </c>
      <c r="CN31" s="208" t="str">
        <f t="shared" si="11"/>
        <v>#REF!</v>
      </c>
      <c r="CO31" s="130">
        <v>21.0</v>
      </c>
      <c r="CP31" s="130">
        <v>240.0</v>
      </c>
      <c r="CQ31" s="223">
        <f t="shared" si="12"/>
        <v>3</v>
      </c>
      <c r="CR31" s="130">
        <v>9.0</v>
      </c>
      <c r="CS31" s="130">
        <v>0.0</v>
      </c>
      <c r="CT31" s="130">
        <v>12.0</v>
      </c>
      <c r="CU31" s="130">
        <v>4.5</v>
      </c>
      <c r="CV31" s="130">
        <v>3.0</v>
      </c>
      <c r="CW31" s="130">
        <v>3.0</v>
      </c>
      <c r="CX31" s="130">
        <v>0.0</v>
      </c>
      <c r="CY31" s="130">
        <v>0.0</v>
      </c>
      <c r="CZ31" s="130">
        <v>3.0</v>
      </c>
      <c r="DA31" s="130">
        <v>0.0</v>
      </c>
      <c r="DB31" s="130">
        <v>3.0</v>
      </c>
      <c r="DC31" s="130">
        <v>0.0</v>
      </c>
      <c r="DD31" s="130">
        <v>3.0</v>
      </c>
      <c r="DE31" s="130"/>
      <c r="DF31" s="130"/>
      <c r="DG31" s="303">
        <f t="shared" si="39"/>
        <v>12</v>
      </c>
      <c r="DH31" s="130">
        <v>2.0</v>
      </c>
      <c r="DI31" s="130">
        <v>0.0</v>
      </c>
      <c r="DJ31" s="130">
        <v>3.0</v>
      </c>
      <c r="DK31" s="130">
        <v>3.0</v>
      </c>
      <c r="DL31" s="302">
        <f t="shared" si="27"/>
        <v>37.5</v>
      </c>
      <c r="DM31" s="302">
        <f t="shared" si="28"/>
        <v>3</v>
      </c>
      <c r="DN31" s="302">
        <f t="shared" si="29"/>
        <v>2</v>
      </c>
      <c r="DO31" s="302">
        <f t="shared" si="30"/>
        <v>3</v>
      </c>
      <c r="DP31" s="302">
        <f t="shared" si="31"/>
        <v>3</v>
      </c>
      <c r="DQ31" s="302">
        <f t="shared" si="32"/>
        <v>3</v>
      </c>
      <c r="DR31" s="302">
        <f t="shared" ref="DR31:DS31" si="64">(DH31)</f>
        <v>2</v>
      </c>
      <c r="DS31" s="302">
        <f t="shared" si="64"/>
        <v>0</v>
      </c>
      <c r="DT31" s="304">
        <f t="shared" si="34"/>
        <v>16</v>
      </c>
      <c r="DU31" s="304" t="str">
        <f t="shared" si="35"/>
        <v>poor sleep quality</v>
      </c>
      <c r="DV31" s="305">
        <v>0.0</v>
      </c>
      <c r="DW31" s="305"/>
      <c r="DX31" s="305" t="s">
        <v>146</v>
      </c>
      <c r="DY31" s="305">
        <v>2.0</v>
      </c>
      <c r="DZ31" s="305" t="s">
        <v>131</v>
      </c>
      <c r="EA31" s="305" t="s">
        <v>147</v>
      </c>
      <c r="EB31" s="305"/>
      <c r="EC31" s="305" t="s">
        <v>261</v>
      </c>
      <c r="ED31" s="305" t="s">
        <v>131</v>
      </c>
      <c r="EE31" s="305" t="s">
        <v>132</v>
      </c>
      <c r="EF31" s="305" t="s">
        <v>141</v>
      </c>
      <c r="EG31" s="305">
        <f t="shared" si="36"/>
        <v>977</v>
      </c>
      <c r="EH31" s="305">
        <f t="shared" si="37"/>
        <v>977</v>
      </c>
      <c r="EI31" s="130">
        <f t="shared" si="23"/>
        <v>26.57312925</v>
      </c>
    </row>
    <row r="32" ht="15.75" customHeight="1">
      <c r="A32" s="130" t="s">
        <v>288</v>
      </c>
      <c r="B32" s="54" t="s">
        <v>175</v>
      </c>
      <c r="C32" s="296">
        <v>45079.0</v>
      </c>
      <c r="D32" s="130">
        <v>59.0</v>
      </c>
      <c r="E32" s="130" t="s">
        <v>130</v>
      </c>
      <c r="F32" s="130">
        <v>164.0</v>
      </c>
      <c r="G32" s="297">
        <v>67.0</v>
      </c>
      <c r="H32" s="298" t="s">
        <v>131</v>
      </c>
      <c r="I32" s="130">
        <v>4.0</v>
      </c>
      <c r="J32" s="299">
        <v>44921.0</v>
      </c>
      <c r="K32" s="130" t="s">
        <v>131</v>
      </c>
      <c r="L32" s="130">
        <v>2.0</v>
      </c>
      <c r="M32" s="299">
        <v>44317.0</v>
      </c>
      <c r="N32" s="130">
        <v>0.0</v>
      </c>
      <c r="O32" s="299">
        <v>44562.0</v>
      </c>
      <c r="P32" s="130" t="s">
        <v>131</v>
      </c>
      <c r="Q32" s="306">
        <v>44317.0</v>
      </c>
      <c r="R32" s="306">
        <v>44713.0</v>
      </c>
      <c r="S32" s="130" t="s">
        <v>132</v>
      </c>
      <c r="U32" s="130" t="s">
        <v>132</v>
      </c>
      <c r="V32" s="121" t="str">
        <f t="shared" si="2"/>
        <v>Internación moderada</v>
      </c>
      <c r="W32" s="130" t="s">
        <v>190</v>
      </c>
      <c r="X32" s="130" t="s">
        <v>131</v>
      </c>
      <c r="Y32" s="130">
        <v>3.0</v>
      </c>
      <c r="Z32" s="130">
        <v>1.0</v>
      </c>
      <c r="AA32" s="130">
        <v>3.0</v>
      </c>
      <c r="AB32" s="130">
        <v>3.0</v>
      </c>
      <c r="AC32" s="130">
        <v>2.0</v>
      </c>
      <c r="AD32" s="130">
        <v>3.0</v>
      </c>
      <c r="AE32" s="130">
        <v>3.0</v>
      </c>
      <c r="AF32" s="130">
        <v>1.0</v>
      </c>
      <c r="AG32" s="130">
        <v>1.0</v>
      </c>
      <c r="AH32" s="130">
        <v>3.0</v>
      </c>
      <c r="AI32" s="130">
        <v>1.0</v>
      </c>
      <c r="AJ32" s="130">
        <v>1.0</v>
      </c>
      <c r="AK32" s="130" t="s">
        <v>263</v>
      </c>
      <c r="AL32" s="298" t="s">
        <v>131</v>
      </c>
      <c r="AM32" s="130" t="s">
        <v>132</v>
      </c>
      <c r="AN32" s="130" t="s">
        <v>131</v>
      </c>
      <c r="AO32" s="130" t="s">
        <v>132</v>
      </c>
      <c r="AP32" s="130" t="s">
        <v>132</v>
      </c>
      <c r="AQ32" s="130" t="s">
        <v>132</v>
      </c>
      <c r="AR32" s="130" t="s">
        <v>132</v>
      </c>
      <c r="AS32" s="130" t="s">
        <v>131</v>
      </c>
      <c r="AT32" s="130" t="s">
        <v>132</v>
      </c>
      <c r="AU32" s="130" t="s">
        <v>132</v>
      </c>
      <c r="AV32" s="130" t="s">
        <v>131</v>
      </c>
      <c r="AW32" s="130" t="s">
        <v>289</v>
      </c>
      <c r="AX32" s="130" t="s">
        <v>132</v>
      </c>
      <c r="AY32" s="130"/>
      <c r="AZ32" s="130"/>
      <c r="BA32" s="130"/>
      <c r="BB32" s="130" t="s">
        <v>145</v>
      </c>
      <c r="BC32" s="297"/>
      <c r="BD32" s="298">
        <v>1.0</v>
      </c>
      <c r="BE32" s="130">
        <v>1.0</v>
      </c>
      <c r="BF32" s="130">
        <v>4.0</v>
      </c>
      <c r="BG32" s="130">
        <v>1.0</v>
      </c>
      <c r="BH32" s="130">
        <v>1.0</v>
      </c>
      <c r="BI32" s="301" t="str">
        <f t="shared" si="3"/>
        <v>11411</v>
      </c>
      <c r="BJ32" s="130">
        <v>40.0</v>
      </c>
      <c r="BK32" s="130">
        <v>4.0</v>
      </c>
      <c r="BL32" s="130">
        <v>2.0</v>
      </c>
      <c r="BM32" s="130">
        <v>2.0</v>
      </c>
      <c r="BN32" s="130">
        <v>2.0</v>
      </c>
      <c r="BO32" s="130">
        <v>4.0</v>
      </c>
      <c r="BP32" s="130">
        <v>4.0</v>
      </c>
      <c r="BQ32" s="130">
        <v>3.0</v>
      </c>
      <c r="BR32" s="130">
        <v>1.0</v>
      </c>
      <c r="BS32" s="130">
        <v>4.0</v>
      </c>
      <c r="BT32" s="130">
        <v>2.0</v>
      </c>
      <c r="BU32" s="302">
        <f t="shared" si="4"/>
        <v>4</v>
      </c>
      <c r="BV32" s="302">
        <f t="shared" si="5"/>
        <v>4</v>
      </c>
      <c r="BW32" s="302">
        <f t="shared" si="6"/>
        <v>30</v>
      </c>
      <c r="BX32" s="302" t="str">
        <f t="shared" si="7"/>
        <v>FATIGA</v>
      </c>
      <c r="BY32" s="130">
        <v>0.0</v>
      </c>
      <c r="BZ32" s="130">
        <v>0.0</v>
      </c>
      <c r="CA32" s="130">
        <v>0.0</v>
      </c>
      <c r="CB32" s="130">
        <v>0.0</v>
      </c>
      <c r="CC32" s="130">
        <v>0.0</v>
      </c>
      <c r="CD32" s="130">
        <v>0.0</v>
      </c>
      <c r="CE32" s="130">
        <v>5.0</v>
      </c>
      <c r="CF32" s="130">
        <v>1.0</v>
      </c>
      <c r="CG32" s="130">
        <v>0.0</v>
      </c>
      <c r="CH32" s="130">
        <v>6.0</v>
      </c>
      <c r="CI32" s="130">
        <v>0.0</v>
      </c>
      <c r="CJ32" s="302">
        <f t="shared" si="26"/>
        <v>990</v>
      </c>
      <c r="CK32" s="301">
        <f t="shared" si="9"/>
        <v>5</v>
      </c>
      <c r="CL32" s="301" t="str">
        <f t="shared" si="65"/>
        <v>#REF!</v>
      </c>
      <c r="CM32" s="301" t="b">
        <f t="shared" si="10"/>
        <v>0</v>
      </c>
      <c r="CN32" s="208" t="str">
        <f t="shared" si="11"/>
        <v>#REF!</v>
      </c>
      <c r="CO32" s="308">
        <v>0.020833333333333332</v>
      </c>
      <c r="CP32" s="130">
        <v>10.0</v>
      </c>
      <c r="CQ32" s="223">
        <f t="shared" si="12"/>
        <v>0</v>
      </c>
      <c r="CR32" s="130">
        <v>9.0</v>
      </c>
      <c r="CS32" s="130">
        <v>30.0</v>
      </c>
      <c r="CT32" s="130">
        <v>9.0</v>
      </c>
      <c r="CU32" s="130">
        <v>8.5</v>
      </c>
      <c r="CV32" s="130">
        <v>0.0</v>
      </c>
      <c r="CW32" s="130">
        <v>2.0</v>
      </c>
      <c r="CX32" s="130">
        <v>2.0</v>
      </c>
      <c r="CY32" s="130">
        <v>0.0</v>
      </c>
      <c r="CZ32" s="130">
        <v>0.0</v>
      </c>
      <c r="DA32" s="130">
        <v>0.0</v>
      </c>
      <c r="DB32" s="130">
        <v>0.0</v>
      </c>
      <c r="DC32" s="130">
        <v>0.0</v>
      </c>
      <c r="DD32" s="130">
        <v>0.0</v>
      </c>
      <c r="DE32" s="130">
        <v>1.0</v>
      </c>
      <c r="DF32" s="130" t="s">
        <v>290</v>
      </c>
      <c r="DG32" s="303">
        <f t="shared" si="39"/>
        <v>5</v>
      </c>
      <c r="DH32" s="130">
        <v>0.0</v>
      </c>
      <c r="DI32" s="130">
        <v>0.0</v>
      </c>
      <c r="DJ32" s="130">
        <v>1.0</v>
      </c>
      <c r="DK32" s="130">
        <v>0.0</v>
      </c>
      <c r="DL32" s="302">
        <f t="shared" si="27"/>
        <v>94.44444444</v>
      </c>
      <c r="DM32" s="302">
        <f t="shared" si="28"/>
        <v>0</v>
      </c>
      <c r="DN32" s="302">
        <f t="shared" si="29"/>
        <v>1</v>
      </c>
      <c r="DO32" s="302">
        <f t="shared" si="30"/>
        <v>0</v>
      </c>
      <c r="DP32" s="302">
        <f t="shared" si="31"/>
        <v>1</v>
      </c>
      <c r="DQ32" s="302">
        <f t="shared" si="32"/>
        <v>0</v>
      </c>
      <c r="DR32" s="302">
        <f t="shared" ref="DR32:DS32" si="66">(DH32)</f>
        <v>0</v>
      </c>
      <c r="DS32" s="302">
        <f t="shared" si="66"/>
        <v>0</v>
      </c>
      <c r="DT32" s="304">
        <f t="shared" si="34"/>
        <v>2</v>
      </c>
      <c r="DU32" s="304" t="str">
        <f t="shared" si="35"/>
        <v>good sleep quality</v>
      </c>
      <c r="DV32" s="305">
        <v>0.0</v>
      </c>
      <c r="DW32" s="305"/>
      <c r="DX32" s="305" t="s">
        <v>146</v>
      </c>
      <c r="DY32" s="305">
        <v>1.0</v>
      </c>
      <c r="DZ32" s="305" t="s">
        <v>131</v>
      </c>
      <c r="EA32" s="305" t="s">
        <v>138</v>
      </c>
      <c r="EB32" s="305"/>
      <c r="EC32" s="305" t="s">
        <v>172</v>
      </c>
      <c r="ED32" s="305" t="s">
        <v>140</v>
      </c>
      <c r="EE32" s="305" t="s">
        <v>131</v>
      </c>
      <c r="EF32" s="305" t="s">
        <v>141</v>
      </c>
      <c r="EG32" s="305">
        <f t="shared" si="36"/>
        <v>762</v>
      </c>
      <c r="EH32" s="305">
        <f t="shared" si="37"/>
        <v>517</v>
      </c>
      <c r="EI32" s="130">
        <f t="shared" si="23"/>
        <v>24.9107674</v>
      </c>
    </row>
    <row r="33" ht="15.75" customHeight="1">
      <c r="A33" s="130" t="s">
        <v>294</v>
      </c>
      <c r="B33" s="54" t="s">
        <v>175</v>
      </c>
      <c r="C33" s="296">
        <v>45093.0</v>
      </c>
      <c r="D33" s="130">
        <v>41.0</v>
      </c>
      <c r="E33" s="130" t="s">
        <v>130</v>
      </c>
      <c r="F33" s="130">
        <v>163.0</v>
      </c>
      <c r="G33" s="297">
        <v>95.0</v>
      </c>
      <c r="H33" s="298" t="s">
        <v>131</v>
      </c>
      <c r="I33" s="130">
        <v>3.0</v>
      </c>
      <c r="J33" s="299">
        <v>44593.0</v>
      </c>
      <c r="K33" s="130" t="s">
        <v>131</v>
      </c>
      <c r="L33" s="130">
        <v>2.0</v>
      </c>
      <c r="M33" s="299">
        <v>44409.0</v>
      </c>
      <c r="N33" s="130">
        <v>2.0</v>
      </c>
      <c r="O33" s="299">
        <v>44531.0</v>
      </c>
      <c r="P33" s="130" t="s">
        <v>132</v>
      </c>
      <c r="Q33" s="306"/>
      <c r="R33" s="306"/>
      <c r="S33" s="130"/>
      <c r="U33" s="130"/>
      <c r="V33" s="121" t="str">
        <f t="shared" si="2"/>
        <v>Paciente ambulatorio</v>
      </c>
      <c r="W33" s="130" t="s">
        <v>176</v>
      </c>
      <c r="X33" s="130" t="s">
        <v>132</v>
      </c>
      <c r="Y33" s="130">
        <v>2.0</v>
      </c>
      <c r="Z33" s="130">
        <v>1.0</v>
      </c>
      <c r="AA33" s="130">
        <v>1.0</v>
      </c>
      <c r="AB33" s="130">
        <v>2.0</v>
      </c>
      <c r="AC33" s="130">
        <v>1.0</v>
      </c>
      <c r="AD33" s="130">
        <v>1.0</v>
      </c>
      <c r="AE33" s="130">
        <v>2.0</v>
      </c>
      <c r="AF33" s="130">
        <v>1.0</v>
      </c>
      <c r="AG33" s="130">
        <v>1.0</v>
      </c>
      <c r="AH33" s="130">
        <v>1.0</v>
      </c>
      <c r="AI33" s="130">
        <v>1.0</v>
      </c>
      <c r="AJ33" s="130">
        <v>1.0</v>
      </c>
      <c r="AK33" s="297" t="s">
        <v>295</v>
      </c>
      <c r="AL33" s="298" t="s">
        <v>132</v>
      </c>
      <c r="AM33" s="130" t="s">
        <v>132</v>
      </c>
      <c r="AN33" s="130" t="s">
        <v>132</v>
      </c>
      <c r="AO33" s="130" t="s">
        <v>131</v>
      </c>
      <c r="AP33" s="130" t="s">
        <v>132</v>
      </c>
      <c r="AQ33" s="130" t="s">
        <v>132</v>
      </c>
      <c r="AR33" s="130" t="s">
        <v>132</v>
      </c>
      <c r="AS33" s="130" t="s">
        <v>132</v>
      </c>
      <c r="AT33" s="130" t="s">
        <v>132</v>
      </c>
      <c r="AU33" s="130" t="s">
        <v>132</v>
      </c>
      <c r="AV33" s="130" t="s">
        <v>131</v>
      </c>
      <c r="AW33" s="130" t="s">
        <v>296</v>
      </c>
      <c r="AX33" s="130" t="s">
        <v>132</v>
      </c>
      <c r="AY33" s="130"/>
      <c r="AZ33" s="130"/>
      <c r="BA33" s="130"/>
      <c r="BB33" s="130" t="s">
        <v>145</v>
      </c>
      <c r="BC33" s="297"/>
      <c r="BD33" s="298">
        <v>1.0</v>
      </c>
      <c r="BE33" s="130">
        <v>1.0</v>
      </c>
      <c r="BF33" s="130">
        <v>1.0</v>
      </c>
      <c r="BG33" s="130">
        <v>2.0</v>
      </c>
      <c r="BH33" s="130">
        <v>2.0</v>
      </c>
      <c r="BI33" s="301" t="str">
        <f t="shared" si="3"/>
        <v>11122</v>
      </c>
      <c r="BJ33" s="130">
        <v>65.0</v>
      </c>
      <c r="BK33" s="130">
        <v>2.0</v>
      </c>
      <c r="BL33" s="130">
        <v>2.0</v>
      </c>
      <c r="BM33" s="130">
        <v>4.0</v>
      </c>
      <c r="BN33" s="130">
        <v>2.0</v>
      </c>
      <c r="BO33" s="130">
        <v>4.0</v>
      </c>
      <c r="BP33" s="130">
        <v>4.0</v>
      </c>
      <c r="BQ33" s="130">
        <v>2.0</v>
      </c>
      <c r="BR33" s="130">
        <v>2.0</v>
      </c>
      <c r="BS33" s="130">
        <v>3.0</v>
      </c>
      <c r="BT33" s="130">
        <v>2.0</v>
      </c>
      <c r="BU33" s="302">
        <f t="shared" si="4"/>
        <v>4</v>
      </c>
      <c r="BV33" s="302">
        <f t="shared" si="5"/>
        <v>4</v>
      </c>
      <c r="BW33" s="302">
        <f t="shared" si="6"/>
        <v>29</v>
      </c>
      <c r="BX33" s="302" t="str">
        <f t="shared" si="7"/>
        <v>FATIGA</v>
      </c>
      <c r="BY33" s="130">
        <v>0.0</v>
      </c>
      <c r="BZ33" s="130">
        <v>0.0</v>
      </c>
      <c r="CA33" s="130">
        <v>0.0</v>
      </c>
      <c r="CB33" s="130">
        <v>0.0</v>
      </c>
      <c r="CC33" s="130">
        <v>0.0</v>
      </c>
      <c r="CD33" s="130">
        <v>0.0</v>
      </c>
      <c r="CE33" s="130">
        <v>3.0</v>
      </c>
      <c r="CF33" s="130">
        <v>0.0</v>
      </c>
      <c r="CG33" s="130">
        <v>40.0</v>
      </c>
      <c r="CH33" s="130">
        <v>5.0</v>
      </c>
      <c r="CI33" s="130">
        <v>0.0</v>
      </c>
      <c r="CJ33" s="302">
        <f t="shared" si="26"/>
        <v>396</v>
      </c>
      <c r="CK33" s="301">
        <f t="shared" si="9"/>
        <v>3</v>
      </c>
      <c r="CL33" s="301" t="str">
        <f t="shared" si="65"/>
        <v>#REF!</v>
      </c>
      <c r="CM33" s="301" t="b">
        <f t="shared" si="10"/>
        <v>0</v>
      </c>
      <c r="CN33" s="208" t="str">
        <f t="shared" si="11"/>
        <v>#REF!</v>
      </c>
      <c r="CO33" s="130">
        <v>23.0</v>
      </c>
      <c r="CP33" s="130">
        <v>40.0</v>
      </c>
      <c r="CQ33" s="223">
        <f t="shared" si="12"/>
        <v>2</v>
      </c>
      <c r="CR33" s="130">
        <v>5.0</v>
      </c>
      <c r="CS33" s="130">
        <v>15.0</v>
      </c>
      <c r="CT33" s="130">
        <v>6.25</v>
      </c>
      <c r="CU33" s="130">
        <v>4.0</v>
      </c>
      <c r="CV33" s="130">
        <v>3.0</v>
      </c>
      <c r="CW33" s="130">
        <v>3.0</v>
      </c>
      <c r="CX33" s="130">
        <v>3.0</v>
      </c>
      <c r="CY33" s="130">
        <v>0.0</v>
      </c>
      <c r="CZ33" s="130">
        <v>0.0</v>
      </c>
      <c r="DA33" s="130">
        <v>1.0</v>
      </c>
      <c r="DB33" s="130">
        <v>1.0</v>
      </c>
      <c r="DC33" s="130">
        <v>2.0</v>
      </c>
      <c r="DD33" s="130">
        <v>0.0</v>
      </c>
      <c r="DE33" s="130">
        <v>1.0</v>
      </c>
      <c r="DF33" s="130" t="s">
        <v>297</v>
      </c>
      <c r="DG33" s="303">
        <f t="shared" si="39"/>
        <v>11</v>
      </c>
      <c r="DH33" s="130">
        <v>2.0</v>
      </c>
      <c r="DI33" s="130">
        <v>0.0</v>
      </c>
      <c r="DJ33" s="130">
        <v>3.0</v>
      </c>
      <c r="DK33" s="130">
        <v>1.0</v>
      </c>
      <c r="DL33" s="302">
        <f t="shared" si="27"/>
        <v>64</v>
      </c>
      <c r="DM33" s="302">
        <f t="shared" si="28"/>
        <v>3</v>
      </c>
      <c r="DN33" s="302">
        <f t="shared" si="29"/>
        <v>2</v>
      </c>
      <c r="DO33" s="302">
        <f t="shared" si="30"/>
        <v>3</v>
      </c>
      <c r="DP33" s="302">
        <f t="shared" si="31"/>
        <v>2</v>
      </c>
      <c r="DQ33" s="302">
        <f t="shared" si="32"/>
        <v>3</v>
      </c>
      <c r="DR33" s="302">
        <f t="shared" ref="DR33:DS33" si="67">(DH33)</f>
        <v>2</v>
      </c>
      <c r="DS33" s="302">
        <f t="shared" si="67"/>
        <v>0</v>
      </c>
      <c r="DT33" s="304">
        <f t="shared" si="34"/>
        <v>15</v>
      </c>
      <c r="DU33" s="304" t="str">
        <f t="shared" si="35"/>
        <v>poor sleep quality</v>
      </c>
      <c r="DV33" s="305">
        <v>1.0</v>
      </c>
      <c r="DW33" s="305" t="s">
        <v>136</v>
      </c>
      <c r="DX33" s="305" t="s">
        <v>146</v>
      </c>
      <c r="DY33" s="305">
        <v>1.0</v>
      </c>
      <c r="DZ33" s="305" t="s">
        <v>131</v>
      </c>
      <c r="EA33" s="305" t="s">
        <v>147</v>
      </c>
      <c r="EB33" s="305"/>
      <c r="EC33" s="305" t="s">
        <v>139</v>
      </c>
      <c r="ED33" s="305"/>
      <c r="EE33" s="305" t="s">
        <v>132</v>
      </c>
      <c r="EF33" s="305" t="s">
        <v>141</v>
      </c>
      <c r="EG33" s="305">
        <f t="shared" si="36"/>
        <v>684</v>
      </c>
      <c r="EH33" s="305">
        <f t="shared" si="37"/>
        <v>562</v>
      </c>
      <c r="EI33" s="130">
        <f t="shared" si="23"/>
        <v>35.75595619</v>
      </c>
    </row>
    <row r="34" ht="15.75" customHeight="1">
      <c r="A34" s="130" t="s">
        <v>300</v>
      </c>
      <c r="B34" s="54" t="s">
        <v>175</v>
      </c>
      <c r="C34" s="296">
        <v>45089.0</v>
      </c>
      <c r="D34" s="130">
        <v>69.0</v>
      </c>
      <c r="E34" s="130" t="s">
        <v>153</v>
      </c>
      <c r="F34" s="130">
        <v>173.0</v>
      </c>
      <c r="G34" s="297">
        <v>84.0</v>
      </c>
      <c r="H34" s="298" t="s">
        <v>131</v>
      </c>
      <c r="I34" s="130">
        <v>2.0</v>
      </c>
      <c r="J34" s="299">
        <v>44454.0</v>
      </c>
      <c r="K34" s="130" t="s">
        <v>131</v>
      </c>
      <c r="L34" s="130">
        <v>3.0</v>
      </c>
      <c r="M34" s="299">
        <v>44013.0</v>
      </c>
      <c r="N34" s="130">
        <v>0.0</v>
      </c>
      <c r="O34" s="299">
        <v>44562.0</v>
      </c>
      <c r="P34" s="130" t="s">
        <v>131</v>
      </c>
      <c r="Q34" s="130">
        <v>2021.0</v>
      </c>
      <c r="R34" s="130">
        <v>2021.0</v>
      </c>
      <c r="S34" s="130" t="s">
        <v>132</v>
      </c>
      <c r="U34" s="130" t="s">
        <v>132</v>
      </c>
      <c r="V34" s="121" t="str">
        <f t="shared" si="2"/>
        <v>Internación moderada</v>
      </c>
      <c r="W34" s="130" t="s">
        <v>183</v>
      </c>
      <c r="X34" s="130" t="s">
        <v>132</v>
      </c>
      <c r="Y34" s="130">
        <v>2.0</v>
      </c>
      <c r="Z34" s="130">
        <v>1.0</v>
      </c>
      <c r="AA34" s="130">
        <v>3.0</v>
      </c>
      <c r="AB34" s="130">
        <v>3.0</v>
      </c>
      <c r="AC34" s="130">
        <v>3.0</v>
      </c>
      <c r="AD34" s="130">
        <v>3.0</v>
      </c>
      <c r="AE34" s="130">
        <v>3.0</v>
      </c>
      <c r="AF34" s="130">
        <v>3.0</v>
      </c>
      <c r="AG34" s="130">
        <v>3.0</v>
      </c>
      <c r="AH34" s="130">
        <v>3.0</v>
      </c>
      <c r="AI34" s="130">
        <v>1.0</v>
      </c>
      <c r="AJ34" s="130">
        <v>3.0</v>
      </c>
      <c r="AK34" s="297"/>
      <c r="AL34" s="298" t="s">
        <v>131</v>
      </c>
      <c r="AM34" s="130" t="s">
        <v>131</v>
      </c>
      <c r="AN34" s="130" t="s">
        <v>132</v>
      </c>
      <c r="AO34" s="130" t="s">
        <v>131</v>
      </c>
      <c r="AP34" s="130" t="s">
        <v>132</v>
      </c>
      <c r="AQ34" s="130" t="s">
        <v>132</v>
      </c>
      <c r="AR34" s="130" t="s">
        <v>132</v>
      </c>
      <c r="AS34" s="130" t="s">
        <v>131</v>
      </c>
      <c r="AT34" s="130" t="s">
        <v>132</v>
      </c>
      <c r="AU34" s="130" t="s">
        <v>132</v>
      </c>
      <c r="AV34" s="130" t="s">
        <v>132</v>
      </c>
      <c r="AW34" s="130"/>
      <c r="AX34" s="130" t="s">
        <v>165</v>
      </c>
      <c r="AY34" s="130"/>
      <c r="AZ34" s="130"/>
      <c r="BA34" s="130">
        <v>10.0</v>
      </c>
      <c r="BB34" s="130" t="s">
        <v>192</v>
      </c>
      <c r="BC34" s="297">
        <v>0.5</v>
      </c>
      <c r="BD34" s="298">
        <v>1.0</v>
      </c>
      <c r="BE34" s="130">
        <v>1.0</v>
      </c>
      <c r="BF34" s="130">
        <v>1.0</v>
      </c>
      <c r="BG34" s="130">
        <v>1.0</v>
      </c>
      <c r="BH34" s="130">
        <v>1.0</v>
      </c>
      <c r="BI34" s="301" t="str">
        <f t="shared" si="3"/>
        <v>11111</v>
      </c>
      <c r="BJ34" s="130">
        <v>75.0</v>
      </c>
      <c r="BK34" s="130">
        <v>2.0</v>
      </c>
      <c r="BL34" s="130">
        <v>1.0</v>
      </c>
      <c r="BM34" s="130">
        <v>5.0</v>
      </c>
      <c r="BN34" s="130">
        <v>5.0</v>
      </c>
      <c r="BO34" s="130">
        <v>2.0</v>
      </c>
      <c r="BP34" s="130">
        <v>1.0</v>
      </c>
      <c r="BQ34" s="130">
        <v>1.0</v>
      </c>
      <c r="BR34" s="130">
        <v>1.0</v>
      </c>
      <c r="BS34" s="130">
        <v>2.0</v>
      </c>
      <c r="BT34" s="130">
        <v>5.0</v>
      </c>
      <c r="BU34" s="302">
        <f t="shared" si="4"/>
        <v>1</v>
      </c>
      <c r="BV34" s="302">
        <f t="shared" si="5"/>
        <v>1</v>
      </c>
      <c r="BW34" s="302">
        <f t="shared" si="6"/>
        <v>21</v>
      </c>
      <c r="BX34" s="302" t="str">
        <f t="shared" si="7"/>
        <v>NO HAY FATIGA</v>
      </c>
      <c r="BY34" s="130">
        <v>0.0</v>
      </c>
      <c r="BZ34" s="130">
        <v>0.0</v>
      </c>
      <c r="CA34" s="130">
        <v>0.0</v>
      </c>
      <c r="CB34" s="130">
        <v>0.0</v>
      </c>
      <c r="CC34" s="130">
        <v>0.0</v>
      </c>
      <c r="CD34" s="130">
        <v>0.0</v>
      </c>
      <c r="CE34" s="130">
        <v>1.0</v>
      </c>
      <c r="CF34" s="130">
        <v>0.0</v>
      </c>
      <c r="CG34" s="130">
        <v>20.0</v>
      </c>
      <c r="CH34" s="130">
        <v>6.0</v>
      </c>
      <c r="CI34" s="130">
        <v>20.0</v>
      </c>
      <c r="CJ34" s="302">
        <f t="shared" si="26"/>
        <v>66</v>
      </c>
      <c r="CK34" s="301">
        <f t="shared" si="9"/>
        <v>1</v>
      </c>
      <c r="CL34" s="301" t="str">
        <f t="shared" si="65"/>
        <v>#REF!</v>
      </c>
      <c r="CM34" s="301" t="b">
        <f t="shared" si="10"/>
        <v>0</v>
      </c>
      <c r="CN34" s="208" t="str">
        <f t="shared" si="11"/>
        <v>#REF!</v>
      </c>
      <c r="CO34" s="308">
        <v>0.0625</v>
      </c>
      <c r="CP34" s="130">
        <v>5.0</v>
      </c>
      <c r="CQ34" s="223">
        <f t="shared" si="12"/>
        <v>0</v>
      </c>
      <c r="CR34" s="130">
        <v>7.0</v>
      </c>
      <c r="CS34" s="130">
        <v>0.0</v>
      </c>
      <c r="CT34" s="130">
        <v>5.5</v>
      </c>
      <c r="CU34" s="130">
        <v>5.0</v>
      </c>
      <c r="CV34" s="130">
        <v>0.0</v>
      </c>
      <c r="CW34" s="130">
        <v>2.0</v>
      </c>
      <c r="CX34" s="130">
        <v>2.0</v>
      </c>
      <c r="CY34" s="130">
        <v>0.0</v>
      </c>
      <c r="CZ34" s="130">
        <v>1.0</v>
      </c>
      <c r="DA34" s="130">
        <v>2.0</v>
      </c>
      <c r="DB34" s="130">
        <v>0.0</v>
      </c>
      <c r="DC34" s="130">
        <v>0.0</v>
      </c>
      <c r="DD34" s="130">
        <v>0.0</v>
      </c>
      <c r="DE34" s="130"/>
      <c r="DF34" s="130"/>
      <c r="DG34" s="303">
        <f t="shared" si="39"/>
        <v>7</v>
      </c>
      <c r="DH34" s="130">
        <v>1.0</v>
      </c>
      <c r="DI34" s="130">
        <v>3.0</v>
      </c>
      <c r="DJ34" s="130">
        <v>2.0</v>
      </c>
      <c r="DK34" s="130">
        <v>1.0</v>
      </c>
      <c r="DL34" s="302">
        <f t="shared" si="27"/>
        <v>90.90909091</v>
      </c>
      <c r="DM34" s="302">
        <f t="shared" si="28"/>
        <v>2</v>
      </c>
      <c r="DN34" s="302">
        <f t="shared" si="29"/>
        <v>1</v>
      </c>
      <c r="DO34" s="302">
        <f t="shared" si="30"/>
        <v>0</v>
      </c>
      <c r="DP34" s="302">
        <f t="shared" si="31"/>
        <v>2</v>
      </c>
      <c r="DQ34" s="302">
        <f t="shared" si="32"/>
        <v>0</v>
      </c>
      <c r="DR34" s="302">
        <f t="shared" ref="DR34:DS34" si="68">(DH34)</f>
        <v>1</v>
      </c>
      <c r="DS34" s="302">
        <f t="shared" si="68"/>
        <v>3</v>
      </c>
      <c r="DT34" s="304">
        <f t="shared" si="34"/>
        <v>9</v>
      </c>
      <c r="DU34" s="304" t="str">
        <f t="shared" si="35"/>
        <v>poor sleep quality</v>
      </c>
      <c r="DV34" s="305">
        <v>2.0</v>
      </c>
      <c r="DW34" s="305" t="s">
        <v>136</v>
      </c>
      <c r="DX34" s="305" t="s">
        <v>137</v>
      </c>
      <c r="DY34" s="305">
        <v>1.0</v>
      </c>
      <c r="DZ34" s="305" t="s">
        <v>131</v>
      </c>
      <c r="EA34" s="305" t="s">
        <v>167</v>
      </c>
      <c r="EB34" s="305"/>
      <c r="EC34" s="305" t="s">
        <v>139</v>
      </c>
      <c r="ED34" s="305" t="s">
        <v>131</v>
      </c>
      <c r="EE34" s="305" t="s">
        <v>132</v>
      </c>
      <c r="EF34" s="305" t="s">
        <v>203</v>
      </c>
      <c r="EG34" s="305">
        <f t="shared" si="36"/>
        <v>1076</v>
      </c>
      <c r="EH34" s="305">
        <f t="shared" si="37"/>
        <v>527</v>
      </c>
      <c r="EI34" s="130">
        <f t="shared" si="23"/>
        <v>28.06642387</v>
      </c>
    </row>
    <row r="35" ht="17.25" customHeight="1">
      <c r="A35" s="130" t="s">
        <v>309</v>
      </c>
      <c r="B35" s="54" t="s">
        <v>175</v>
      </c>
      <c r="C35" s="296">
        <v>45093.0</v>
      </c>
      <c r="D35" s="130">
        <v>52.0</v>
      </c>
      <c r="E35" s="130" t="s">
        <v>130</v>
      </c>
      <c r="F35" s="130">
        <v>170.0</v>
      </c>
      <c r="G35" s="297">
        <v>75.0</v>
      </c>
      <c r="H35" s="298" t="s">
        <v>131</v>
      </c>
      <c r="I35" s="130">
        <v>4.0</v>
      </c>
      <c r="J35" s="299">
        <v>44896.0</v>
      </c>
      <c r="K35" s="130" t="s">
        <v>131</v>
      </c>
      <c r="L35" s="130">
        <v>1.0</v>
      </c>
      <c r="M35" s="299">
        <v>44682.0</v>
      </c>
      <c r="N35" s="130">
        <v>3.0</v>
      </c>
      <c r="O35" s="299">
        <v>44682.0</v>
      </c>
      <c r="P35" s="130" t="s">
        <v>132</v>
      </c>
      <c r="S35" s="130"/>
      <c r="V35" s="121" t="str">
        <f t="shared" si="2"/>
        <v>Paciente ambulatorio</v>
      </c>
      <c r="W35" s="130" t="s">
        <v>183</v>
      </c>
      <c r="X35" s="130" t="s">
        <v>132</v>
      </c>
      <c r="Y35" s="130">
        <v>1.0</v>
      </c>
      <c r="Z35" s="130">
        <v>1.0</v>
      </c>
      <c r="AA35" s="130">
        <v>2.0</v>
      </c>
      <c r="AB35" s="130">
        <v>3.0</v>
      </c>
      <c r="AC35" s="130">
        <v>3.0</v>
      </c>
      <c r="AD35" s="130">
        <v>1.0</v>
      </c>
      <c r="AE35" s="130">
        <v>2.0</v>
      </c>
      <c r="AF35" s="130">
        <v>1.0</v>
      </c>
      <c r="AG35" s="130">
        <v>1.0</v>
      </c>
      <c r="AH35" s="130">
        <v>3.0</v>
      </c>
      <c r="AI35" s="130">
        <v>1.0</v>
      </c>
      <c r="AJ35" s="130">
        <v>1.0</v>
      </c>
      <c r="AK35" s="297" t="s">
        <v>306</v>
      </c>
      <c r="AL35" s="298" t="s">
        <v>132</v>
      </c>
      <c r="AM35" s="130" t="s">
        <v>132</v>
      </c>
      <c r="AN35" s="130" t="s">
        <v>132</v>
      </c>
      <c r="AO35" s="130" t="s">
        <v>132</v>
      </c>
      <c r="AP35" s="130" t="s">
        <v>132</v>
      </c>
      <c r="AQ35" s="130" t="s">
        <v>132</v>
      </c>
      <c r="AR35" s="130" t="s">
        <v>132</v>
      </c>
      <c r="AS35" s="130" t="s">
        <v>132</v>
      </c>
      <c r="AT35" s="130" t="s">
        <v>132</v>
      </c>
      <c r="AU35" s="130" t="s">
        <v>132</v>
      </c>
      <c r="AV35" s="130" t="s">
        <v>131</v>
      </c>
      <c r="AW35" s="130" t="s">
        <v>209</v>
      </c>
      <c r="AX35" s="130" t="s">
        <v>132</v>
      </c>
      <c r="AY35" s="130"/>
      <c r="AZ35" s="130"/>
      <c r="BA35" s="130"/>
      <c r="BB35" s="130" t="s">
        <v>145</v>
      </c>
      <c r="BC35" s="297"/>
      <c r="BD35" s="298">
        <v>1.0</v>
      </c>
      <c r="BE35" s="130">
        <v>1.0</v>
      </c>
      <c r="BF35" s="130">
        <v>2.0</v>
      </c>
      <c r="BG35" s="130">
        <v>2.0</v>
      </c>
      <c r="BH35" s="130">
        <v>2.0</v>
      </c>
      <c r="BI35" s="301" t="str">
        <f t="shared" si="3"/>
        <v>11222</v>
      </c>
      <c r="BJ35" s="130">
        <v>70.0</v>
      </c>
      <c r="BK35" s="130">
        <v>4.0</v>
      </c>
      <c r="BL35" s="130">
        <v>3.0</v>
      </c>
      <c r="BM35" s="130">
        <v>2.0</v>
      </c>
      <c r="BN35" s="130">
        <v>4.0</v>
      </c>
      <c r="BO35" s="130">
        <v>4.0</v>
      </c>
      <c r="BP35" s="130">
        <v>2.0</v>
      </c>
      <c r="BQ35" s="130">
        <v>2.0</v>
      </c>
      <c r="BR35" s="130">
        <v>1.0</v>
      </c>
      <c r="BS35" s="130">
        <v>2.0</v>
      </c>
      <c r="BT35" s="130">
        <v>3.0</v>
      </c>
      <c r="BU35" s="302">
        <f t="shared" si="4"/>
        <v>2</v>
      </c>
      <c r="BV35" s="302">
        <f t="shared" si="5"/>
        <v>3</v>
      </c>
      <c r="BW35" s="302">
        <f t="shared" si="6"/>
        <v>26</v>
      </c>
      <c r="BX35" s="302" t="str">
        <f t="shared" si="7"/>
        <v>FATIGA</v>
      </c>
      <c r="BY35" s="130">
        <v>0.0</v>
      </c>
      <c r="BZ35" s="130">
        <v>0.0</v>
      </c>
      <c r="CA35" s="130">
        <v>0.0</v>
      </c>
      <c r="CB35" s="130">
        <v>0.0</v>
      </c>
      <c r="CC35" s="130">
        <v>0.0</v>
      </c>
      <c r="CD35" s="130">
        <v>0.0</v>
      </c>
      <c r="CE35" s="130">
        <v>7.0</v>
      </c>
      <c r="CF35" s="130">
        <v>0.0</v>
      </c>
      <c r="CG35" s="130">
        <v>30.0</v>
      </c>
      <c r="CH35" s="130">
        <v>3.0</v>
      </c>
      <c r="CI35" s="130">
        <v>0.0</v>
      </c>
      <c r="CJ35" s="302">
        <f t="shared" si="26"/>
        <v>693</v>
      </c>
      <c r="CK35" s="301">
        <f t="shared" si="9"/>
        <v>7</v>
      </c>
      <c r="CL35" s="301" t="str">
        <f t="shared" si="65"/>
        <v>#REF!</v>
      </c>
      <c r="CM35" s="301" t="b">
        <f t="shared" si="10"/>
        <v>0</v>
      </c>
      <c r="CN35" s="208" t="str">
        <f t="shared" si="11"/>
        <v>#REF!</v>
      </c>
      <c r="CO35" s="308">
        <v>0.9791666666666666</v>
      </c>
      <c r="CP35" s="130">
        <v>15.0</v>
      </c>
      <c r="CQ35" s="223">
        <f t="shared" si="12"/>
        <v>0</v>
      </c>
      <c r="CR35" s="130">
        <v>7.0</v>
      </c>
      <c r="CS35" s="130">
        <v>0.0</v>
      </c>
      <c r="CT35" s="130">
        <v>7.5</v>
      </c>
      <c r="CU35" s="130">
        <v>7.0</v>
      </c>
      <c r="CV35" s="130">
        <v>0.0</v>
      </c>
      <c r="CW35" s="130">
        <v>0.0</v>
      </c>
      <c r="CX35" s="130">
        <v>2.0</v>
      </c>
      <c r="CY35" s="130">
        <v>0.0</v>
      </c>
      <c r="CZ35" s="130">
        <v>0.0</v>
      </c>
      <c r="DA35" s="130">
        <v>1.0</v>
      </c>
      <c r="DB35" s="130">
        <v>0.0</v>
      </c>
      <c r="DC35" s="130">
        <v>0.0</v>
      </c>
      <c r="DD35" s="130">
        <v>0.0</v>
      </c>
      <c r="DE35" s="130">
        <v>3.0</v>
      </c>
      <c r="DF35" s="130" t="s">
        <v>310</v>
      </c>
      <c r="DG35" s="303">
        <f t="shared" si="39"/>
        <v>6</v>
      </c>
      <c r="DH35" s="130">
        <v>1.0</v>
      </c>
      <c r="DI35" s="130">
        <v>0.0</v>
      </c>
      <c r="DJ35" s="130">
        <v>2.0</v>
      </c>
      <c r="DK35" s="130">
        <v>1.0</v>
      </c>
      <c r="DL35" s="302">
        <f t="shared" si="27"/>
        <v>93.33333333</v>
      </c>
      <c r="DM35" s="302">
        <f t="shared" si="28"/>
        <v>0</v>
      </c>
      <c r="DN35" s="302">
        <f t="shared" si="29"/>
        <v>1</v>
      </c>
      <c r="DO35" s="302">
        <f t="shared" si="30"/>
        <v>0</v>
      </c>
      <c r="DP35" s="302">
        <f t="shared" si="31"/>
        <v>2</v>
      </c>
      <c r="DQ35" s="302">
        <f t="shared" si="32"/>
        <v>0</v>
      </c>
      <c r="DR35" s="302">
        <f t="shared" ref="DR35:DS35" si="69">(DH35)</f>
        <v>1</v>
      </c>
      <c r="DS35" s="302">
        <f t="shared" si="69"/>
        <v>0</v>
      </c>
      <c r="DT35" s="304">
        <f t="shared" si="34"/>
        <v>4</v>
      </c>
      <c r="DU35" s="304" t="str">
        <f t="shared" si="35"/>
        <v>good sleep quality</v>
      </c>
      <c r="DV35" s="305">
        <v>2.0</v>
      </c>
      <c r="DW35" s="305" t="s">
        <v>149</v>
      </c>
      <c r="DX35" s="305" t="s">
        <v>146</v>
      </c>
      <c r="DY35" s="305">
        <v>2.0</v>
      </c>
      <c r="DZ35" s="305" t="s">
        <v>132</v>
      </c>
      <c r="EA35" s="305" t="s">
        <v>157</v>
      </c>
      <c r="EB35" s="305"/>
      <c r="EC35" s="305" t="s">
        <v>139</v>
      </c>
      <c r="ED35" s="305"/>
      <c r="EE35" s="305" t="s">
        <v>132</v>
      </c>
      <c r="EF35" s="305" t="s">
        <v>141</v>
      </c>
      <c r="EG35" s="305">
        <f t="shared" si="36"/>
        <v>411</v>
      </c>
      <c r="EH35" s="305">
        <f t="shared" si="37"/>
        <v>411</v>
      </c>
      <c r="EI35" s="130">
        <f t="shared" si="23"/>
        <v>25.95155709</v>
      </c>
    </row>
    <row r="36" ht="15.75" customHeight="1">
      <c r="A36" s="130" t="s">
        <v>315</v>
      </c>
      <c r="B36" s="54" t="s">
        <v>175</v>
      </c>
      <c r="C36" s="296">
        <v>45094.0</v>
      </c>
      <c r="D36" s="130">
        <v>48.0</v>
      </c>
      <c r="E36" s="130" t="s">
        <v>130</v>
      </c>
      <c r="F36" s="130">
        <v>152.0</v>
      </c>
      <c r="G36" s="297">
        <v>48.0</v>
      </c>
      <c r="H36" s="298" t="s">
        <v>131</v>
      </c>
      <c r="I36" s="130">
        <v>3.0</v>
      </c>
      <c r="J36" s="299">
        <v>44562.0</v>
      </c>
      <c r="K36" s="130" t="s">
        <v>131</v>
      </c>
      <c r="L36" s="130">
        <v>2.0</v>
      </c>
      <c r="M36" s="299">
        <v>44013.0</v>
      </c>
      <c r="N36" s="130">
        <v>0.0</v>
      </c>
      <c r="O36" s="299">
        <v>44409.0</v>
      </c>
      <c r="P36" s="130" t="s">
        <v>132</v>
      </c>
      <c r="Q36" s="306"/>
      <c r="R36" s="306"/>
      <c r="S36" s="130"/>
      <c r="U36" s="130"/>
      <c r="V36" s="121" t="str">
        <f t="shared" si="2"/>
        <v>Paciente ambulatorio</v>
      </c>
      <c r="W36" s="130" t="s">
        <v>176</v>
      </c>
      <c r="X36" s="130" t="s">
        <v>132</v>
      </c>
      <c r="Y36" s="130">
        <v>1.0</v>
      </c>
      <c r="Z36" s="130">
        <v>1.0</v>
      </c>
      <c r="AA36" s="130">
        <v>1.0</v>
      </c>
      <c r="AB36" s="130">
        <v>3.0</v>
      </c>
      <c r="AC36" s="130">
        <v>1.0</v>
      </c>
      <c r="AD36" s="130">
        <v>1.0</v>
      </c>
      <c r="AE36" s="130">
        <v>3.0</v>
      </c>
      <c r="AF36" s="130">
        <v>1.0</v>
      </c>
      <c r="AG36" s="130">
        <v>3.0</v>
      </c>
      <c r="AH36" s="130">
        <v>1.0</v>
      </c>
      <c r="AI36" s="130">
        <v>3.0</v>
      </c>
      <c r="AJ36" s="130">
        <v>1.0</v>
      </c>
      <c r="AK36" s="297" t="s">
        <v>316</v>
      </c>
      <c r="AL36" s="298" t="s">
        <v>132</v>
      </c>
      <c r="AM36" s="130" t="s">
        <v>132</v>
      </c>
      <c r="AN36" s="130" t="s">
        <v>132</v>
      </c>
      <c r="AO36" s="130" t="s">
        <v>132</v>
      </c>
      <c r="AP36" s="130" t="s">
        <v>132</v>
      </c>
      <c r="AQ36" s="130" t="s">
        <v>132</v>
      </c>
      <c r="AR36" s="130" t="s">
        <v>132</v>
      </c>
      <c r="AS36" s="130" t="s">
        <v>132</v>
      </c>
      <c r="AT36" s="130" t="s">
        <v>132</v>
      </c>
      <c r="AU36" s="130" t="s">
        <v>132</v>
      </c>
      <c r="AV36" s="130" t="s">
        <v>132</v>
      </c>
      <c r="AW36" s="130"/>
      <c r="AX36" s="130" t="s">
        <v>132</v>
      </c>
      <c r="AY36" s="130"/>
      <c r="AZ36" s="130"/>
      <c r="BA36" s="130"/>
      <c r="BB36" s="130" t="s">
        <v>135</v>
      </c>
      <c r="BC36" s="297">
        <v>3.0</v>
      </c>
      <c r="BD36" s="298">
        <v>1.0</v>
      </c>
      <c r="BE36" s="130">
        <v>1.0</v>
      </c>
      <c r="BF36" s="130">
        <v>1.0</v>
      </c>
      <c r="BG36" s="130">
        <v>1.0</v>
      </c>
      <c r="BH36" s="130">
        <v>3.0</v>
      </c>
      <c r="BI36" s="301" t="str">
        <f t="shared" si="3"/>
        <v>11113</v>
      </c>
      <c r="BJ36" s="130">
        <v>85.0</v>
      </c>
      <c r="BK36" s="130">
        <v>3.0</v>
      </c>
      <c r="BL36" s="130">
        <v>4.0</v>
      </c>
      <c r="BM36" s="130">
        <v>2.0</v>
      </c>
      <c r="BN36" s="130">
        <v>2.0</v>
      </c>
      <c r="BO36" s="130">
        <v>4.0</v>
      </c>
      <c r="BP36" s="130">
        <v>2.0</v>
      </c>
      <c r="BQ36" s="130">
        <v>4.0</v>
      </c>
      <c r="BR36" s="130">
        <v>3.0</v>
      </c>
      <c r="BS36" s="130">
        <v>4.0</v>
      </c>
      <c r="BT36" s="130">
        <v>2.0</v>
      </c>
      <c r="BU36" s="302">
        <f t="shared" si="4"/>
        <v>4</v>
      </c>
      <c r="BV36" s="302">
        <f t="shared" si="5"/>
        <v>4</v>
      </c>
      <c r="BW36" s="302">
        <f t="shared" si="6"/>
        <v>32</v>
      </c>
      <c r="BX36" s="302" t="str">
        <f t="shared" si="7"/>
        <v>FATIGA</v>
      </c>
      <c r="BY36" s="130">
        <v>0.0</v>
      </c>
      <c r="BZ36" s="130">
        <v>0.0</v>
      </c>
      <c r="CA36" s="130">
        <v>0.0</v>
      </c>
      <c r="CB36" s="130">
        <v>0.0</v>
      </c>
      <c r="CC36" s="130">
        <v>0.0</v>
      </c>
      <c r="CD36" s="130">
        <v>0.0</v>
      </c>
      <c r="CE36" s="130">
        <v>7.0</v>
      </c>
      <c r="CF36" s="130">
        <v>0.0</v>
      </c>
      <c r="CG36" s="130">
        <v>40.0</v>
      </c>
      <c r="CH36" s="130">
        <v>6.0</v>
      </c>
      <c r="CI36" s="130">
        <v>0.0</v>
      </c>
      <c r="CJ36" s="302">
        <f t="shared" si="26"/>
        <v>924</v>
      </c>
      <c r="CK36" s="301">
        <f t="shared" si="9"/>
        <v>7</v>
      </c>
      <c r="CL36" s="301" t="str">
        <f>IF(CJ37&gt;3000,IF(CK37&gt;6,"Nivel de actividad física alto"),IF(CJ37&gt;1500,IF(BY37&gt;2,"Nivel de actividad física alto")))</f>
        <v>Nivel de actividad física alto</v>
      </c>
      <c r="CM36" s="301" t="str">
        <f t="shared" si="10"/>
        <v>Nivel de actividad física moderado</v>
      </c>
      <c r="CN36" s="208" t="str">
        <f t="shared" si="11"/>
        <v>Nivel de actividad física alto</v>
      </c>
      <c r="CO36" s="130">
        <v>21.0</v>
      </c>
      <c r="CP36" s="130">
        <v>15.0</v>
      </c>
      <c r="CQ36" s="223">
        <f t="shared" si="12"/>
        <v>0</v>
      </c>
      <c r="CR36" s="130">
        <v>6.0</v>
      </c>
      <c r="CS36" s="130">
        <v>0.0</v>
      </c>
      <c r="CT36" s="130">
        <v>9.0</v>
      </c>
      <c r="CU36" s="130">
        <v>4.0</v>
      </c>
      <c r="CV36" s="130">
        <v>0.0</v>
      </c>
      <c r="CW36" s="130">
        <v>3.0</v>
      </c>
      <c r="CX36" s="130">
        <v>0.0</v>
      </c>
      <c r="CY36" s="130">
        <v>3.0</v>
      </c>
      <c r="CZ36" s="130">
        <v>0.0</v>
      </c>
      <c r="DA36" s="130">
        <v>0.0</v>
      </c>
      <c r="DB36" s="130">
        <v>3.0</v>
      </c>
      <c r="DC36" s="130">
        <v>0.0</v>
      </c>
      <c r="DD36" s="130">
        <v>0.0</v>
      </c>
      <c r="DE36" s="130">
        <v>0.0</v>
      </c>
      <c r="DF36" s="130"/>
      <c r="DG36" s="303">
        <f t="shared" si="39"/>
        <v>9</v>
      </c>
      <c r="DH36" s="130">
        <v>2.0</v>
      </c>
      <c r="DI36" s="130">
        <v>0.0</v>
      </c>
      <c r="DJ36" s="130">
        <v>3.0</v>
      </c>
      <c r="DK36" s="130">
        <v>1.0</v>
      </c>
      <c r="DL36" s="302">
        <f t="shared" si="27"/>
        <v>44.44444444</v>
      </c>
      <c r="DM36" s="302">
        <f t="shared" si="28"/>
        <v>3</v>
      </c>
      <c r="DN36" s="302">
        <f t="shared" si="29"/>
        <v>1</v>
      </c>
      <c r="DO36" s="302">
        <f t="shared" si="30"/>
        <v>0</v>
      </c>
      <c r="DP36" s="302">
        <f t="shared" si="31"/>
        <v>2</v>
      </c>
      <c r="DQ36" s="302">
        <f t="shared" si="32"/>
        <v>3</v>
      </c>
      <c r="DR36" s="302">
        <f t="shared" ref="DR36:DS36" si="70">(DH36)</f>
        <v>2</v>
      </c>
      <c r="DS36" s="302">
        <f t="shared" si="70"/>
        <v>0</v>
      </c>
      <c r="DT36" s="304">
        <f t="shared" si="34"/>
        <v>11</v>
      </c>
      <c r="DU36" s="304" t="str">
        <f t="shared" si="35"/>
        <v>poor sleep quality</v>
      </c>
      <c r="DV36" s="305">
        <v>1.0</v>
      </c>
      <c r="DW36" s="305" t="s">
        <v>155</v>
      </c>
      <c r="DX36" s="305" t="s">
        <v>146</v>
      </c>
      <c r="DY36" s="305">
        <v>1.0</v>
      </c>
      <c r="DZ36" s="305" t="s">
        <v>131</v>
      </c>
      <c r="EA36" s="305" t="s">
        <v>167</v>
      </c>
      <c r="EB36" s="305"/>
      <c r="EC36" s="305" t="s">
        <v>139</v>
      </c>
      <c r="ED36" s="305"/>
      <c r="EE36" s="305" t="s">
        <v>132</v>
      </c>
      <c r="EF36" s="305" t="s">
        <v>141</v>
      </c>
      <c r="EG36" s="305">
        <f t="shared" si="36"/>
        <v>1081</v>
      </c>
      <c r="EH36" s="305">
        <f t="shared" si="37"/>
        <v>685</v>
      </c>
      <c r="EI36" s="130">
        <f t="shared" si="23"/>
        <v>20.77562327</v>
      </c>
    </row>
    <row r="37" ht="15.75" customHeight="1">
      <c r="A37" s="130" t="s">
        <v>317</v>
      </c>
      <c r="B37" s="54" t="s">
        <v>175</v>
      </c>
      <c r="C37" s="296">
        <v>45103.0</v>
      </c>
      <c r="D37" s="130">
        <v>41.0</v>
      </c>
      <c r="E37" s="130" t="s">
        <v>153</v>
      </c>
      <c r="F37" s="130">
        <v>168.0</v>
      </c>
      <c r="G37" s="297">
        <v>60.9</v>
      </c>
      <c r="H37" s="298" t="s">
        <v>131</v>
      </c>
      <c r="I37" s="130">
        <v>2.0</v>
      </c>
      <c r="J37" s="299">
        <v>44469.0</v>
      </c>
      <c r="K37" s="130" t="s">
        <v>131</v>
      </c>
      <c r="L37" s="130">
        <v>3.0</v>
      </c>
      <c r="M37" s="299">
        <v>43922.0</v>
      </c>
      <c r="N37" s="130">
        <v>0.0</v>
      </c>
      <c r="O37" s="299">
        <v>44636.0</v>
      </c>
      <c r="P37" s="130" t="s">
        <v>132</v>
      </c>
      <c r="Q37" s="306"/>
      <c r="R37" s="306"/>
      <c r="S37" s="130"/>
      <c r="U37" s="130"/>
      <c r="V37" s="121" t="str">
        <f t="shared" si="2"/>
        <v>Paciente ambulatorio</v>
      </c>
      <c r="W37" s="130" t="s">
        <v>176</v>
      </c>
      <c r="X37" s="130" t="s">
        <v>132</v>
      </c>
      <c r="Y37" s="130">
        <v>2.0</v>
      </c>
      <c r="Z37" s="130">
        <v>2.0</v>
      </c>
      <c r="AA37" s="130">
        <v>2.0</v>
      </c>
      <c r="AB37" s="130">
        <v>2.0</v>
      </c>
      <c r="AC37" s="130">
        <v>2.0</v>
      </c>
      <c r="AD37" s="130">
        <v>1.0</v>
      </c>
      <c r="AE37" s="130">
        <v>2.0</v>
      </c>
      <c r="AF37" s="130">
        <v>1.0</v>
      </c>
      <c r="AG37" s="130">
        <v>1.0</v>
      </c>
      <c r="AH37" s="130">
        <v>1.0</v>
      </c>
      <c r="AI37" s="130">
        <v>1.0</v>
      </c>
      <c r="AJ37" s="130">
        <v>1.0</v>
      </c>
      <c r="AK37" s="297" t="s">
        <v>318</v>
      </c>
      <c r="AL37" s="298" t="s">
        <v>131</v>
      </c>
      <c r="AM37" s="130" t="s">
        <v>132</v>
      </c>
      <c r="AN37" s="130" t="s">
        <v>132</v>
      </c>
      <c r="AO37" s="130" t="s">
        <v>132</v>
      </c>
      <c r="AP37" s="130" t="s">
        <v>132</v>
      </c>
      <c r="AQ37" s="130" t="s">
        <v>132</v>
      </c>
      <c r="AR37" s="130" t="s">
        <v>132</v>
      </c>
      <c r="AS37" s="130" t="s">
        <v>132</v>
      </c>
      <c r="AT37" s="130" t="s">
        <v>132</v>
      </c>
      <c r="AU37" s="130" t="s">
        <v>132</v>
      </c>
      <c r="AV37" s="130" t="s">
        <v>132</v>
      </c>
      <c r="AW37" s="130"/>
      <c r="AX37" s="130" t="s">
        <v>131</v>
      </c>
      <c r="AY37" s="130">
        <v>3.0</v>
      </c>
      <c r="AZ37" s="130">
        <v>20.0</v>
      </c>
      <c r="BA37" s="130"/>
      <c r="BB37" s="130" t="s">
        <v>192</v>
      </c>
      <c r="BC37" s="297">
        <v>1.0</v>
      </c>
      <c r="BD37" s="298">
        <v>2.0</v>
      </c>
      <c r="BE37" s="130">
        <v>1.0</v>
      </c>
      <c r="BF37" s="130">
        <v>2.0</v>
      </c>
      <c r="BG37" s="130">
        <v>2.0</v>
      </c>
      <c r="BH37" s="130">
        <v>4.0</v>
      </c>
      <c r="BI37" s="301" t="str">
        <f t="shared" si="3"/>
        <v>21224</v>
      </c>
      <c r="BJ37" s="130">
        <v>70.0</v>
      </c>
      <c r="BK37" s="130">
        <v>3.0</v>
      </c>
      <c r="BL37" s="130">
        <v>2.0</v>
      </c>
      <c r="BM37" s="130">
        <v>1.0</v>
      </c>
      <c r="BN37" s="130">
        <v>5.0</v>
      </c>
      <c r="BO37" s="130">
        <v>3.0</v>
      </c>
      <c r="BP37" s="130">
        <v>2.0</v>
      </c>
      <c r="BQ37" s="130">
        <v>4.0</v>
      </c>
      <c r="BR37" s="130">
        <v>3.0</v>
      </c>
      <c r="BS37" s="130">
        <v>2.0</v>
      </c>
      <c r="BT37" s="130">
        <v>3.0</v>
      </c>
      <c r="BU37" s="302">
        <f t="shared" si="4"/>
        <v>1</v>
      </c>
      <c r="BV37" s="302">
        <f t="shared" si="5"/>
        <v>3</v>
      </c>
      <c r="BW37" s="302">
        <f t="shared" si="6"/>
        <v>26</v>
      </c>
      <c r="BX37" s="302" t="str">
        <f t="shared" si="7"/>
        <v>FATIGA</v>
      </c>
      <c r="BY37" s="130">
        <v>7.0</v>
      </c>
      <c r="BZ37" s="130">
        <v>4.0</v>
      </c>
      <c r="CA37" s="130">
        <v>0.0</v>
      </c>
      <c r="CB37" s="130">
        <v>0.0</v>
      </c>
      <c r="CC37" s="130">
        <v>0.0</v>
      </c>
      <c r="CD37" s="130">
        <v>0.0</v>
      </c>
      <c r="CE37" s="130">
        <v>0.0</v>
      </c>
      <c r="CF37" s="130">
        <v>0.0</v>
      </c>
      <c r="CG37" s="130">
        <v>0.0</v>
      </c>
      <c r="CH37" s="130">
        <v>3.0</v>
      </c>
      <c r="CI37" s="130">
        <v>0.0</v>
      </c>
      <c r="CJ37" s="302">
        <f t="shared" si="26"/>
        <v>13440</v>
      </c>
      <c r="CK37" s="301">
        <f t="shared" si="9"/>
        <v>7</v>
      </c>
      <c r="CL37" s="301" t="str">
        <f t="shared" ref="CL37:CL40" si="72">IF(#REF!&gt;3000,IF(#REF!&gt;6,"Nivel de actividad física alto"),IF(#REF!&gt;1500,IF(#REF!&gt;2,"Nivel de actividad física alto")))</f>
        <v>#REF!</v>
      </c>
      <c r="CM37" s="301" t="str">
        <f t="shared" si="10"/>
        <v>Nivel de actividad física moderado</v>
      </c>
      <c r="CN37" s="208" t="str">
        <f t="shared" si="11"/>
        <v>#REF!</v>
      </c>
      <c r="CO37" s="130">
        <v>23.0</v>
      </c>
      <c r="CP37" s="130">
        <v>5.0</v>
      </c>
      <c r="CQ37" s="223">
        <f t="shared" si="12"/>
        <v>0</v>
      </c>
      <c r="CR37" s="130">
        <v>8.0</v>
      </c>
      <c r="CS37" s="130">
        <v>0.0</v>
      </c>
      <c r="CT37" s="130">
        <v>9.0</v>
      </c>
      <c r="CU37" s="130">
        <v>5.0</v>
      </c>
      <c r="CV37" s="130">
        <v>0.0</v>
      </c>
      <c r="CW37" s="130">
        <v>3.0</v>
      </c>
      <c r="CX37" s="130">
        <v>0.0</v>
      </c>
      <c r="CY37" s="130">
        <v>3.0</v>
      </c>
      <c r="CZ37" s="130">
        <v>3.0</v>
      </c>
      <c r="DA37" s="130">
        <v>0.0</v>
      </c>
      <c r="DB37" s="130">
        <v>0.0</v>
      </c>
      <c r="DC37" s="130">
        <v>0.0</v>
      </c>
      <c r="DD37" s="130">
        <v>0.0</v>
      </c>
      <c r="DE37" s="130">
        <v>0.0</v>
      </c>
      <c r="DF37" s="130"/>
      <c r="DG37" s="303">
        <f t="shared" si="39"/>
        <v>9</v>
      </c>
      <c r="DH37" s="130">
        <v>2.0</v>
      </c>
      <c r="DI37" s="130">
        <v>0.0</v>
      </c>
      <c r="DJ37" s="130">
        <v>3.0</v>
      </c>
      <c r="DK37" s="130">
        <v>3.0</v>
      </c>
      <c r="DL37" s="302">
        <f t="shared" si="27"/>
        <v>55.55555556</v>
      </c>
      <c r="DM37" s="302">
        <f t="shared" si="28"/>
        <v>2</v>
      </c>
      <c r="DN37" s="302">
        <f t="shared" si="29"/>
        <v>1</v>
      </c>
      <c r="DO37" s="302">
        <f t="shared" si="30"/>
        <v>0</v>
      </c>
      <c r="DP37" s="302">
        <f t="shared" si="31"/>
        <v>3</v>
      </c>
      <c r="DQ37" s="302">
        <f t="shared" si="32"/>
        <v>3</v>
      </c>
      <c r="DR37" s="302">
        <f t="shared" ref="DR37:DS37" si="71">(DH37)</f>
        <v>2</v>
      </c>
      <c r="DS37" s="302">
        <f t="shared" si="71"/>
        <v>0</v>
      </c>
      <c r="DT37" s="304">
        <f t="shared" si="34"/>
        <v>11</v>
      </c>
      <c r="DU37" s="304" t="str">
        <f t="shared" si="35"/>
        <v>poor sleep quality</v>
      </c>
      <c r="DV37" s="305">
        <v>1.0</v>
      </c>
      <c r="DW37" s="305" t="s">
        <v>314</v>
      </c>
      <c r="DX37" s="305" t="s">
        <v>146</v>
      </c>
      <c r="DY37" s="305">
        <v>1.0</v>
      </c>
      <c r="DZ37" s="305" t="s">
        <v>131</v>
      </c>
      <c r="EA37" s="305" t="s">
        <v>178</v>
      </c>
      <c r="EB37" s="305"/>
      <c r="EC37" s="305" t="s">
        <v>172</v>
      </c>
      <c r="ED37" s="305"/>
      <c r="EE37" s="305" t="s">
        <v>132</v>
      </c>
      <c r="EF37" s="305" t="s">
        <v>151</v>
      </c>
      <c r="EG37" s="305">
        <f t="shared" si="36"/>
        <v>1181</v>
      </c>
      <c r="EH37" s="305">
        <f t="shared" si="37"/>
        <v>467</v>
      </c>
      <c r="EI37" s="130">
        <f t="shared" si="23"/>
        <v>21.57738095</v>
      </c>
    </row>
    <row r="38" ht="15.75" customHeight="1">
      <c r="A38" s="130" t="s">
        <v>324</v>
      </c>
      <c r="B38" s="54" t="s">
        <v>175</v>
      </c>
      <c r="C38" s="296">
        <v>45100.0</v>
      </c>
      <c r="D38" s="130">
        <v>55.0</v>
      </c>
      <c r="E38" s="130" t="s">
        <v>130</v>
      </c>
      <c r="F38" s="130">
        <v>170.0</v>
      </c>
      <c r="G38" s="297">
        <v>62.0</v>
      </c>
      <c r="H38" s="298" t="s">
        <v>131</v>
      </c>
      <c r="I38" s="130">
        <v>3.0</v>
      </c>
      <c r="J38" s="299">
        <v>44562.0</v>
      </c>
      <c r="K38" s="130" t="s">
        <v>131</v>
      </c>
      <c r="L38" s="130">
        <v>1.0</v>
      </c>
      <c r="M38" s="299">
        <v>44013.0</v>
      </c>
      <c r="N38" s="130">
        <v>0.0</v>
      </c>
      <c r="O38" s="299">
        <v>44013.0</v>
      </c>
      <c r="P38" s="130" t="s">
        <v>132</v>
      </c>
      <c r="Q38" s="306"/>
      <c r="R38" s="306"/>
      <c r="S38" s="130"/>
      <c r="U38" s="130"/>
      <c r="V38" s="121" t="str">
        <f t="shared" si="2"/>
        <v>Paciente ambulatorio</v>
      </c>
      <c r="W38" s="130" t="s">
        <v>190</v>
      </c>
      <c r="X38" s="130" t="s">
        <v>132</v>
      </c>
      <c r="Y38" s="130">
        <v>1.0</v>
      </c>
      <c r="Z38" s="130">
        <v>1.0</v>
      </c>
      <c r="AA38" s="130">
        <v>2.0</v>
      </c>
      <c r="AB38" s="130">
        <v>2.0</v>
      </c>
      <c r="AC38" s="130">
        <v>3.0</v>
      </c>
      <c r="AD38" s="130">
        <v>1.0</v>
      </c>
      <c r="AE38" s="130">
        <v>2.0</v>
      </c>
      <c r="AF38" s="130">
        <v>1.0</v>
      </c>
      <c r="AG38" s="130">
        <v>3.0</v>
      </c>
      <c r="AH38" s="130">
        <v>1.0</v>
      </c>
      <c r="AI38" s="130">
        <v>1.0</v>
      </c>
      <c r="AJ38" s="130">
        <v>1.0</v>
      </c>
      <c r="AK38" s="297" t="s">
        <v>325</v>
      </c>
      <c r="AL38" s="298" t="s">
        <v>131</v>
      </c>
      <c r="AM38" s="130" t="s">
        <v>132</v>
      </c>
      <c r="AN38" s="130" t="s">
        <v>132</v>
      </c>
      <c r="AO38" s="130" t="s">
        <v>131</v>
      </c>
      <c r="AP38" s="130" t="s">
        <v>132</v>
      </c>
      <c r="AQ38" s="130" t="s">
        <v>132</v>
      </c>
      <c r="AR38" s="130" t="s">
        <v>132</v>
      </c>
      <c r="AS38" s="130" t="s">
        <v>131</v>
      </c>
      <c r="AT38" s="130" t="s">
        <v>132</v>
      </c>
      <c r="AU38" s="130" t="s">
        <v>132</v>
      </c>
      <c r="AV38" s="130" t="s">
        <v>131</v>
      </c>
      <c r="AW38" s="130" t="s">
        <v>326</v>
      </c>
      <c r="AX38" s="130" t="s">
        <v>132</v>
      </c>
      <c r="AY38" s="130"/>
      <c r="AZ38" s="130"/>
      <c r="BA38" s="130"/>
      <c r="BB38" s="130" t="s">
        <v>145</v>
      </c>
      <c r="BC38" s="297"/>
      <c r="BD38" s="298">
        <v>3.0</v>
      </c>
      <c r="BE38" s="130">
        <v>1.0</v>
      </c>
      <c r="BF38" s="130">
        <v>2.0</v>
      </c>
      <c r="BG38" s="130">
        <v>4.0</v>
      </c>
      <c r="BH38" s="130">
        <v>4.0</v>
      </c>
      <c r="BI38" s="301" t="str">
        <f t="shared" si="3"/>
        <v>31244</v>
      </c>
      <c r="BJ38" s="130">
        <v>20.0</v>
      </c>
      <c r="BK38" s="130">
        <v>2.0</v>
      </c>
      <c r="BL38" s="130">
        <v>2.0</v>
      </c>
      <c r="BM38" s="130">
        <v>3.0</v>
      </c>
      <c r="BN38" s="130">
        <v>1.0</v>
      </c>
      <c r="BO38" s="130">
        <v>5.0</v>
      </c>
      <c r="BP38" s="130">
        <v>5.0</v>
      </c>
      <c r="BQ38" s="130">
        <v>2.0</v>
      </c>
      <c r="BR38" s="130">
        <v>2.0</v>
      </c>
      <c r="BS38" s="130">
        <v>5.0</v>
      </c>
      <c r="BT38" s="130">
        <v>5.0</v>
      </c>
      <c r="BU38" s="302">
        <f t="shared" si="4"/>
        <v>5</v>
      </c>
      <c r="BV38" s="302">
        <f t="shared" si="5"/>
        <v>1</v>
      </c>
      <c r="BW38" s="302">
        <f t="shared" si="6"/>
        <v>32</v>
      </c>
      <c r="BX38" s="302" t="str">
        <f t="shared" si="7"/>
        <v>FATIGA</v>
      </c>
      <c r="BY38" s="130">
        <v>0.0</v>
      </c>
      <c r="BZ38" s="130">
        <v>0.0</v>
      </c>
      <c r="CA38" s="130">
        <v>0.0</v>
      </c>
      <c r="CB38" s="130">
        <v>0.0</v>
      </c>
      <c r="CC38" s="130">
        <v>0.0</v>
      </c>
      <c r="CD38" s="130">
        <v>0.0</v>
      </c>
      <c r="CE38" s="130">
        <v>7.0</v>
      </c>
      <c r="CF38" s="130">
        <v>0.0</v>
      </c>
      <c r="CG38" s="130">
        <v>30.0</v>
      </c>
      <c r="CH38" s="130">
        <v>0.0</v>
      </c>
      <c r="CI38" s="130">
        <v>30.0</v>
      </c>
      <c r="CJ38" s="302">
        <f t="shared" si="26"/>
        <v>693</v>
      </c>
      <c r="CK38" s="301">
        <f t="shared" si="9"/>
        <v>7</v>
      </c>
      <c r="CL38" s="301" t="str">
        <f t="shared" si="72"/>
        <v>#REF!</v>
      </c>
      <c r="CM38" s="301" t="b">
        <f t="shared" si="10"/>
        <v>0</v>
      </c>
      <c r="CN38" s="208" t="str">
        <f t="shared" si="11"/>
        <v>#REF!</v>
      </c>
      <c r="CO38" s="130">
        <v>22.0</v>
      </c>
      <c r="CP38" s="130">
        <v>10.0</v>
      </c>
      <c r="CQ38" s="223">
        <f t="shared" si="12"/>
        <v>0</v>
      </c>
      <c r="CR38" s="130">
        <v>5.0</v>
      </c>
      <c r="CS38" s="130">
        <v>40.0</v>
      </c>
      <c r="CT38" s="130">
        <v>7.6</v>
      </c>
      <c r="CU38" s="130">
        <v>3.0</v>
      </c>
      <c r="CV38" s="130">
        <v>0.0</v>
      </c>
      <c r="CW38" s="130">
        <v>3.0</v>
      </c>
      <c r="CX38" s="130">
        <v>3.0</v>
      </c>
      <c r="CY38" s="130">
        <v>0.0</v>
      </c>
      <c r="CZ38" s="130">
        <v>0.0</v>
      </c>
      <c r="DA38" s="130">
        <v>0.0</v>
      </c>
      <c r="DB38" s="130">
        <v>0.0</v>
      </c>
      <c r="DC38" s="130">
        <v>2.0</v>
      </c>
      <c r="DD38" s="130">
        <v>3.0</v>
      </c>
      <c r="DE38" s="130">
        <v>1.0</v>
      </c>
      <c r="DF38" s="130"/>
      <c r="DG38" s="303">
        <f t="shared" si="39"/>
        <v>12</v>
      </c>
      <c r="DH38" s="130">
        <v>2.0</v>
      </c>
      <c r="DI38" s="130">
        <v>3.0</v>
      </c>
      <c r="DJ38" s="130">
        <v>1.0</v>
      </c>
      <c r="DK38" s="130">
        <v>2.0</v>
      </c>
      <c r="DL38" s="302">
        <f t="shared" si="27"/>
        <v>39.47368421</v>
      </c>
      <c r="DM38" s="302">
        <f t="shared" si="28"/>
        <v>3</v>
      </c>
      <c r="DN38" s="302">
        <f t="shared" si="29"/>
        <v>2</v>
      </c>
      <c r="DO38" s="302">
        <f t="shared" si="30"/>
        <v>0</v>
      </c>
      <c r="DP38" s="302">
        <f t="shared" si="31"/>
        <v>2</v>
      </c>
      <c r="DQ38" s="302">
        <f t="shared" si="32"/>
        <v>3</v>
      </c>
      <c r="DR38" s="302">
        <f t="shared" ref="DR38:DS38" si="73">(DH38)</f>
        <v>2</v>
      </c>
      <c r="DS38" s="302">
        <f t="shared" si="73"/>
        <v>3</v>
      </c>
      <c r="DT38" s="304">
        <f t="shared" si="34"/>
        <v>15</v>
      </c>
      <c r="DU38" s="304" t="str">
        <f t="shared" si="35"/>
        <v>poor sleep quality</v>
      </c>
      <c r="DV38" s="305">
        <v>2.0</v>
      </c>
      <c r="DW38" s="305" t="s">
        <v>149</v>
      </c>
      <c r="DX38" s="305" t="s">
        <v>146</v>
      </c>
      <c r="DY38" s="305">
        <v>1.0</v>
      </c>
      <c r="DZ38" s="305" t="s">
        <v>131</v>
      </c>
      <c r="EA38" s="305" t="s">
        <v>202</v>
      </c>
      <c r="EB38" s="305"/>
      <c r="EC38" s="305" t="s">
        <v>219</v>
      </c>
      <c r="ED38" s="305" t="s">
        <v>131</v>
      </c>
      <c r="EE38" s="305" t="s">
        <v>131</v>
      </c>
      <c r="EF38" s="305" t="s">
        <v>140</v>
      </c>
      <c r="EG38" s="305">
        <f t="shared" si="36"/>
        <v>1087</v>
      </c>
      <c r="EH38" s="305">
        <f t="shared" si="37"/>
        <v>1087</v>
      </c>
      <c r="EI38" s="130">
        <f t="shared" si="23"/>
        <v>21.4532872</v>
      </c>
    </row>
    <row r="39" ht="17.25" customHeight="1">
      <c r="A39" s="279" t="s">
        <v>346</v>
      </c>
      <c r="B39" s="280" t="s">
        <v>129</v>
      </c>
      <c r="C39" s="281">
        <v>45138.0</v>
      </c>
      <c r="D39" s="279">
        <v>43.0</v>
      </c>
      <c r="E39" s="279" t="s">
        <v>130</v>
      </c>
      <c r="F39" s="279">
        <v>152.0</v>
      </c>
      <c r="G39" s="282">
        <v>52.0</v>
      </c>
      <c r="H39" s="283" t="s">
        <v>131</v>
      </c>
      <c r="I39" s="279">
        <v>4.0</v>
      </c>
      <c r="J39" s="284">
        <v>44866.0</v>
      </c>
      <c r="K39" s="279" t="s">
        <v>131</v>
      </c>
      <c r="L39" s="279">
        <v>1.0</v>
      </c>
      <c r="M39" s="284">
        <v>44743.0</v>
      </c>
      <c r="N39" s="279">
        <v>3.0</v>
      </c>
      <c r="O39" s="284">
        <v>44743.0</v>
      </c>
      <c r="P39" s="279" t="s">
        <v>132</v>
      </c>
      <c r="Q39" s="311"/>
      <c r="R39" s="311"/>
      <c r="S39" s="279"/>
      <c r="T39" s="311"/>
      <c r="U39" s="311"/>
      <c r="V39" s="285" t="str">
        <f t="shared" si="2"/>
        <v>Paciente ambulatorio</v>
      </c>
      <c r="W39" s="279" t="s">
        <v>143</v>
      </c>
      <c r="X39" s="279" t="s">
        <v>132</v>
      </c>
      <c r="Y39" s="279">
        <v>3.0</v>
      </c>
      <c r="Z39" s="279">
        <v>2.0</v>
      </c>
      <c r="AA39" s="279">
        <v>2.0</v>
      </c>
      <c r="AB39" s="279">
        <v>2.0</v>
      </c>
      <c r="AC39" s="279">
        <v>2.0</v>
      </c>
      <c r="AD39" s="279">
        <v>2.0</v>
      </c>
      <c r="AE39" s="279">
        <v>2.0</v>
      </c>
      <c r="AF39" s="279">
        <v>1.0</v>
      </c>
      <c r="AG39" s="279">
        <v>3.0</v>
      </c>
      <c r="AH39" s="279">
        <v>3.0</v>
      </c>
      <c r="AI39" s="279">
        <v>1.0</v>
      </c>
      <c r="AJ39" s="279">
        <v>1.0</v>
      </c>
      <c r="AK39" s="282"/>
      <c r="AL39" s="283" t="s">
        <v>131</v>
      </c>
      <c r="AM39" s="279" t="s">
        <v>132</v>
      </c>
      <c r="AN39" s="279" t="s">
        <v>132</v>
      </c>
      <c r="AO39" s="279" t="s">
        <v>132</v>
      </c>
      <c r="AP39" s="279" t="s">
        <v>132</v>
      </c>
      <c r="AQ39" s="279" t="s">
        <v>132</v>
      </c>
      <c r="AR39" s="279" t="s">
        <v>132</v>
      </c>
      <c r="AS39" s="279" t="s">
        <v>132</v>
      </c>
      <c r="AT39" s="279" t="s">
        <v>132</v>
      </c>
      <c r="AU39" s="279" t="s">
        <v>132</v>
      </c>
      <c r="AV39" s="279" t="s">
        <v>132</v>
      </c>
      <c r="AW39" s="279"/>
      <c r="AX39" s="279" t="s">
        <v>131</v>
      </c>
      <c r="AY39" s="279">
        <v>4.0</v>
      </c>
      <c r="AZ39" s="279">
        <v>20.0</v>
      </c>
      <c r="BA39" s="279"/>
      <c r="BB39" s="279" t="s">
        <v>135</v>
      </c>
      <c r="BC39" s="282">
        <v>4.0</v>
      </c>
      <c r="BD39" s="283">
        <v>1.0</v>
      </c>
      <c r="BE39" s="279">
        <v>1.0</v>
      </c>
      <c r="BF39" s="279">
        <v>1.0</v>
      </c>
      <c r="BG39" s="279">
        <v>3.0</v>
      </c>
      <c r="BH39" s="279">
        <v>1.0</v>
      </c>
      <c r="BI39" s="287" t="str">
        <f t="shared" si="3"/>
        <v>11131</v>
      </c>
      <c r="BJ39" s="279">
        <v>75.0</v>
      </c>
      <c r="BK39" s="279">
        <v>2.0</v>
      </c>
      <c r="BL39" s="279">
        <v>2.0</v>
      </c>
      <c r="BM39" s="279">
        <v>1.0</v>
      </c>
      <c r="BN39" s="279">
        <v>4.0</v>
      </c>
      <c r="BO39" s="279">
        <v>2.0</v>
      </c>
      <c r="BP39" s="279">
        <v>1.0</v>
      </c>
      <c r="BQ39" s="279">
        <v>2.0</v>
      </c>
      <c r="BR39" s="279">
        <v>2.0</v>
      </c>
      <c r="BS39" s="279">
        <v>2.0</v>
      </c>
      <c r="BT39" s="279">
        <v>5.0</v>
      </c>
      <c r="BU39" s="288">
        <f t="shared" si="4"/>
        <v>2</v>
      </c>
      <c r="BV39" s="288">
        <f t="shared" si="5"/>
        <v>1</v>
      </c>
      <c r="BW39" s="288">
        <f t="shared" si="6"/>
        <v>20</v>
      </c>
      <c r="BX39" s="288" t="str">
        <f t="shared" si="7"/>
        <v>NO HAY FATIGA</v>
      </c>
      <c r="BY39" s="279">
        <v>0.0</v>
      </c>
      <c r="BZ39" s="279">
        <v>0.0</v>
      </c>
      <c r="CA39" s="279">
        <v>0.0</v>
      </c>
      <c r="CB39" s="279">
        <v>6.0</v>
      </c>
      <c r="CC39" s="279">
        <v>8.0</v>
      </c>
      <c r="CD39" s="279">
        <v>0.0</v>
      </c>
      <c r="CE39" s="279">
        <v>0.0</v>
      </c>
      <c r="CF39" s="279">
        <v>0.0</v>
      </c>
      <c r="CG39" s="279">
        <v>0.0</v>
      </c>
      <c r="CH39" s="279">
        <v>2.0</v>
      </c>
      <c r="CI39" s="279">
        <v>0.0</v>
      </c>
      <c r="CJ39" s="288">
        <f t="shared" si="26"/>
        <v>11520</v>
      </c>
      <c r="CK39" s="287">
        <f t="shared" si="9"/>
        <v>6</v>
      </c>
      <c r="CL39" s="287" t="str">
        <f t="shared" si="72"/>
        <v>#REF!</v>
      </c>
      <c r="CM39" s="287" t="str">
        <f t="shared" si="10"/>
        <v>Nivel de actividad física moderado</v>
      </c>
      <c r="CN39" s="289" t="str">
        <f t="shared" si="11"/>
        <v>#REF!</v>
      </c>
      <c r="CO39" s="279">
        <v>23.0</v>
      </c>
      <c r="CP39" s="279">
        <v>5.0</v>
      </c>
      <c r="CQ39" s="290">
        <f t="shared" si="12"/>
        <v>0</v>
      </c>
      <c r="CR39" s="279">
        <v>5.0</v>
      </c>
      <c r="CS39" s="279">
        <v>0.0</v>
      </c>
      <c r="CT39" s="279">
        <v>6.0</v>
      </c>
      <c r="CU39" s="279">
        <v>5.0</v>
      </c>
      <c r="CV39" s="279">
        <v>0.0</v>
      </c>
      <c r="CW39" s="279">
        <v>1.0</v>
      </c>
      <c r="CX39" s="279">
        <v>3.0</v>
      </c>
      <c r="CY39" s="279">
        <v>0.0</v>
      </c>
      <c r="CZ39" s="279">
        <v>0.0</v>
      </c>
      <c r="DA39" s="279">
        <v>0.0</v>
      </c>
      <c r="DB39" s="279">
        <v>0.0</v>
      </c>
      <c r="DC39" s="279">
        <v>1.0</v>
      </c>
      <c r="DD39" s="279">
        <v>0.0</v>
      </c>
      <c r="DE39" s="279">
        <v>0.0</v>
      </c>
      <c r="DF39" s="279"/>
      <c r="DG39" s="312">
        <f t="shared" si="39"/>
        <v>5</v>
      </c>
      <c r="DH39" s="279">
        <v>1.0</v>
      </c>
      <c r="DI39" s="279">
        <v>0.0</v>
      </c>
      <c r="DJ39" s="279">
        <v>1.0</v>
      </c>
      <c r="DK39" s="279">
        <v>2.0</v>
      </c>
      <c r="DL39" s="288">
        <f t="shared" si="27"/>
        <v>83.33333333</v>
      </c>
      <c r="DM39" s="288">
        <f t="shared" si="28"/>
        <v>2</v>
      </c>
      <c r="DN39" s="288">
        <f t="shared" si="29"/>
        <v>1</v>
      </c>
      <c r="DO39" s="288">
        <f t="shared" si="30"/>
        <v>0</v>
      </c>
      <c r="DP39" s="288">
        <f t="shared" si="31"/>
        <v>2</v>
      </c>
      <c r="DQ39" s="288">
        <f t="shared" si="32"/>
        <v>1</v>
      </c>
      <c r="DR39" s="288">
        <f t="shared" ref="DR39:DS39" si="74">(DH39)</f>
        <v>1</v>
      </c>
      <c r="DS39" s="288">
        <f t="shared" si="74"/>
        <v>0</v>
      </c>
      <c r="DT39" s="291">
        <f t="shared" si="34"/>
        <v>7</v>
      </c>
      <c r="DU39" s="291" t="str">
        <f t="shared" si="35"/>
        <v>poor sleep quality</v>
      </c>
      <c r="DV39" s="292">
        <v>1.0</v>
      </c>
      <c r="DW39" s="292" t="s">
        <v>155</v>
      </c>
      <c r="DX39" s="292" t="s">
        <v>137</v>
      </c>
      <c r="DY39" s="292">
        <v>1.0</v>
      </c>
      <c r="DZ39" s="292" t="s">
        <v>131</v>
      </c>
      <c r="EA39" s="292" t="s">
        <v>147</v>
      </c>
      <c r="EB39" s="292"/>
      <c r="EC39" s="292" t="s">
        <v>139</v>
      </c>
      <c r="ED39" s="292"/>
      <c r="EE39" s="292"/>
      <c r="EF39" s="292" t="s">
        <v>141</v>
      </c>
      <c r="EG39" s="292">
        <f t="shared" si="36"/>
        <v>395</v>
      </c>
      <c r="EH39" s="292">
        <f t="shared" si="37"/>
        <v>395</v>
      </c>
      <c r="EI39" s="279">
        <f t="shared" si="23"/>
        <v>22.50692521</v>
      </c>
    </row>
    <row r="40" ht="17.25" customHeight="1">
      <c r="A40" s="279" t="s">
        <v>350</v>
      </c>
      <c r="B40" s="280" t="s">
        <v>129</v>
      </c>
      <c r="C40" s="281">
        <v>45138.0</v>
      </c>
      <c r="D40" s="279">
        <v>39.0</v>
      </c>
      <c r="E40" s="279" t="s">
        <v>130</v>
      </c>
      <c r="F40" s="279">
        <v>161.0</v>
      </c>
      <c r="G40" s="282">
        <v>93.0</v>
      </c>
      <c r="H40" s="283" t="s">
        <v>131</v>
      </c>
      <c r="I40" s="279">
        <v>5.0</v>
      </c>
      <c r="J40" s="284" t="s">
        <v>762</v>
      </c>
      <c r="K40" s="279" t="s">
        <v>132</v>
      </c>
      <c r="L40" s="279"/>
      <c r="M40" s="284"/>
      <c r="N40" s="279"/>
      <c r="O40" s="284"/>
      <c r="P40" s="279"/>
      <c r="Q40" s="311"/>
      <c r="R40" s="311"/>
      <c r="S40" s="279"/>
      <c r="T40" s="311"/>
      <c r="U40" s="311"/>
      <c r="V40" s="285" t="str">
        <f t="shared" si="2"/>
        <v>No infectado</v>
      </c>
      <c r="W40" s="279"/>
      <c r="X40" s="279"/>
      <c r="Y40" s="279"/>
      <c r="Z40" s="279"/>
      <c r="AA40" s="279"/>
      <c r="AB40" s="279"/>
      <c r="AC40" s="279"/>
      <c r="AD40" s="279"/>
      <c r="AE40" s="279"/>
      <c r="AF40" s="279"/>
      <c r="AG40" s="279"/>
      <c r="AH40" s="279"/>
      <c r="AI40" s="279"/>
      <c r="AJ40" s="279"/>
      <c r="AK40" s="282"/>
      <c r="AL40" s="283" t="s">
        <v>132</v>
      </c>
      <c r="AM40" s="279" t="s">
        <v>132</v>
      </c>
      <c r="AN40" s="279" t="s">
        <v>132</v>
      </c>
      <c r="AO40" s="279" t="s">
        <v>132</v>
      </c>
      <c r="AP40" s="279" t="s">
        <v>132</v>
      </c>
      <c r="AQ40" s="279" t="s">
        <v>132</v>
      </c>
      <c r="AR40" s="279" t="s">
        <v>132</v>
      </c>
      <c r="AS40" s="279" t="s">
        <v>132</v>
      </c>
      <c r="AT40" s="279" t="s">
        <v>132</v>
      </c>
      <c r="AU40" s="279" t="s">
        <v>132</v>
      </c>
      <c r="AV40" s="279" t="s">
        <v>132</v>
      </c>
      <c r="AW40" s="279"/>
      <c r="AX40" s="279" t="s">
        <v>132</v>
      </c>
      <c r="AY40" s="279"/>
      <c r="AZ40" s="279"/>
      <c r="BA40" s="279"/>
      <c r="BB40" s="279" t="s">
        <v>145</v>
      </c>
      <c r="BC40" s="282"/>
      <c r="BD40" s="283">
        <v>1.0</v>
      </c>
      <c r="BE40" s="279">
        <v>1.0</v>
      </c>
      <c r="BF40" s="279">
        <v>1.0</v>
      </c>
      <c r="BG40" s="279">
        <v>2.0</v>
      </c>
      <c r="BH40" s="279">
        <v>2.0</v>
      </c>
      <c r="BI40" s="287" t="str">
        <f t="shared" si="3"/>
        <v>11122</v>
      </c>
      <c r="BJ40" s="279">
        <v>90.0</v>
      </c>
      <c r="BK40" s="279">
        <v>1.0</v>
      </c>
      <c r="BL40" s="279">
        <v>1.0</v>
      </c>
      <c r="BM40" s="279">
        <v>1.0</v>
      </c>
      <c r="BN40" s="279">
        <v>5.0</v>
      </c>
      <c r="BO40" s="279">
        <v>1.0</v>
      </c>
      <c r="BP40" s="279">
        <v>1.0</v>
      </c>
      <c r="BQ40" s="279">
        <v>1.0</v>
      </c>
      <c r="BR40" s="279">
        <v>1.0</v>
      </c>
      <c r="BS40" s="279">
        <v>1.0</v>
      </c>
      <c r="BT40" s="279">
        <v>5.0</v>
      </c>
      <c r="BU40" s="288">
        <f t="shared" si="4"/>
        <v>1</v>
      </c>
      <c r="BV40" s="288">
        <f t="shared" si="5"/>
        <v>1</v>
      </c>
      <c r="BW40" s="288">
        <f t="shared" si="6"/>
        <v>14</v>
      </c>
      <c r="BX40" s="288" t="str">
        <f t="shared" si="7"/>
        <v>NO HAY FATIGA</v>
      </c>
      <c r="BY40" s="279">
        <v>0.0</v>
      </c>
      <c r="BZ40" s="279">
        <v>0.0</v>
      </c>
      <c r="CA40" s="279">
        <v>0.0</v>
      </c>
      <c r="CB40" s="279">
        <v>3.0</v>
      </c>
      <c r="CC40" s="279">
        <v>1.0</v>
      </c>
      <c r="CD40" s="279">
        <v>0.0</v>
      </c>
      <c r="CE40" s="279">
        <v>3.0</v>
      </c>
      <c r="CF40" s="279">
        <v>0.0</v>
      </c>
      <c r="CG40" s="279">
        <v>30.0</v>
      </c>
      <c r="CH40" s="279">
        <v>8.0</v>
      </c>
      <c r="CI40" s="279">
        <v>0.0</v>
      </c>
      <c r="CJ40" s="288">
        <f t="shared" si="26"/>
        <v>1017</v>
      </c>
      <c r="CK40" s="287">
        <f t="shared" si="9"/>
        <v>6</v>
      </c>
      <c r="CL40" s="287" t="str">
        <f t="shared" si="72"/>
        <v>#REF!</v>
      </c>
      <c r="CM40" s="287" t="str">
        <f t="shared" si="10"/>
        <v>Nivel de actividad física moderado</v>
      </c>
      <c r="CN40" s="289" t="str">
        <f t="shared" si="11"/>
        <v>#REF!</v>
      </c>
      <c r="CO40" s="295">
        <v>0.9791666666666666</v>
      </c>
      <c r="CP40" s="279">
        <v>15.0</v>
      </c>
      <c r="CQ40" s="290">
        <f t="shared" si="12"/>
        <v>0</v>
      </c>
      <c r="CR40" s="279">
        <v>5.0</v>
      </c>
      <c r="CS40" s="279">
        <v>45.0</v>
      </c>
      <c r="CT40" s="279">
        <v>6.25</v>
      </c>
      <c r="CU40" s="279">
        <v>6.0</v>
      </c>
      <c r="CV40" s="279">
        <v>3.0</v>
      </c>
      <c r="CW40" s="279">
        <v>3.0</v>
      </c>
      <c r="CX40" s="279">
        <v>0.0</v>
      </c>
      <c r="CY40" s="279">
        <v>2.0</v>
      </c>
      <c r="CZ40" s="279">
        <v>2.0</v>
      </c>
      <c r="DA40" s="279">
        <v>0.0</v>
      </c>
      <c r="DB40" s="279">
        <v>0.0</v>
      </c>
      <c r="DC40" s="279">
        <v>0.0</v>
      </c>
      <c r="DD40" s="279">
        <v>0.0</v>
      </c>
      <c r="DE40" s="279">
        <v>0.0</v>
      </c>
      <c r="DF40" s="279"/>
      <c r="DG40" s="312">
        <f t="shared" si="39"/>
        <v>7</v>
      </c>
      <c r="DH40" s="279">
        <v>0.0</v>
      </c>
      <c r="DI40" s="279">
        <v>0.0</v>
      </c>
      <c r="DJ40" s="279">
        <v>1.0</v>
      </c>
      <c r="DK40" s="279">
        <v>0.0</v>
      </c>
      <c r="DL40" s="288">
        <f t="shared" si="27"/>
        <v>96</v>
      </c>
      <c r="DM40" s="288">
        <f t="shared" si="28"/>
        <v>1</v>
      </c>
      <c r="DN40" s="288">
        <f t="shared" si="29"/>
        <v>1</v>
      </c>
      <c r="DO40" s="288">
        <f t="shared" si="30"/>
        <v>2</v>
      </c>
      <c r="DP40" s="288">
        <f t="shared" si="31"/>
        <v>1</v>
      </c>
      <c r="DQ40" s="288">
        <f t="shared" si="32"/>
        <v>0</v>
      </c>
      <c r="DR40" s="288">
        <f t="shared" ref="DR40:DS40" si="75">(DH40)</f>
        <v>0</v>
      </c>
      <c r="DS40" s="288">
        <f t="shared" si="75"/>
        <v>0</v>
      </c>
      <c r="DT40" s="291">
        <f t="shared" si="34"/>
        <v>5</v>
      </c>
      <c r="DU40" s="291" t="str">
        <f t="shared" si="35"/>
        <v>good sleep quality</v>
      </c>
      <c r="DV40" s="292">
        <v>3.0</v>
      </c>
      <c r="DW40" s="292" t="s">
        <v>349</v>
      </c>
      <c r="DX40" s="292" t="s">
        <v>213</v>
      </c>
      <c r="DY40" s="292">
        <v>1.0</v>
      </c>
      <c r="DZ40" s="292" t="s">
        <v>131</v>
      </c>
      <c r="EA40" s="292" t="s">
        <v>167</v>
      </c>
      <c r="EB40" s="292"/>
      <c r="EC40" s="292" t="s">
        <v>222</v>
      </c>
      <c r="ED40" s="292" t="s">
        <v>132</v>
      </c>
      <c r="EE40" s="292"/>
      <c r="EF40" s="292" t="s">
        <v>140</v>
      </c>
      <c r="EG40" s="292"/>
      <c r="EH40" s="292"/>
      <c r="EI40" s="279">
        <f t="shared" si="23"/>
        <v>35.87824544</v>
      </c>
    </row>
    <row r="41">
      <c r="A41" s="279" t="s">
        <v>355</v>
      </c>
      <c r="B41" s="280" t="s">
        <v>129</v>
      </c>
      <c r="C41" s="281">
        <v>45145.0</v>
      </c>
      <c r="D41" s="279">
        <v>35.0</v>
      </c>
      <c r="E41" s="279" t="s">
        <v>130</v>
      </c>
      <c r="F41" s="279">
        <v>151.0</v>
      </c>
      <c r="G41" s="282">
        <v>70.0</v>
      </c>
      <c r="H41" s="283" t="s">
        <v>131</v>
      </c>
      <c r="I41" s="279">
        <v>3.0</v>
      </c>
      <c r="J41" s="284">
        <v>44743.0</v>
      </c>
      <c r="K41" s="279" t="s">
        <v>132</v>
      </c>
      <c r="L41" s="279"/>
      <c r="M41" s="284"/>
      <c r="N41" s="279"/>
      <c r="O41" s="284"/>
      <c r="P41" s="279"/>
      <c r="Q41" s="311"/>
      <c r="R41" s="311"/>
      <c r="S41" s="279"/>
      <c r="T41" s="311"/>
      <c r="U41" s="311"/>
      <c r="V41" s="285" t="str">
        <f t="shared" si="2"/>
        <v>No infectado</v>
      </c>
      <c r="W41" s="279"/>
      <c r="X41" s="279"/>
      <c r="Y41" s="279"/>
      <c r="Z41" s="279"/>
      <c r="AA41" s="279"/>
      <c r="AB41" s="279"/>
      <c r="AC41" s="279"/>
      <c r="AD41" s="279"/>
      <c r="AE41" s="279"/>
      <c r="AF41" s="279"/>
      <c r="AG41" s="279"/>
      <c r="AH41" s="279"/>
      <c r="AI41" s="279"/>
      <c r="AJ41" s="279"/>
      <c r="AK41" s="282"/>
      <c r="AL41" s="283" t="s">
        <v>132</v>
      </c>
      <c r="AM41" s="279" t="s">
        <v>132</v>
      </c>
      <c r="AN41" s="279" t="s">
        <v>132</v>
      </c>
      <c r="AO41" s="279" t="s">
        <v>132</v>
      </c>
      <c r="AP41" s="279" t="s">
        <v>132</v>
      </c>
      <c r="AQ41" s="279" t="s">
        <v>132</v>
      </c>
      <c r="AR41" s="279" t="s">
        <v>132</v>
      </c>
      <c r="AS41" s="279" t="s">
        <v>132</v>
      </c>
      <c r="AT41" s="279" t="s">
        <v>132</v>
      </c>
      <c r="AU41" s="279" t="s">
        <v>132</v>
      </c>
      <c r="AV41" s="279" t="s">
        <v>132</v>
      </c>
      <c r="AW41" s="279" t="s">
        <v>177</v>
      </c>
      <c r="AX41" s="279" t="s">
        <v>131</v>
      </c>
      <c r="AY41" s="279">
        <v>10.0</v>
      </c>
      <c r="AZ41" s="279">
        <v>20.0</v>
      </c>
      <c r="BA41" s="279"/>
      <c r="BB41" s="279" t="s">
        <v>135</v>
      </c>
      <c r="BC41" s="282">
        <v>1.0</v>
      </c>
      <c r="BD41" s="283">
        <v>1.0</v>
      </c>
      <c r="BE41" s="279">
        <v>1.0</v>
      </c>
      <c r="BF41" s="279">
        <v>2.0</v>
      </c>
      <c r="BG41" s="279">
        <v>2.0</v>
      </c>
      <c r="BH41" s="279">
        <v>2.0</v>
      </c>
      <c r="BI41" s="287" t="str">
        <f t="shared" si="3"/>
        <v>11222</v>
      </c>
      <c r="BJ41" s="279">
        <v>50.0</v>
      </c>
      <c r="BK41" s="279">
        <v>2.0</v>
      </c>
      <c r="BL41" s="279">
        <v>2.0</v>
      </c>
      <c r="BM41" s="279">
        <v>2.0</v>
      </c>
      <c r="BN41" s="279">
        <v>4.0</v>
      </c>
      <c r="BO41" s="279">
        <v>2.0</v>
      </c>
      <c r="BP41" s="279">
        <v>2.0</v>
      </c>
      <c r="BQ41" s="279">
        <v>4.0</v>
      </c>
      <c r="BR41" s="279">
        <v>2.0</v>
      </c>
      <c r="BS41" s="279">
        <v>2.0</v>
      </c>
      <c r="BT41" s="279">
        <v>5.0</v>
      </c>
      <c r="BU41" s="288">
        <f t="shared" si="4"/>
        <v>2</v>
      </c>
      <c r="BV41" s="288">
        <f t="shared" si="5"/>
        <v>1</v>
      </c>
      <c r="BW41" s="288">
        <f t="shared" si="6"/>
        <v>24</v>
      </c>
      <c r="BX41" s="288" t="str">
        <f t="shared" si="7"/>
        <v>FATIGA</v>
      </c>
      <c r="BY41" s="279">
        <v>0.0</v>
      </c>
      <c r="BZ41" s="279">
        <v>0.0</v>
      </c>
      <c r="CA41" s="279">
        <v>0.0</v>
      </c>
      <c r="CB41" s="279">
        <v>0.0</v>
      </c>
      <c r="CC41" s="279">
        <v>0.0</v>
      </c>
      <c r="CD41" s="279">
        <v>0.0</v>
      </c>
      <c r="CE41" s="279">
        <v>2.0</v>
      </c>
      <c r="CF41" s="279">
        <v>0.0</v>
      </c>
      <c r="CG41" s="279">
        <v>30.0</v>
      </c>
      <c r="CH41" s="279">
        <v>2.0</v>
      </c>
      <c r="CI41" s="279">
        <v>0.0</v>
      </c>
      <c r="CJ41" s="288">
        <f t="shared" si="26"/>
        <v>198</v>
      </c>
      <c r="CK41" s="287">
        <f t="shared" si="9"/>
        <v>2</v>
      </c>
      <c r="CL41" s="287" t="str">
        <f>IF(CJ42&gt;3000,IF(CK42&gt;6,"Nivel de actividad física alto"),IF(CJ42&gt;1500,IF(BY42&gt;2,"Nivel de actividad física alto")))</f>
        <v>Nivel de actividad física alto</v>
      </c>
      <c r="CM41" s="287" t="b">
        <f t="shared" si="10"/>
        <v>0</v>
      </c>
      <c r="CN41" s="289" t="str">
        <f t="shared" si="11"/>
        <v>Nivel de actividad física alto</v>
      </c>
      <c r="CO41" s="279">
        <v>23.0</v>
      </c>
      <c r="CP41" s="279">
        <v>30.0</v>
      </c>
      <c r="CQ41" s="290">
        <f t="shared" si="12"/>
        <v>1</v>
      </c>
      <c r="CR41" s="279">
        <v>6.0</v>
      </c>
      <c r="CS41" s="279">
        <v>0.0</v>
      </c>
      <c r="CT41" s="279">
        <v>7.0</v>
      </c>
      <c r="CU41" s="279">
        <v>4.0</v>
      </c>
      <c r="CV41" s="279">
        <v>3.0</v>
      </c>
      <c r="CW41" s="279">
        <v>3.0</v>
      </c>
      <c r="CX41" s="279">
        <v>2.0</v>
      </c>
      <c r="CY41" s="279">
        <v>0.0</v>
      </c>
      <c r="CZ41" s="279">
        <v>0.0</v>
      </c>
      <c r="DA41" s="279">
        <v>0.0</v>
      </c>
      <c r="DB41" s="279">
        <v>0.0</v>
      </c>
      <c r="DC41" s="279">
        <v>3.0</v>
      </c>
      <c r="DD41" s="279">
        <v>0.0</v>
      </c>
      <c r="DE41" s="279"/>
      <c r="DF41" s="279"/>
      <c r="DG41" s="312">
        <f t="shared" si="39"/>
        <v>8</v>
      </c>
      <c r="DH41" s="279">
        <v>2.0</v>
      </c>
      <c r="DI41" s="279">
        <v>0.0</v>
      </c>
      <c r="DJ41" s="279">
        <v>2.0</v>
      </c>
      <c r="DK41" s="279">
        <v>2.0</v>
      </c>
      <c r="DL41" s="288">
        <f t="shared" si="27"/>
        <v>57.14285714</v>
      </c>
      <c r="DM41" s="288">
        <f t="shared" si="28"/>
        <v>3</v>
      </c>
      <c r="DN41" s="288">
        <f t="shared" si="29"/>
        <v>1</v>
      </c>
      <c r="DO41" s="288">
        <f t="shared" si="30"/>
        <v>2</v>
      </c>
      <c r="DP41" s="288">
        <f t="shared" si="31"/>
        <v>2</v>
      </c>
      <c r="DQ41" s="288">
        <f t="shared" si="32"/>
        <v>3</v>
      </c>
      <c r="DR41" s="288">
        <f t="shared" ref="DR41:DS41" si="76">(DH41)</f>
        <v>2</v>
      </c>
      <c r="DS41" s="288">
        <f t="shared" si="76"/>
        <v>0</v>
      </c>
      <c r="DT41" s="291">
        <f t="shared" si="34"/>
        <v>13</v>
      </c>
      <c r="DU41" s="291" t="str">
        <f t="shared" si="35"/>
        <v>poor sleep quality</v>
      </c>
      <c r="DV41" s="292">
        <v>3.0</v>
      </c>
      <c r="DW41" s="292" t="s">
        <v>354</v>
      </c>
      <c r="DX41" s="292" t="s">
        <v>146</v>
      </c>
      <c r="DY41" s="292">
        <v>2.0</v>
      </c>
      <c r="DZ41" s="292" t="s">
        <v>131</v>
      </c>
      <c r="EA41" s="292" t="s">
        <v>202</v>
      </c>
      <c r="EB41" s="292"/>
      <c r="EC41" s="292" t="s">
        <v>172</v>
      </c>
      <c r="ED41" s="292"/>
      <c r="EE41" s="292"/>
      <c r="EF41" s="292" t="s">
        <v>141</v>
      </c>
      <c r="EG41" s="292"/>
      <c r="EH41" s="292"/>
      <c r="EI41" s="279">
        <f t="shared" si="23"/>
        <v>30.70040788</v>
      </c>
    </row>
    <row r="42">
      <c r="A42" s="279" t="s">
        <v>356</v>
      </c>
      <c r="B42" s="280" t="s">
        <v>129</v>
      </c>
      <c r="C42" s="281">
        <v>45145.0</v>
      </c>
      <c r="D42" s="279">
        <v>52.0</v>
      </c>
      <c r="E42" s="279" t="s">
        <v>130</v>
      </c>
      <c r="F42" s="279">
        <v>170.0</v>
      </c>
      <c r="G42" s="282">
        <v>76.0</v>
      </c>
      <c r="H42" s="283" t="s">
        <v>131</v>
      </c>
      <c r="I42" s="279">
        <v>5.0</v>
      </c>
      <c r="J42" s="284">
        <v>45261.0</v>
      </c>
      <c r="K42" s="279" t="s">
        <v>132</v>
      </c>
      <c r="L42" s="279"/>
      <c r="M42" s="284"/>
      <c r="N42" s="279"/>
      <c r="O42" s="284"/>
      <c r="P42" s="279"/>
      <c r="Q42" s="311"/>
      <c r="R42" s="311"/>
      <c r="S42" s="279"/>
      <c r="T42" s="311"/>
      <c r="U42" s="311"/>
      <c r="V42" s="285" t="str">
        <f t="shared" si="2"/>
        <v>No infectado</v>
      </c>
      <c r="W42" s="279"/>
      <c r="X42" s="279"/>
      <c r="Y42" s="279"/>
      <c r="Z42" s="279"/>
      <c r="AA42" s="279"/>
      <c r="AB42" s="279"/>
      <c r="AC42" s="279"/>
      <c r="AD42" s="279"/>
      <c r="AE42" s="279"/>
      <c r="AF42" s="279"/>
      <c r="AG42" s="279"/>
      <c r="AH42" s="279"/>
      <c r="AI42" s="279"/>
      <c r="AJ42" s="279"/>
      <c r="AK42" s="282"/>
      <c r="AL42" s="283" t="s">
        <v>132</v>
      </c>
      <c r="AM42" s="279" t="s">
        <v>132</v>
      </c>
      <c r="AN42" s="279" t="s">
        <v>132</v>
      </c>
      <c r="AO42" s="279" t="s">
        <v>131</v>
      </c>
      <c r="AP42" s="279" t="s">
        <v>132</v>
      </c>
      <c r="AQ42" s="279" t="s">
        <v>132</v>
      </c>
      <c r="AR42" s="279" t="s">
        <v>132</v>
      </c>
      <c r="AS42" s="279" t="s">
        <v>132</v>
      </c>
      <c r="AT42" s="279" t="s">
        <v>132</v>
      </c>
      <c r="AU42" s="279" t="s">
        <v>132</v>
      </c>
      <c r="AV42" s="279" t="s">
        <v>132</v>
      </c>
      <c r="AW42" s="279"/>
      <c r="AX42" s="279" t="s">
        <v>165</v>
      </c>
      <c r="AY42" s="279"/>
      <c r="AZ42" s="279"/>
      <c r="BA42" s="279">
        <v>30.0</v>
      </c>
      <c r="BB42" s="279" t="s">
        <v>145</v>
      </c>
      <c r="BC42" s="282"/>
      <c r="BD42" s="283">
        <v>1.0</v>
      </c>
      <c r="BE42" s="279">
        <v>1.0</v>
      </c>
      <c r="BF42" s="279">
        <v>1.0</v>
      </c>
      <c r="BG42" s="279">
        <v>1.0</v>
      </c>
      <c r="BH42" s="279">
        <v>1.0</v>
      </c>
      <c r="BI42" s="287" t="str">
        <f t="shared" si="3"/>
        <v>11111</v>
      </c>
      <c r="BJ42" s="279">
        <v>70.0</v>
      </c>
      <c r="BK42" s="279">
        <v>1.0</v>
      </c>
      <c r="BL42" s="279">
        <v>1.0</v>
      </c>
      <c r="BM42" s="279">
        <v>1.0</v>
      </c>
      <c r="BN42" s="279">
        <v>1.0</v>
      </c>
      <c r="BO42" s="279">
        <v>1.0</v>
      </c>
      <c r="BP42" s="279">
        <v>1.0</v>
      </c>
      <c r="BQ42" s="279">
        <v>2.0</v>
      </c>
      <c r="BR42" s="279">
        <v>1.0</v>
      </c>
      <c r="BS42" s="279">
        <v>1.0</v>
      </c>
      <c r="BT42" s="279">
        <v>5.0</v>
      </c>
      <c r="BU42" s="288">
        <f t="shared" si="4"/>
        <v>5</v>
      </c>
      <c r="BV42" s="288">
        <f t="shared" si="5"/>
        <v>1</v>
      </c>
      <c r="BW42" s="288">
        <f t="shared" si="6"/>
        <v>15</v>
      </c>
      <c r="BX42" s="288" t="str">
        <f t="shared" si="7"/>
        <v>NO HAY FATIGA</v>
      </c>
      <c r="BY42" s="279">
        <v>3.0</v>
      </c>
      <c r="BZ42" s="279">
        <v>2.0</v>
      </c>
      <c r="CA42" s="279">
        <v>0.0</v>
      </c>
      <c r="CB42" s="279">
        <v>0.0</v>
      </c>
      <c r="CC42" s="279"/>
      <c r="CD42" s="279"/>
      <c r="CE42" s="279">
        <v>7.0</v>
      </c>
      <c r="CF42" s="279">
        <v>1.0</v>
      </c>
      <c r="CG42" s="279">
        <v>0.0</v>
      </c>
      <c r="CH42" s="279">
        <v>1.0</v>
      </c>
      <c r="CI42" s="279">
        <v>0.0</v>
      </c>
      <c r="CJ42" s="288">
        <f t="shared" si="26"/>
        <v>4266</v>
      </c>
      <c r="CK42" s="287">
        <f t="shared" si="9"/>
        <v>10</v>
      </c>
      <c r="CL42" s="287" t="str">
        <f t="shared" ref="CL42:CL43" si="78">IF(#REF!&gt;3000,IF(#REF!&gt;6,"Nivel de actividad física alto"),IF(#REF!&gt;1500,IF(#REF!&gt;2,"Nivel de actividad física alto")))</f>
        <v>#REF!</v>
      </c>
      <c r="CM42" s="287" t="str">
        <f t="shared" si="10"/>
        <v>Nivel de actividad física moderado</v>
      </c>
      <c r="CN42" s="289" t="str">
        <f t="shared" si="11"/>
        <v>#REF!</v>
      </c>
      <c r="CO42" s="279">
        <v>0.0</v>
      </c>
      <c r="CP42" s="279">
        <v>25.0</v>
      </c>
      <c r="CQ42" s="290">
        <f t="shared" si="12"/>
        <v>1</v>
      </c>
      <c r="CR42" s="279">
        <v>9.0</v>
      </c>
      <c r="CS42" s="279">
        <v>0.0</v>
      </c>
      <c r="CT42" s="279">
        <v>9.0</v>
      </c>
      <c r="CU42" s="279">
        <v>8.5</v>
      </c>
      <c r="CV42" s="279">
        <v>0.0</v>
      </c>
      <c r="CW42" s="279">
        <v>0.0</v>
      </c>
      <c r="CX42" s="279">
        <v>0.0</v>
      </c>
      <c r="CY42" s="279">
        <v>0.0</v>
      </c>
      <c r="CZ42" s="279">
        <v>3.0</v>
      </c>
      <c r="DA42" s="279">
        <v>0.0</v>
      </c>
      <c r="DB42" s="279">
        <v>0.0</v>
      </c>
      <c r="DC42" s="279">
        <v>0.0</v>
      </c>
      <c r="DD42" s="279">
        <v>0.0</v>
      </c>
      <c r="DE42" s="279">
        <v>0.0</v>
      </c>
      <c r="DF42" s="279"/>
      <c r="DG42" s="312">
        <f t="shared" si="39"/>
        <v>3</v>
      </c>
      <c r="DH42" s="279">
        <v>0.0</v>
      </c>
      <c r="DI42" s="279">
        <v>0.0</v>
      </c>
      <c r="DJ42" s="279">
        <v>1.0</v>
      </c>
      <c r="DK42" s="279">
        <v>0.0</v>
      </c>
      <c r="DL42" s="288">
        <f t="shared" si="27"/>
        <v>94.44444444</v>
      </c>
      <c r="DM42" s="288">
        <f t="shared" si="28"/>
        <v>0</v>
      </c>
      <c r="DN42" s="288">
        <f t="shared" si="29"/>
        <v>1</v>
      </c>
      <c r="DO42" s="288">
        <f t="shared" si="30"/>
        <v>1</v>
      </c>
      <c r="DP42" s="288">
        <f t="shared" si="31"/>
        <v>1</v>
      </c>
      <c r="DQ42" s="288">
        <f t="shared" si="32"/>
        <v>0</v>
      </c>
      <c r="DR42" s="288">
        <f t="shared" ref="DR42:DS42" si="77">(DH42)</f>
        <v>0</v>
      </c>
      <c r="DS42" s="288">
        <f t="shared" si="77"/>
        <v>0</v>
      </c>
      <c r="DT42" s="291">
        <f t="shared" si="34"/>
        <v>3</v>
      </c>
      <c r="DU42" s="291" t="str">
        <f t="shared" si="35"/>
        <v>good sleep quality</v>
      </c>
      <c r="DV42" s="292"/>
      <c r="DW42" s="292"/>
      <c r="DX42" s="292"/>
      <c r="DY42" s="292"/>
      <c r="DZ42" s="292"/>
      <c r="EA42" s="292"/>
      <c r="EB42" s="292"/>
      <c r="EC42" s="292"/>
      <c r="ED42" s="292"/>
      <c r="EE42" s="292"/>
      <c r="EF42" s="292"/>
      <c r="EG42" s="292"/>
      <c r="EH42" s="292"/>
      <c r="EI42" s="279">
        <f t="shared" si="23"/>
        <v>26.29757785</v>
      </c>
    </row>
    <row r="43" ht="13.5" customHeight="1">
      <c r="A43" s="279" t="s">
        <v>742</v>
      </c>
      <c r="B43" s="280" t="s">
        <v>129</v>
      </c>
      <c r="C43" s="281">
        <v>45150.0</v>
      </c>
      <c r="D43" s="279">
        <v>66.0</v>
      </c>
      <c r="E43" s="279" t="s">
        <v>130</v>
      </c>
      <c r="F43" s="279">
        <v>152.0</v>
      </c>
      <c r="G43" s="282">
        <v>61.0</v>
      </c>
      <c r="H43" s="283" t="s">
        <v>131</v>
      </c>
      <c r="I43" s="279">
        <v>3.0</v>
      </c>
      <c r="J43" s="284">
        <v>44592.0</v>
      </c>
      <c r="K43" s="279" t="s">
        <v>132</v>
      </c>
      <c r="L43" s="279"/>
      <c r="M43" s="284"/>
      <c r="N43" s="279"/>
      <c r="O43" s="284"/>
      <c r="P43" s="279"/>
      <c r="Q43" s="311"/>
      <c r="R43" s="311"/>
      <c r="S43" s="279"/>
      <c r="T43" s="311"/>
      <c r="U43" s="311"/>
      <c r="V43" s="285" t="str">
        <f t="shared" si="2"/>
        <v>No infectado</v>
      </c>
      <c r="W43" s="279"/>
      <c r="X43" s="279"/>
      <c r="Y43" s="279"/>
      <c r="Z43" s="279"/>
      <c r="AA43" s="279"/>
      <c r="AB43" s="279"/>
      <c r="AC43" s="279"/>
      <c r="AD43" s="279"/>
      <c r="AE43" s="279"/>
      <c r="AF43" s="279"/>
      <c r="AG43" s="279"/>
      <c r="AH43" s="279"/>
      <c r="AI43" s="279"/>
      <c r="AJ43" s="279"/>
      <c r="AK43" s="282"/>
      <c r="AL43" s="283" t="s">
        <v>131</v>
      </c>
      <c r="AM43" s="279" t="s">
        <v>132</v>
      </c>
      <c r="AN43" s="279" t="s">
        <v>132</v>
      </c>
      <c r="AO43" s="279" t="s">
        <v>131</v>
      </c>
      <c r="AP43" s="279" t="s">
        <v>132</v>
      </c>
      <c r="AQ43" s="279" t="s">
        <v>132</v>
      </c>
      <c r="AR43" s="279" t="s">
        <v>132</v>
      </c>
      <c r="AS43" s="279" t="s">
        <v>131</v>
      </c>
      <c r="AT43" s="279" t="s">
        <v>132</v>
      </c>
      <c r="AU43" s="279" t="s">
        <v>132</v>
      </c>
      <c r="AV43" s="279" t="s">
        <v>131</v>
      </c>
      <c r="AW43" s="279" t="s">
        <v>385</v>
      </c>
      <c r="AX43" s="279" t="s">
        <v>132</v>
      </c>
      <c r="AY43" s="279"/>
      <c r="AZ43" s="279"/>
      <c r="BA43" s="279"/>
      <c r="BB43" s="279" t="s">
        <v>145</v>
      </c>
      <c r="BC43" s="282"/>
      <c r="BD43" s="283">
        <v>3.0</v>
      </c>
      <c r="BE43" s="279">
        <v>1.0</v>
      </c>
      <c r="BF43" s="279">
        <v>4.0</v>
      </c>
      <c r="BG43" s="279">
        <v>3.0</v>
      </c>
      <c r="BH43" s="279">
        <v>3.0</v>
      </c>
      <c r="BI43" s="287" t="str">
        <f t="shared" si="3"/>
        <v>31433</v>
      </c>
      <c r="BJ43" s="279">
        <v>70.0</v>
      </c>
      <c r="BK43" s="279">
        <v>2.0</v>
      </c>
      <c r="BL43" s="279">
        <v>5.0</v>
      </c>
      <c r="BM43" s="279">
        <v>2.0</v>
      </c>
      <c r="BN43" s="279">
        <v>5.0</v>
      </c>
      <c r="BO43" s="279">
        <v>2.0</v>
      </c>
      <c r="BP43" s="279">
        <v>2.0</v>
      </c>
      <c r="BQ43" s="279">
        <v>2.0</v>
      </c>
      <c r="BR43" s="279">
        <v>2.0</v>
      </c>
      <c r="BS43" s="279">
        <v>3.0</v>
      </c>
      <c r="BT43" s="279">
        <v>5.0</v>
      </c>
      <c r="BU43" s="288">
        <f t="shared" si="4"/>
        <v>1</v>
      </c>
      <c r="BV43" s="288">
        <f t="shared" si="5"/>
        <v>1</v>
      </c>
      <c r="BW43" s="288">
        <f t="shared" si="6"/>
        <v>26</v>
      </c>
      <c r="BX43" s="288" t="str">
        <f t="shared" si="7"/>
        <v>FATIGA</v>
      </c>
      <c r="BY43" s="279">
        <v>0.0</v>
      </c>
      <c r="BZ43" s="279">
        <v>0.0</v>
      </c>
      <c r="CA43" s="279">
        <v>0.0</v>
      </c>
      <c r="CB43" s="279">
        <v>1.0</v>
      </c>
      <c r="CC43" s="279">
        <v>1.0</v>
      </c>
      <c r="CD43" s="279">
        <v>30.0</v>
      </c>
      <c r="CE43" s="279">
        <v>4.0</v>
      </c>
      <c r="CF43" s="279">
        <v>0.0</v>
      </c>
      <c r="CG43" s="279">
        <v>20.0</v>
      </c>
      <c r="CH43" s="279">
        <v>2.0</v>
      </c>
      <c r="CI43" s="279">
        <v>0.0</v>
      </c>
      <c r="CJ43" s="288">
        <f t="shared" si="26"/>
        <v>624</v>
      </c>
      <c r="CK43" s="287">
        <f t="shared" si="9"/>
        <v>5</v>
      </c>
      <c r="CL43" s="287" t="str">
        <f t="shared" si="78"/>
        <v>#REF!</v>
      </c>
      <c r="CM43" s="287" t="b">
        <f t="shared" si="10"/>
        <v>0</v>
      </c>
      <c r="CN43" s="289" t="str">
        <f t="shared" si="11"/>
        <v>#REF!</v>
      </c>
      <c r="CO43" s="279">
        <v>0.0</v>
      </c>
      <c r="CP43" s="279">
        <v>15.0</v>
      </c>
      <c r="CQ43" s="290">
        <f t="shared" si="12"/>
        <v>0</v>
      </c>
      <c r="CR43" s="279">
        <v>7.0</v>
      </c>
      <c r="CS43" s="279">
        <v>0.0</v>
      </c>
      <c r="CT43" s="279">
        <v>7.0</v>
      </c>
      <c r="CU43" s="279">
        <v>7.0</v>
      </c>
      <c r="CV43" s="279">
        <v>1.0</v>
      </c>
      <c r="CW43" s="279">
        <v>2.0</v>
      </c>
      <c r="CX43" s="279">
        <v>3.0</v>
      </c>
      <c r="CY43" s="279">
        <v>0.0</v>
      </c>
      <c r="CZ43" s="279">
        <v>0.0</v>
      </c>
      <c r="DA43" s="279">
        <v>1.0</v>
      </c>
      <c r="DB43" s="279">
        <v>0.0</v>
      </c>
      <c r="DC43" s="279">
        <v>1.0</v>
      </c>
      <c r="DD43" s="279">
        <v>3.0</v>
      </c>
      <c r="DE43" s="279">
        <v>0.0</v>
      </c>
      <c r="DF43" s="279"/>
      <c r="DG43" s="312">
        <f t="shared" si="39"/>
        <v>10</v>
      </c>
      <c r="DH43" s="279">
        <v>1.0</v>
      </c>
      <c r="DI43" s="279">
        <v>0.0</v>
      </c>
      <c r="DJ43" s="279">
        <v>3.0</v>
      </c>
      <c r="DK43" s="279">
        <v>0.0</v>
      </c>
      <c r="DL43" s="288">
        <f t="shared" si="27"/>
        <v>100</v>
      </c>
      <c r="DM43" s="288">
        <f t="shared" si="28"/>
        <v>0</v>
      </c>
      <c r="DN43" s="288">
        <f t="shared" si="29"/>
        <v>2</v>
      </c>
      <c r="DO43" s="288">
        <f t="shared" si="30"/>
        <v>1</v>
      </c>
      <c r="DP43" s="288">
        <f t="shared" si="31"/>
        <v>2</v>
      </c>
      <c r="DQ43" s="288">
        <f t="shared" si="32"/>
        <v>0</v>
      </c>
      <c r="DR43" s="288">
        <f t="shared" ref="DR43:DS43" si="79">(DH43)</f>
        <v>1</v>
      </c>
      <c r="DS43" s="288">
        <f t="shared" si="79"/>
        <v>0</v>
      </c>
      <c r="DT43" s="291">
        <f t="shared" si="34"/>
        <v>6</v>
      </c>
      <c r="DU43" s="291" t="str">
        <f t="shared" si="35"/>
        <v>poor sleep quality</v>
      </c>
      <c r="DV43" s="292">
        <v>1.0</v>
      </c>
      <c r="DW43" s="292" t="s">
        <v>354</v>
      </c>
      <c r="DX43" s="292" t="s">
        <v>146</v>
      </c>
      <c r="DY43" s="292">
        <v>1.0</v>
      </c>
      <c r="DZ43" s="292" t="s">
        <v>132</v>
      </c>
      <c r="EA43" s="292" t="s">
        <v>162</v>
      </c>
      <c r="EB43" s="292"/>
      <c r="EC43" s="292" t="s">
        <v>261</v>
      </c>
      <c r="ED43" s="292" t="s">
        <v>131</v>
      </c>
      <c r="EE43" s="292" t="s">
        <v>132</v>
      </c>
      <c r="EF43" s="292" t="s">
        <v>466</v>
      </c>
      <c r="EG43" s="292"/>
      <c r="EH43" s="292"/>
      <c r="EI43" s="279">
        <f t="shared" si="23"/>
        <v>26.40235457</v>
      </c>
    </row>
    <row r="44" ht="15.75" customHeight="1">
      <c r="A44" s="130" t="s">
        <v>363</v>
      </c>
      <c r="B44" s="54" t="s">
        <v>175</v>
      </c>
      <c r="C44" s="296">
        <v>45150.0</v>
      </c>
      <c r="D44" s="130">
        <v>41.0</v>
      </c>
      <c r="E44" s="130" t="s">
        <v>130</v>
      </c>
      <c r="F44" s="130">
        <v>168.0</v>
      </c>
      <c r="G44" s="130">
        <v>60.9</v>
      </c>
      <c r="H44" s="130" t="s">
        <v>131</v>
      </c>
      <c r="I44" s="130">
        <v>2.0</v>
      </c>
      <c r="J44" s="299">
        <v>44469.0</v>
      </c>
      <c r="K44" s="130" t="s">
        <v>131</v>
      </c>
      <c r="L44" s="130">
        <v>3.0</v>
      </c>
      <c r="M44" s="299">
        <v>43922.0</v>
      </c>
      <c r="N44" s="137">
        <v>0.0</v>
      </c>
      <c r="O44" s="299">
        <v>44835.0</v>
      </c>
      <c r="P44" s="130" t="s">
        <v>132</v>
      </c>
      <c r="Q44" s="54"/>
      <c r="R44" s="54"/>
      <c r="S44" s="54"/>
      <c r="T44" s="54"/>
      <c r="U44" s="54"/>
      <c r="V44" s="121" t="str">
        <f t="shared" si="2"/>
        <v>Paciente ambulatorio</v>
      </c>
      <c r="W44" s="130" t="s">
        <v>176</v>
      </c>
      <c r="X44" s="130" t="s">
        <v>132</v>
      </c>
      <c r="Y44" s="130">
        <v>2.0</v>
      </c>
      <c r="Z44" s="130">
        <v>2.0</v>
      </c>
      <c r="AA44" s="130">
        <v>2.0</v>
      </c>
      <c r="AB44" s="130">
        <v>2.0</v>
      </c>
      <c r="AC44" s="130">
        <v>2.0</v>
      </c>
      <c r="AD44" s="130">
        <v>1.0</v>
      </c>
      <c r="AE44" s="130">
        <v>2.0</v>
      </c>
      <c r="AF44" s="130">
        <v>1.0</v>
      </c>
      <c r="AG44" s="130">
        <v>1.0</v>
      </c>
      <c r="AH44" s="130">
        <v>1.0</v>
      </c>
      <c r="AI44" s="130">
        <v>1.0</v>
      </c>
      <c r="AJ44" s="130">
        <v>1.0</v>
      </c>
      <c r="AK44" s="297" t="s">
        <v>318</v>
      </c>
      <c r="AL44" s="298" t="s">
        <v>131</v>
      </c>
      <c r="AM44" s="130" t="s">
        <v>132</v>
      </c>
      <c r="AN44" s="130" t="s">
        <v>132</v>
      </c>
      <c r="AO44" s="130" t="s">
        <v>132</v>
      </c>
      <c r="AP44" s="130" t="s">
        <v>132</v>
      </c>
      <c r="AQ44" s="130" t="s">
        <v>132</v>
      </c>
      <c r="AR44" s="130" t="s">
        <v>132</v>
      </c>
      <c r="AS44" s="130" t="s">
        <v>132</v>
      </c>
      <c r="AT44" s="130" t="s">
        <v>132</v>
      </c>
      <c r="AU44" s="130" t="s">
        <v>132</v>
      </c>
      <c r="AV44" s="130" t="s">
        <v>132</v>
      </c>
      <c r="AW44" s="130"/>
      <c r="AX44" s="130" t="s">
        <v>131</v>
      </c>
      <c r="AY44" s="130">
        <v>3.0</v>
      </c>
      <c r="AZ44" s="130">
        <v>20.0</v>
      </c>
      <c r="BA44" s="130"/>
      <c r="BB44" s="130" t="s">
        <v>192</v>
      </c>
      <c r="BC44" s="297">
        <v>1.0</v>
      </c>
      <c r="BD44" s="298">
        <v>2.0</v>
      </c>
      <c r="BE44" s="130">
        <v>1.0</v>
      </c>
      <c r="BF44" s="130">
        <v>2.0</v>
      </c>
      <c r="BG44" s="130">
        <v>2.0</v>
      </c>
      <c r="BH44" s="130">
        <v>4.0</v>
      </c>
      <c r="BI44" s="301" t="str">
        <f t="shared" si="3"/>
        <v>21224</v>
      </c>
      <c r="BJ44" s="130">
        <v>70.0</v>
      </c>
      <c r="BK44" s="130">
        <v>3.0</v>
      </c>
      <c r="BL44" s="130">
        <v>2.0</v>
      </c>
      <c r="BM44" s="130">
        <v>1.0</v>
      </c>
      <c r="BN44" s="130">
        <v>5.0</v>
      </c>
      <c r="BO44" s="130">
        <v>3.0</v>
      </c>
      <c r="BP44" s="130">
        <v>2.0</v>
      </c>
      <c r="BQ44" s="130">
        <v>4.0</v>
      </c>
      <c r="BR44" s="130">
        <v>3.0</v>
      </c>
      <c r="BS44" s="130">
        <v>2.0</v>
      </c>
      <c r="BT44" s="130">
        <v>3.0</v>
      </c>
      <c r="BU44" s="302">
        <f t="shared" si="4"/>
        <v>1</v>
      </c>
      <c r="BV44" s="302">
        <f t="shared" si="5"/>
        <v>3</v>
      </c>
      <c r="BW44" s="302">
        <f t="shared" si="6"/>
        <v>26</v>
      </c>
      <c r="BX44" s="302" t="str">
        <f t="shared" si="7"/>
        <v>FATIGA</v>
      </c>
      <c r="BY44" s="130">
        <v>7.0</v>
      </c>
      <c r="BZ44" s="130">
        <v>4.0</v>
      </c>
      <c r="CA44" s="130">
        <v>0.0</v>
      </c>
      <c r="CB44" s="130">
        <v>0.0</v>
      </c>
      <c r="CC44" s="130">
        <v>0.0</v>
      </c>
      <c r="CD44" s="130">
        <v>0.0</v>
      </c>
      <c r="CE44" s="130">
        <v>0.0</v>
      </c>
      <c r="CF44" s="130">
        <v>0.0</v>
      </c>
      <c r="CG44" s="130">
        <v>0.0</v>
      </c>
      <c r="CH44" s="130">
        <v>3.0</v>
      </c>
      <c r="CI44" s="130">
        <v>0.0</v>
      </c>
      <c r="CJ44" s="302">
        <f t="shared" si="26"/>
        <v>13440</v>
      </c>
      <c r="CK44" s="301">
        <f t="shared" si="9"/>
        <v>7</v>
      </c>
      <c r="CL44" s="301" t="str">
        <f t="shared" ref="CL44:CL46" si="81">IF(CJ45&gt;3000,IF(CK45&gt;6,"Nivel de actividad física alto"),IF(CJ45&gt;1500,IF(BY45&gt;2,"Nivel de actividad física alto")))</f>
        <v>Nivel de actividad física alto</v>
      </c>
      <c r="CM44" s="301" t="str">
        <f t="shared" si="10"/>
        <v>Nivel de actividad física moderado</v>
      </c>
      <c r="CN44" s="208" t="str">
        <f t="shared" si="11"/>
        <v>Nivel de actividad física alto</v>
      </c>
      <c r="CO44" s="130">
        <v>23.0</v>
      </c>
      <c r="CP44" s="130">
        <v>5.0</v>
      </c>
      <c r="CQ44" s="223">
        <f t="shared" si="12"/>
        <v>0</v>
      </c>
      <c r="CR44" s="130">
        <v>8.0</v>
      </c>
      <c r="CS44" s="130">
        <v>0.0</v>
      </c>
      <c r="CT44" s="130">
        <v>9.0</v>
      </c>
      <c r="CU44" s="130">
        <v>5.0</v>
      </c>
      <c r="CV44" s="130">
        <v>0.0</v>
      </c>
      <c r="CW44" s="130">
        <v>3.0</v>
      </c>
      <c r="CX44" s="130">
        <v>0.0</v>
      </c>
      <c r="CY44" s="130">
        <v>3.0</v>
      </c>
      <c r="CZ44" s="130">
        <v>3.0</v>
      </c>
      <c r="DA44" s="130">
        <v>0.0</v>
      </c>
      <c r="DB44" s="130">
        <v>0.0</v>
      </c>
      <c r="DC44" s="130">
        <v>0.0</v>
      </c>
      <c r="DD44" s="130">
        <v>0.0</v>
      </c>
      <c r="DE44" s="130">
        <v>0.0</v>
      </c>
      <c r="DF44" s="130"/>
      <c r="DG44" s="303">
        <f t="shared" si="39"/>
        <v>9</v>
      </c>
      <c r="DH44" s="130">
        <v>2.0</v>
      </c>
      <c r="DI44" s="130">
        <v>0.0</v>
      </c>
      <c r="DJ44" s="130">
        <v>3.0</v>
      </c>
      <c r="DK44" s="130">
        <v>3.0</v>
      </c>
      <c r="DL44" s="302">
        <f t="shared" si="27"/>
        <v>55.55555556</v>
      </c>
      <c r="DM44" s="302">
        <f t="shared" si="28"/>
        <v>2</v>
      </c>
      <c r="DN44" s="302">
        <f t="shared" si="29"/>
        <v>1</v>
      </c>
      <c r="DO44" s="302">
        <f t="shared" si="30"/>
        <v>0</v>
      </c>
      <c r="DP44" s="302">
        <f t="shared" si="31"/>
        <v>3</v>
      </c>
      <c r="DQ44" s="302">
        <f t="shared" si="32"/>
        <v>3</v>
      </c>
      <c r="DR44" s="302">
        <f t="shared" ref="DR44:DS44" si="80">(DH44)</f>
        <v>2</v>
      </c>
      <c r="DS44" s="302">
        <f t="shared" si="80"/>
        <v>0</v>
      </c>
      <c r="DT44" s="304">
        <f t="shared" si="34"/>
        <v>11</v>
      </c>
      <c r="DU44" s="304" t="str">
        <f t="shared" si="35"/>
        <v>poor sleep quality</v>
      </c>
      <c r="DV44" s="305">
        <v>1.0</v>
      </c>
      <c r="DW44" s="305" t="s">
        <v>314</v>
      </c>
      <c r="DX44" s="305" t="s">
        <v>146</v>
      </c>
      <c r="DY44" s="305">
        <v>1.0</v>
      </c>
      <c r="DZ44" s="305" t="s">
        <v>131</v>
      </c>
      <c r="EA44" s="305" t="s">
        <v>178</v>
      </c>
      <c r="EB44" s="305"/>
      <c r="EC44" s="305" t="s">
        <v>172</v>
      </c>
      <c r="ED44" s="305"/>
      <c r="EE44" s="305" t="s">
        <v>132</v>
      </c>
      <c r="EF44" s="305" t="s">
        <v>141</v>
      </c>
      <c r="EG44" s="305">
        <f>C44-M44</f>
        <v>1228</v>
      </c>
      <c r="EH44" s="305">
        <f>C44-O44</f>
        <v>315</v>
      </c>
      <c r="EI44" s="130">
        <f t="shared" si="23"/>
        <v>21.57738095</v>
      </c>
    </row>
    <row r="45" ht="15.75" customHeight="1">
      <c r="A45" s="279" t="s">
        <v>364</v>
      </c>
      <c r="B45" s="280" t="s">
        <v>129</v>
      </c>
      <c r="C45" s="281">
        <v>45149.0</v>
      </c>
      <c r="D45" s="279">
        <v>47.0</v>
      </c>
      <c r="E45" s="279" t="s">
        <v>153</v>
      </c>
      <c r="F45" s="279">
        <v>174.0</v>
      </c>
      <c r="G45" s="282">
        <v>72.0</v>
      </c>
      <c r="H45" s="283" t="s">
        <v>131</v>
      </c>
      <c r="I45" s="279">
        <v>2.0</v>
      </c>
      <c r="J45" s="284">
        <v>2021.0</v>
      </c>
      <c r="K45" s="279" t="s">
        <v>132</v>
      </c>
      <c r="L45" s="279"/>
      <c r="M45" s="284"/>
      <c r="N45" s="313"/>
      <c r="O45" s="284"/>
      <c r="P45" s="279"/>
      <c r="Q45" s="279"/>
      <c r="R45" s="279"/>
      <c r="S45" s="279"/>
      <c r="T45" s="279"/>
      <c r="U45" s="279"/>
      <c r="V45" s="285" t="str">
        <f t="shared" si="2"/>
        <v>No infectado</v>
      </c>
      <c r="W45" s="279"/>
      <c r="X45" s="279"/>
      <c r="Y45" s="279"/>
      <c r="Z45" s="279"/>
      <c r="AA45" s="279"/>
      <c r="AB45" s="279"/>
      <c r="AC45" s="279"/>
      <c r="AD45" s="279"/>
      <c r="AE45" s="279"/>
      <c r="AF45" s="279"/>
      <c r="AG45" s="279"/>
      <c r="AH45" s="279"/>
      <c r="AI45" s="279"/>
      <c r="AJ45" s="279"/>
      <c r="AK45" s="282"/>
      <c r="AL45" s="283" t="s">
        <v>132</v>
      </c>
      <c r="AM45" s="279" t="s">
        <v>132</v>
      </c>
      <c r="AN45" s="279" t="s">
        <v>132</v>
      </c>
      <c r="AO45" s="279" t="s">
        <v>132</v>
      </c>
      <c r="AP45" s="279" t="s">
        <v>132</v>
      </c>
      <c r="AQ45" s="279" t="s">
        <v>132</v>
      </c>
      <c r="AR45" s="279" t="s">
        <v>132</v>
      </c>
      <c r="AS45" s="279" t="s">
        <v>132</v>
      </c>
      <c r="AT45" s="279" t="s">
        <v>132</v>
      </c>
      <c r="AU45" s="279" t="s">
        <v>132</v>
      </c>
      <c r="AV45" s="279" t="s">
        <v>131</v>
      </c>
      <c r="AW45" s="279"/>
      <c r="AX45" s="279" t="s">
        <v>132</v>
      </c>
      <c r="AY45" s="279"/>
      <c r="AZ45" s="279"/>
      <c r="BA45" s="279"/>
      <c r="BB45" s="279" t="s">
        <v>135</v>
      </c>
      <c r="BC45" s="282">
        <v>3.0</v>
      </c>
      <c r="BD45" s="283">
        <v>1.0</v>
      </c>
      <c r="BE45" s="279">
        <v>1.0</v>
      </c>
      <c r="BF45" s="279">
        <v>2.0</v>
      </c>
      <c r="BG45" s="279">
        <v>1.0</v>
      </c>
      <c r="BH45" s="279">
        <v>3.0</v>
      </c>
      <c r="BI45" s="287" t="str">
        <f t="shared" si="3"/>
        <v>11213</v>
      </c>
      <c r="BJ45" s="279">
        <v>90.0</v>
      </c>
      <c r="BK45" s="279">
        <v>2.0</v>
      </c>
      <c r="BL45" s="279">
        <v>1.0</v>
      </c>
      <c r="BM45" s="279">
        <v>2.0</v>
      </c>
      <c r="BN45" s="279">
        <v>4.0</v>
      </c>
      <c r="BO45" s="279">
        <v>2.0</v>
      </c>
      <c r="BP45" s="279">
        <v>2.0</v>
      </c>
      <c r="BQ45" s="279">
        <v>1.0</v>
      </c>
      <c r="BR45" s="279">
        <v>2.0</v>
      </c>
      <c r="BS45" s="279">
        <v>2.0</v>
      </c>
      <c r="BT45" s="279">
        <v>4.0</v>
      </c>
      <c r="BU45" s="288">
        <f t="shared" si="4"/>
        <v>2</v>
      </c>
      <c r="BV45" s="288">
        <f t="shared" si="5"/>
        <v>2</v>
      </c>
      <c r="BW45" s="288">
        <f t="shared" si="6"/>
        <v>20</v>
      </c>
      <c r="BX45" s="288" t="str">
        <f t="shared" si="7"/>
        <v>NO HAY FATIGA</v>
      </c>
      <c r="BY45" s="279">
        <v>7.0</v>
      </c>
      <c r="BZ45" s="279">
        <v>0.0</v>
      </c>
      <c r="CA45" s="279">
        <v>45.0</v>
      </c>
      <c r="CB45" s="279">
        <v>3.0</v>
      </c>
      <c r="CC45" s="279">
        <v>0.0</v>
      </c>
      <c r="CD45" s="279">
        <v>10.0</v>
      </c>
      <c r="CE45" s="279">
        <v>7.0</v>
      </c>
      <c r="CF45" s="279">
        <v>0.0</v>
      </c>
      <c r="CG45" s="279">
        <v>10.0</v>
      </c>
      <c r="CH45" s="279">
        <v>4.0</v>
      </c>
      <c r="CI45" s="279">
        <v>0.0</v>
      </c>
      <c r="CJ45" s="288">
        <f t="shared" si="26"/>
        <v>2871</v>
      </c>
      <c r="CK45" s="287">
        <f t="shared" si="9"/>
        <v>17</v>
      </c>
      <c r="CL45" s="287" t="str">
        <f t="shared" si="81"/>
        <v>Nivel de actividad física alto</v>
      </c>
      <c r="CM45" s="287" t="str">
        <f t="shared" si="10"/>
        <v>Nivel de actividad física moderado</v>
      </c>
      <c r="CN45" s="289" t="str">
        <f t="shared" si="11"/>
        <v>Nivel de actividad física alto</v>
      </c>
      <c r="CO45" s="279">
        <v>1.0</v>
      </c>
      <c r="CP45" s="279">
        <v>60.0</v>
      </c>
      <c r="CQ45" s="290">
        <f t="shared" si="12"/>
        <v>2</v>
      </c>
      <c r="CR45" s="279">
        <v>7.0</v>
      </c>
      <c r="CS45" s="279">
        <v>0.0</v>
      </c>
      <c r="CT45" s="279">
        <v>6.0</v>
      </c>
      <c r="CU45" s="279">
        <v>6.0</v>
      </c>
      <c r="CV45" s="279">
        <v>3.0</v>
      </c>
      <c r="CW45" s="279">
        <v>0.0</v>
      </c>
      <c r="CX45" s="279">
        <v>0.0</v>
      </c>
      <c r="CY45" s="279">
        <v>0.0</v>
      </c>
      <c r="CZ45" s="279">
        <v>0.0</v>
      </c>
      <c r="DA45" s="279">
        <v>0.0</v>
      </c>
      <c r="DB45" s="279">
        <v>0.0</v>
      </c>
      <c r="DC45" s="279">
        <v>0.0</v>
      </c>
      <c r="DD45" s="279">
        <v>0.0</v>
      </c>
      <c r="DE45" s="279">
        <v>0.0</v>
      </c>
      <c r="DF45" s="279"/>
      <c r="DG45" s="312">
        <f t="shared" si="39"/>
        <v>0</v>
      </c>
      <c r="DH45" s="279">
        <v>2.0</v>
      </c>
      <c r="DI45" s="279">
        <v>0.0</v>
      </c>
      <c r="DJ45" s="279">
        <v>3.0</v>
      </c>
      <c r="DK45" s="279">
        <v>1.0</v>
      </c>
      <c r="DL45" s="288">
        <f t="shared" si="27"/>
        <v>100</v>
      </c>
      <c r="DM45" s="288">
        <f t="shared" si="28"/>
        <v>1</v>
      </c>
      <c r="DN45" s="288">
        <f t="shared" si="29"/>
        <v>0</v>
      </c>
      <c r="DO45" s="288">
        <f t="shared" si="30"/>
        <v>3</v>
      </c>
      <c r="DP45" s="288">
        <f t="shared" si="31"/>
        <v>2</v>
      </c>
      <c r="DQ45" s="288">
        <f t="shared" si="32"/>
        <v>0</v>
      </c>
      <c r="DR45" s="288">
        <f t="shared" ref="DR45:DS45" si="82">(DH45)</f>
        <v>2</v>
      </c>
      <c r="DS45" s="288">
        <f t="shared" si="82"/>
        <v>0</v>
      </c>
      <c r="DT45" s="291">
        <f t="shared" si="34"/>
        <v>8</v>
      </c>
      <c r="DU45" s="291" t="str">
        <f t="shared" si="35"/>
        <v>poor sleep quality</v>
      </c>
      <c r="DV45" s="292">
        <v>0.0</v>
      </c>
      <c r="DW45" s="292"/>
      <c r="DX45" s="292" t="s">
        <v>213</v>
      </c>
      <c r="DY45" s="292">
        <v>1.0</v>
      </c>
      <c r="DZ45" s="292" t="s">
        <v>131</v>
      </c>
      <c r="EA45" s="292" t="s">
        <v>157</v>
      </c>
      <c r="EB45" s="292"/>
      <c r="EC45" s="292" t="s">
        <v>139</v>
      </c>
      <c r="ED45" s="292" t="s">
        <v>140</v>
      </c>
      <c r="EE45" s="292" t="s">
        <v>132</v>
      </c>
      <c r="EF45" s="292" t="s">
        <v>140</v>
      </c>
      <c r="EG45" s="292"/>
      <c r="EH45" s="292"/>
      <c r="EI45" s="279">
        <f t="shared" si="23"/>
        <v>23.78121284</v>
      </c>
    </row>
    <row r="46" ht="15.75" customHeight="1">
      <c r="A46" s="130" t="s">
        <v>365</v>
      </c>
      <c r="B46" s="54" t="s">
        <v>175</v>
      </c>
      <c r="C46" s="296">
        <v>45156.0</v>
      </c>
      <c r="D46" s="130">
        <v>50.0</v>
      </c>
      <c r="E46" s="130" t="s">
        <v>130</v>
      </c>
      <c r="F46" s="130">
        <v>164.0</v>
      </c>
      <c r="G46" s="130">
        <v>78.0</v>
      </c>
      <c r="H46" s="130" t="s">
        <v>131</v>
      </c>
      <c r="I46" s="130">
        <v>2.0</v>
      </c>
      <c r="J46" s="299">
        <v>44339.0</v>
      </c>
      <c r="K46" s="130" t="s">
        <v>131</v>
      </c>
      <c r="L46" s="130">
        <v>1.0</v>
      </c>
      <c r="M46" s="299">
        <v>44564.0</v>
      </c>
      <c r="N46" s="137">
        <v>2.0</v>
      </c>
      <c r="O46" s="299">
        <v>44564.0</v>
      </c>
      <c r="P46" s="130" t="s">
        <v>132</v>
      </c>
      <c r="Q46" s="54"/>
      <c r="R46" s="54"/>
      <c r="S46" s="54"/>
      <c r="T46" s="54"/>
      <c r="U46" s="54"/>
      <c r="V46" s="121" t="str">
        <f t="shared" si="2"/>
        <v>Paciente ambulatorio</v>
      </c>
      <c r="W46" s="130" t="s">
        <v>176</v>
      </c>
      <c r="X46" s="130" t="s">
        <v>132</v>
      </c>
      <c r="Y46" s="130">
        <v>1.0</v>
      </c>
      <c r="Z46" s="130">
        <v>1.0</v>
      </c>
      <c r="AA46" s="130">
        <v>2.0</v>
      </c>
      <c r="AB46" s="130">
        <v>2.0</v>
      </c>
      <c r="AC46" s="130">
        <v>3.0</v>
      </c>
      <c r="AD46" s="130">
        <v>1.0</v>
      </c>
      <c r="AE46" s="130">
        <v>1.0</v>
      </c>
      <c r="AF46" s="130">
        <v>1.0</v>
      </c>
      <c r="AG46" s="130">
        <v>1.0</v>
      </c>
      <c r="AH46" s="130">
        <v>1.0</v>
      </c>
      <c r="AI46" s="130">
        <v>1.0</v>
      </c>
      <c r="AJ46" s="130">
        <v>1.0</v>
      </c>
      <c r="AK46" s="297" t="s">
        <v>366</v>
      </c>
      <c r="AL46" s="298" t="s">
        <v>132</v>
      </c>
      <c r="AM46" s="130" t="s">
        <v>132</v>
      </c>
      <c r="AN46" s="130" t="s">
        <v>132</v>
      </c>
      <c r="AO46" s="130" t="s">
        <v>132</v>
      </c>
      <c r="AP46" s="130" t="s">
        <v>132</v>
      </c>
      <c r="AQ46" s="130" t="s">
        <v>132</v>
      </c>
      <c r="AR46" s="130" t="s">
        <v>132</v>
      </c>
      <c r="AS46" s="130" t="s">
        <v>132</v>
      </c>
      <c r="AT46" s="130" t="s">
        <v>132</v>
      </c>
      <c r="AU46" s="130" t="s">
        <v>132</v>
      </c>
      <c r="AV46" s="130" t="s">
        <v>131</v>
      </c>
      <c r="AW46" s="130" t="s">
        <v>367</v>
      </c>
      <c r="AX46" s="130" t="s">
        <v>132</v>
      </c>
      <c r="AY46" s="130"/>
      <c r="AZ46" s="130"/>
      <c r="BA46" s="130"/>
      <c r="BB46" s="130" t="s">
        <v>135</v>
      </c>
      <c r="BC46" s="297">
        <v>1.0</v>
      </c>
      <c r="BD46" s="298">
        <v>2.0</v>
      </c>
      <c r="BE46" s="130">
        <v>1.0</v>
      </c>
      <c r="BF46" s="130">
        <v>1.0</v>
      </c>
      <c r="BG46" s="130">
        <v>2.0</v>
      </c>
      <c r="BH46" s="130">
        <v>4.0</v>
      </c>
      <c r="BI46" s="301" t="str">
        <f t="shared" si="3"/>
        <v>21124</v>
      </c>
      <c r="BJ46" s="130">
        <v>50.0</v>
      </c>
      <c r="BK46" s="130">
        <v>4.0</v>
      </c>
      <c r="BL46" s="130">
        <v>3.0</v>
      </c>
      <c r="BM46" s="130">
        <v>3.0</v>
      </c>
      <c r="BN46" s="130">
        <v>3.0</v>
      </c>
      <c r="BO46" s="130">
        <v>4.0</v>
      </c>
      <c r="BP46" s="130">
        <v>5.0</v>
      </c>
      <c r="BQ46" s="130">
        <v>4.0</v>
      </c>
      <c r="BR46" s="130">
        <v>4.0</v>
      </c>
      <c r="BS46" s="130">
        <v>5.0</v>
      </c>
      <c r="BT46" s="130">
        <v>3.0</v>
      </c>
      <c r="BU46" s="302">
        <f t="shared" si="4"/>
        <v>3</v>
      </c>
      <c r="BV46" s="302">
        <f t="shared" si="5"/>
        <v>3</v>
      </c>
      <c r="BW46" s="302">
        <f t="shared" si="6"/>
        <v>38</v>
      </c>
      <c r="BX46" s="302" t="str">
        <f t="shared" si="7"/>
        <v>FATIGA EXTREMA</v>
      </c>
      <c r="BY46" s="130">
        <v>3.0</v>
      </c>
      <c r="BZ46" s="130">
        <v>1.0</v>
      </c>
      <c r="CA46" s="130">
        <v>30.0</v>
      </c>
      <c r="CB46" s="130">
        <v>0.0</v>
      </c>
      <c r="CC46" s="130">
        <v>0.0</v>
      </c>
      <c r="CD46" s="130">
        <v>0.0</v>
      </c>
      <c r="CE46" s="130">
        <v>7.0</v>
      </c>
      <c r="CF46" s="130">
        <v>0.0</v>
      </c>
      <c r="CG46" s="130">
        <v>30.0</v>
      </c>
      <c r="CH46" s="130">
        <v>10.0</v>
      </c>
      <c r="CI46" s="130">
        <v>0.0</v>
      </c>
      <c r="CJ46" s="302">
        <f t="shared" si="26"/>
        <v>2853</v>
      </c>
      <c r="CK46" s="301">
        <f t="shared" si="9"/>
        <v>10</v>
      </c>
      <c r="CL46" s="301" t="b">
        <f t="shared" si="81"/>
        <v>0</v>
      </c>
      <c r="CM46" s="301" t="str">
        <f t="shared" si="10"/>
        <v>Nivel de actividad física moderado</v>
      </c>
      <c r="CN46" s="208" t="str">
        <f t="shared" si="11"/>
        <v>Nivel de actividad física moderado</v>
      </c>
      <c r="CO46" s="130">
        <v>0.0</v>
      </c>
      <c r="CP46" s="130">
        <v>60.0</v>
      </c>
      <c r="CQ46" s="223">
        <f t="shared" si="12"/>
        <v>2</v>
      </c>
      <c r="CR46" s="130">
        <v>5.0</v>
      </c>
      <c r="CS46" s="130">
        <v>0.0</v>
      </c>
      <c r="CT46" s="130">
        <v>5.0</v>
      </c>
      <c r="CU46" s="130">
        <v>4.0</v>
      </c>
      <c r="CV46" s="130">
        <v>3.0</v>
      </c>
      <c r="CW46" s="130">
        <v>3.0</v>
      </c>
      <c r="CX46" s="130">
        <v>2.0</v>
      </c>
      <c r="CY46" s="130">
        <v>3.0</v>
      </c>
      <c r="CZ46" s="130">
        <v>0.0</v>
      </c>
      <c r="DA46" s="130">
        <v>1.0</v>
      </c>
      <c r="DB46" s="130">
        <v>0.0</v>
      </c>
      <c r="DC46" s="130">
        <v>1.0</v>
      </c>
      <c r="DD46" s="130">
        <v>0.0</v>
      </c>
      <c r="DE46" s="130">
        <v>0.0</v>
      </c>
      <c r="DF46" s="130"/>
      <c r="DG46" s="303">
        <f t="shared" si="39"/>
        <v>10</v>
      </c>
      <c r="DH46" s="130">
        <v>2.0</v>
      </c>
      <c r="DI46" s="130">
        <v>3.0</v>
      </c>
      <c r="DJ46" s="130">
        <v>3.0</v>
      </c>
      <c r="DK46" s="130">
        <v>3.0</v>
      </c>
      <c r="DL46" s="302">
        <f t="shared" si="27"/>
        <v>80</v>
      </c>
      <c r="DM46" s="302">
        <f t="shared" si="28"/>
        <v>3</v>
      </c>
      <c r="DN46" s="302">
        <f t="shared" si="29"/>
        <v>2</v>
      </c>
      <c r="DO46" s="302">
        <f t="shared" si="30"/>
        <v>3</v>
      </c>
      <c r="DP46" s="302">
        <f t="shared" si="31"/>
        <v>3</v>
      </c>
      <c r="DQ46" s="302">
        <f t="shared" si="32"/>
        <v>1</v>
      </c>
      <c r="DR46" s="302">
        <f t="shared" ref="DR46:DS46" si="83">(DH46)</f>
        <v>2</v>
      </c>
      <c r="DS46" s="302">
        <f t="shared" si="83"/>
        <v>3</v>
      </c>
      <c r="DT46" s="304">
        <f t="shared" si="34"/>
        <v>17</v>
      </c>
      <c r="DU46" s="304" t="str">
        <f t="shared" si="35"/>
        <v>poor sleep quality</v>
      </c>
      <c r="DV46" s="305">
        <v>2.0</v>
      </c>
      <c r="DW46" s="305" t="s">
        <v>185</v>
      </c>
      <c r="DX46" s="305" t="s">
        <v>146</v>
      </c>
      <c r="DY46" s="305">
        <v>1.0</v>
      </c>
      <c r="DZ46" s="305" t="s">
        <v>131</v>
      </c>
      <c r="EA46" s="305" t="s">
        <v>147</v>
      </c>
      <c r="EB46" s="305"/>
      <c r="EC46" s="305" t="s">
        <v>139</v>
      </c>
      <c r="ED46" s="305"/>
      <c r="EE46" s="305" t="s">
        <v>132</v>
      </c>
      <c r="EF46" s="305" t="s">
        <v>141</v>
      </c>
      <c r="EG46" s="305">
        <f t="shared" ref="EG46:EG47" si="85">C46-M46</f>
        <v>592</v>
      </c>
      <c r="EH46" s="305">
        <f t="shared" ref="EH46:EH47" si="86">C46-O46</f>
        <v>592</v>
      </c>
      <c r="EI46" s="130">
        <f t="shared" si="23"/>
        <v>29.00059488</v>
      </c>
    </row>
    <row r="47" ht="18.75" customHeight="1">
      <c r="A47" s="130" t="s">
        <v>368</v>
      </c>
      <c r="B47" s="54" t="s">
        <v>175</v>
      </c>
      <c r="C47" s="296">
        <v>45156.0</v>
      </c>
      <c r="D47" s="130">
        <v>50.0</v>
      </c>
      <c r="E47" s="130" t="s">
        <v>130</v>
      </c>
      <c r="F47" s="130">
        <v>165.0</v>
      </c>
      <c r="G47" s="297">
        <v>90.0</v>
      </c>
      <c r="H47" s="298" t="s">
        <v>131</v>
      </c>
      <c r="I47" s="130">
        <v>2.0</v>
      </c>
      <c r="J47" s="299"/>
      <c r="K47" s="130" t="s">
        <v>131</v>
      </c>
      <c r="L47" s="130">
        <v>2.0</v>
      </c>
      <c r="M47" s="299">
        <v>44378.0</v>
      </c>
      <c r="N47" s="137" t="s">
        <v>131</v>
      </c>
      <c r="O47" s="299">
        <v>45108.0</v>
      </c>
      <c r="P47" s="130" t="s">
        <v>132</v>
      </c>
      <c r="Q47" s="306"/>
      <c r="R47" s="306"/>
      <c r="S47" s="130"/>
      <c r="U47" s="130"/>
      <c r="V47" s="121" t="str">
        <f t="shared" si="2"/>
        <v>Paciente ambulatorio</v>
      </c>
      <c r="W47" s="130" t="s">
        <v>176</v>
      </c>
      <c r="X47" s="130" t="s">
        <v>132</v>
      </c>
      <c r="Y47" s="130">
        <v>2.0</v>
      </c>
      <c r="Z47" s="130">
        <v>1.0</v>
      </c>
      <c r="AA47" s="130">
        <v>3.0</v>
      </c>
      <c r="AB47" s="130">
        <v>2.0</v>
      </c>
      <c r="AC47" s="130">
        <v>1.0</v>
      </c>
      <c r="AD47" s="130">
        <v>1.0</v>
      </c>
      <c r="AE47" s="130">
        <v>1.0</v>
      </c>
      <c r="AF47" s="130">
        <v>1.0</v>
      </c>
      <c r="AG47" s="130">
        <v>1.0</v>
      </c>
      <c r="AH47" s="130">
        <v>1.0</v>
      </c>
      <c r="AI47" s="130">
        <v>1.0</v>
      </c>
      <c r="AJ47" s="130">
        <v>1.0</v>
      </c>
      <c r="AK47" s="297"/>
      <c r="AL47" s="298" t="s">
        <v>131</v>
      </c>
      <c r="AM47" s="130" t="s">
        <v>132</v>
      </c>
      <c r="AN47" s="130" t="s">
        <v>132</v>
      </c>
      <c r="AO47" s="130" t="s">
        <v>131</v>
      </c>
      <c r="AP47" s="130" t="s">
        <v>132</v>
      </c>
      <c r="AQ47" s="130" t="s">
        <v>132</v>
      </c>
      <c r="AR47" s="130" t="s">
        <v>132</v>
      </c>
      <c r="AS47" s="130" t="s">
        <v>131</v>
      </c>
      <c r="AT47" s="130" t="s">
        <v>132</v>
      </c>
      <c r="AU47" s="130" t="s">
        <v>132</v>
      </c>
      <c r="AV47" s="130" t="s">
        <v>131</v>
      </c>
      <c r="AW47" s="130" t="s">
        <v>369</v>
      </c>
      <c r="AX47" s="130" t="s">
        <v>131</v>
      </c>
      <c r="AY47" s="130">
        <v>15.0</v>
      </c>
      <c r="AZ47" s="130"/>
      <c r="BA47" s="130"/>
      <c r="BB47" s="130" t="s">
        <v>145</v>
      </c>
      <c r="BC47" s="297"/>
      <c r="BD47" s="298">
        <v>1.0</v>
      </c>
      <c r="BE47" s="130">
        <v>1.0</v>
      </c>
      <c r="BF47" s="130">
        <v>3.0</v>
      </c>
      <c r="BG47" s="130">
        <v>3.0</v>
      </c>
      <c r="BH47" s="130">
        <v>1.0</v>
      </c>
      <c r="BI47" s="301" t="str">
        <f t="shared" si="3"/>
        <v>11331</v>
      </c>
      <c r="BJ47" s="130">
        <v>60.0</v>
      </c>
      <c r="BK47" s="130">
        <v>4.0</v>
      </c>
      <c r="BL47" s="130">
        <v>4.0</v>
      </c>
      <c r="BM47" s="130">
        <v>3.0</v>
      </c>
      <c r="BN47" s="130">
        <v>2.0</v>
      </c>
      <c r="BO47" s="130">
        <v>3.0</v>
      </c>
      <c r="BP47" s="130">
        <v>3.0</v>
      </c>
      <c r="BQ47" s="130">
        <v>4.0</v>
      </c>
      <c r="BR47" s="130">
        <v>3.0</v>
      </c>
      <c r="BS47" s="130">
        <v>4.0</v>
      </c>
      <c r="BT47" s="130">
        <v>3.0</v>
      </c>
      <c r="BU47" s="302">
        <f t="shared" si="4"/>
        <v>4</v>
      </c>
      <c r="BV47" s="302">
        <f t="shared" si="5"/>
        <v>3</v>
      </c>
      <c r="BW47" s="302">
        <f t="shared" si="6"/>
        <v>34</v>
      </c>
      <c r="BX47" s="302" t="str">
        <f t="shared" si="7"/>
        <v>FATIGA</v>
      </c>
      <c r="BY47" s="130">
        <v>0.0</v>
      </c>
      <c r="BZ47" s="130">
        <v>0.0</v>
      </c>
      <c r="CA47" s="130">
        <v>0.0</v>
      </c>
      <c r="CB47" s="130">
        <v>2.0</v>
      </c>
      <c r="CC47" s="130">
        <v>0.0</v>
      </c>
      <c r="CD47" s="130">
        <v>15.0</v>
      </c>
      <c r="CE47" s="130">
        <v>7.0</v>
      </c>
      <c r="CF47" s="130">
        <v>0.0</v>
      </c>
      <c r="CG47" s="130">
        <v>20.0</v>
      </c>
      <c r="CH47" s="130">
        <v>1.0</v>
      </c>
      <c r="CI47" s="130">
        <v>0.0</v>
      </c>
      <c r="CJ47" s="302">
        <f t="shared" si="26"/>
        <v>582</v>
      </c>
      <c r="CK47" s="301">
        <f t="shared" si="9"/>
        <v>9</v>
      </c>
      <c r="CL47" s="301" t="str">
        <f t="shared" ref="CL47:CL53" si="87">IF(#REF!&gt;3000,IF(#REF!&gt;6,"Nivel de actividad física alto"),IF(#REF!&gt;1500,IF(#REF!&gt;2,"Nivel de actividad física alto")))</f>
        <v>#REF!</v>
      </c>
      <c r="CM47" s="301" t="str">
        <f t="shared" si="10"/>
        <v>Nivel de actividad física moderado</v>
      </c>
      <c r="CN47" s="208" t="str">
        <f t="shared" si="11"/>
        <v>#REF!</v>
      </c>
      <c r="CO47" s="130">
        <v>0.0</v>
      </c>
      <c r="CP47" s="130">
        <v>180.0</v>
      </c>
      <c r="CQ47" s="223">
        <f t="shared" si="12"/>
        <v>3</v>
      </c>
      <c r="CR47" s="130">
        <v>6.0</v>
      </c>
      <c r="CS47" s="130">
        <v>30.0</v>
      </c>
      <c r="CT47" s="130">
        <v>6.5</v>
      </c>
      <c r="CU47" s="130">
        <v>3.0</v>
      </c>
      <c r="CV47" s="130">
        <v>3.0</v>
      </c>
      <c r="CW47" s="130">
        <v>3.0</v>
      </c>
      <c r="CX47" s="130">
        <v>3.0</v>
      </c>
      <c r="CY47" s="130">
        <v>1.0</v>
      </c>
      <c r="CZ47" s="130">
        <v>1.0</v>
      </c>
      <c r="DA47" s="130">
        <v>3.0</v>
      </c>
      <c r="DB47" s="130">
        <v>3.0</v>
      </c>
      <c r="DC47" s="130">
        <v>0.0</v>
      </c>
      <c r="DD47" s="130">
        <v>0.0</v>
      </c>
      <c r="DE47" s="130">
        <v>0.0</v>
      </c>
      <c r="DF47" s="130"/>
      <c r="DG47" s="303">
        <f t="shared" si="39"/>
        <v>14</v>
      </c>
      <c r="DH47" s="130">
        <v>2.0</v>
      </c>
      <c r="DI47" s="130">
        <v>1.0</v>
      </c>
      <c r="DJ47" s="130">
        <v>3.0</v>
      </c>
      <c r="DK47" s="130">
        <v>0.0</v>
      </c>
      <c r="DL47" s="302">
        <f t="shared" si="27"/>
        <v>46.15384615</v>
      </c>
      <c r="DM47" s="302">
        <f t="shared" si="28"/>
        <v>3</v>
      </c>
      <c r="DN47" s="302">
        <f t="shared" si="29"/>
        <v>2</v>
      </c>
      <c r="DO47" s="302">
        <f t="shared" si="30"/>
        <v>3</v>
      </c>
      <c r="DP47" s="302">
        <f t="shared" si="31"/>
        <v>2</v>
      </c>
      <c r="DQ47" s="302">
        <f t="shared" si="32"/>
        <v>3</v>
      </c>
      <c r="DR47" s="302">
        <f t="shared" ref="DR47:DS47" si="84">(DH47)</f>
        <v>2</v>
      </c>
      <c r="DS47" s="302">
        <f t="shared" si="84"/>
        <v>1</v>
      </c>
      <c r="DT47" s="304">
        <f t="shared" si="34"/>
        <v>16</v>
      </c>
      <c r="DU47" s="304" t="str">
        <f t="shared" si="35"/>
        <v>poor sleep quality</v>
      </c>
      <c r="DV47" s="305"/>
      <c r="DW47" s="305" t="s">
        <v>155</v>
      </c>
      <c r="DX47" s="305" t="s">
        <v>146</v>
      </c>
      <c r="DY47" s="305">
        <v>1.0</v>
      </c>
      <c r="DZ47" s="305" t="s">
        <v>131</v>
      </c>
      <c r="EA47" s="305" t="s">
        <v>167</v>
      </c>
      <c r="EB47" s="305"/>
      <c r="EC47" s="305" t="s">
        <v>139</v>
      </c>
      <c r="ED47" s="305"/>
      <c r="EE47" s="305" t="s">
        <v>131</v>
      </c>
      <c r="EF47" s="305" t="s">
        <v>141</v>
      </c>
      <c r="EG47" s="305">
        <f t="shared" si="85"/>
        <v>778</v>
      </c>
      <c r="EH47" s="305">
        <f t="shared" si="86"/>
        <v>48</v>
      </c>
      <c r="EI47" s="130">
        <f t="shared" si="23"/>
        <v>33.05785124</v>
      </c>
    </row>
    <row r="48" ht="18.75" customHeight="1">
      <c r="A48" s="279" t="s">
        <v>379</v>
      </c>
      <c r="B48" s="280" t="s">
        <v>129</v>
      </c>
      <c r="C48" s="281">
        <v>45248.0</v>
      </c>
      <c r="D48" s="279">
        <v>45.0</v>
      </c>
      <c r="E48" s="279" t="s">
        <v>153</v>
      </c>
      <c r="F48" s="279">
        <v>179.0</v>
      </c>
      <c r="G48" s="282">
        <v>77.0</v>
      </c>
      <c r="H48" s="283" t="s">
        <v>131</v>
      </c>
      <c r="I48" s="279">
        <v>4.0</v>
      </c>
      <c r="J48" s="284">
        <v>44726.0</v>
      </c>
      <c r="K48" s="279" t="s">
        <v>132</v>
      </c>
      <c r="L48" s="279"/>
      <c r="M48" s="284"/>
      <c r="N48" s="313"/>
      <c r="O48" s="284"/>
      <c r="P48" s="279"/>
      <c r="Q48" s="314"/>
      <c r="R48" s="314"/>
      <c r="S48" s="279"/>
      <c r="T48" s="311"/>
      <c r="U48" s="279"/>
      <c r="V48" s="285" t="str">
        <f t="shared" si="2"/>
        <v>No infectado</v>
      </c>
      <c r="W48" s="279"/>
      <c r="X48" s="279"/>
      <c r="Y48" s="279"/>
      <c r="Z48" s="279"/>
      <c r="AA48" s="279"/>
      <c r="AB48" s="279"/>
      <c r="AC48" s="279"/>
      <c r="AD48" s="279"/>
      <c r="AE48" s="279"/>
      <c r="AF48" s="279"/>
      <c r="AG48" s="279"/>
      <c r="AH48" s="279"/>
      <c r="AI48" s="279"/>
      <c r="AJ48" s="279"/>
      <c r="AK48" s="282"/>
      <c r="AL48" s="283" t="s">
        <v>132</v>
      </c>
      <c r="AM48" s="279" t="s">
        <v>132</v>
      </c>
      <c r="AN48" s="279" t="s">
        <v>132</v>
      </c>
      <c r="AO48" s="279" t="s">
        <v>132</v>
      </c>
      <c r="AP48" s="279" t="s">
        <v>132</v>
      </c>
      <c r="AQ48" s="279" t="s">
        <v>132</v>
      </c>
      <c r="AR48" s="279" t="s">
        <v>132</v>
      </c>
      <c r="AS48" s="279" t="s">
        <v>132</v>
      </c>
      <c r="AT48" s="279" t="s">
        <v>132</v>
      </c>
      <c r="AU48" s="279" t="s">
        <v>132</v>
      </c>
      <c r="AV48" s="279" t="s">
        <v>132</v>
      </c>
      <c r="AW48" s="279"/>
      <c r="AX48" s="279" t="s">
        <v>132</v>
      </c>
      <c r="AY48" s="279"/>
      <c r="AZ48" s="279"/>
      <c r="BA48" s="279"/>
      <c r="BB48" s="279" t="s">
        <v>145</v>
      </c>
      <c r="BC48" s="282"/>
      <c r="BD48" s="283">
        <v>1.0</v>
      </c>
      <c r="BE48" s="279">
        <v>1.0</v>
      </c>
      <c r="BF48" s="279">
        <v>1.0</v>
      </c>
      <c r="BG48" s="279">
        <v>1.0</v>
      </c>
      <c r="BH48" s="279">
        <v>1.0</v>
      </c>
      <c r="BI48" s="287" t="str">
        <f t="shared" si="3"/>
        <v>11111</v>
      </c>
      <c r="BJ48" s="279">
        <v>95.0</v>
      </c>
      <c r="BK48" s="279">
        <v>1.0</v>
      </c>
      <c r="BL48" s="279">
        <v>2.0</v>
      </c>
      <c r="BM48" s="279">
        <v>3.0</v>
      </c>
      <c r="BN48" s="279">
        <v>5.0</v>
      </c>
      <c r="BO48" s="279">
        <v>2.0</v>
      </c>
      <c r="BP48" s="279">
        <v>1.0</v>
      </c>
      <c r="BQ48" s="279">
        <v>2.0</v>
      </c>
      <c r="BR48" s="279">
        <v>2.0</v>
      </c>
      <c r="BS48" s="279">
        <v>2.0</v>
      </c>
      <c r="BT48" s="279">
        <v>3.0</v>
      </c>
      <c r="BU48" s="288">
        <f t="shared" si="4"/>
        <v>1</v>
      </c>
      <c r="BV48" s="288">
        <f>IF(BS48=1,5,IF(BS48=2,4,IF(BS48=3,3,IF(BS48=4,2,IF(BS48=5,1)))))</f>
        <v>4</v>
      </c>
      <c r="BW48" s="288">
        <f>SUM(BK48,BL48,BM48,BN48,BO48,BP48,BQ48,BR48,BS48,BV48)</f>
        <v>24</v>
      </c>
      <c r="BX48" s="288" t="str">
        <f t="shared" si="7"/>
        <v>FATIGA</v>
      </c>
      <c r="BY48" s="279">
        <v>1.0</v>
      </c>
      <c r="BZ48" s="279">
        <v>0.0</v>
      </c>
      <c r="CA48" s="279">
        <v>40.0</v>
      </c>
      <c r="CB48" s="279">
        <v>1.0</v>
      </c>
      <c r="CC48" s="279">
        <v>0.0</v>
      </c>
      <c r="CD48" s="279">
        <v>20.0</v>
      </c>
      <c r="CE48" s="279">
        <v>3.0</v>
      </c>
      <c r="CF48" s="279">
        <v>0.0</v>
      </c>
      <c r="CG48" s="279">
        <v>10.0</v>
      </c>
      <c r="CH48" s="279">
        <v>10.0</v>
      </c>
      <c r="CI48" s="279">
        <v>0.0</v>
      </c>
      <c r="CJ48" s="288">
        <f t="shared" si="26"/>
        <v>499</v>
      </c>
      <c r="CK48" s="287">
        <f t="shared" si="9"/>
        <v>5</v>
      </c>
      <c r="CL48" s="287" t="str">
        <f t="shared" si="87"/>
        <v>#REF!</v>
      </c>
      <c r="CM48" s="287" t="b">
        <f t="shared" si="10"/>
        <v>0</v>
      </c>
      <c r="CN48" s="289" t="str">
        <f t="shared" si="11"/>
        <v>#REF!</v>
      </c>
      <c r="CO48" s="279">
        <v>0.0</v>
      </c>
      <c r="CP48" s="279">
        <v>90.0</v>
      </c>
      <c r="CQ48" s="290">
        <f t="shared" si="12"/>
        <v>3</v>
      </c>
      <c r="CR48" s="279">
        <v>9.0</v>
      </c>
      <c r="CS48" s="279">
        <v>0.0</v>
      </c>
      <c r="CT48" s="279">
        <v>9.0</v>
      </c>
      <c r="CU48" s="279">
        <v>6.0</v>
      </c>
      <c r="CV48" s="279">
        <v>3.0</v>
      </c>
      <c r="CW48" s="279">
        <v>3.0</v>
      </c>
      <c r="CX48" s="279">
        <v>3.0</v>
      </c>
      <c r="CY48" s="279">
        <v>0.0</v>
      </c>
      <c r="CZ48" s="279">
        <v>0.0</v>
      </c>
      <c r="DA48" s="279">
        <v>0.0</v>
      </c>
      <c r="DB48" s="279">
        <v>0.0</v>
      </c>
      <c r="DC48" s="279">
        <v>0.0</v>
      </c>
      <c r="DD48" s="279">
        <v>0.0</v>
      </c>
      <c r="DE48" s="279">
        <v>2.0</v>
      </c>
      <c r="DF48" s="279" t="s">
        <v>380</v>
      </c>
      <c r="DG48" s="312">
        <f t="shared" si="39"/>
        <v>8</v>
      </c>
      <c r="DH48" s="279">
        <v>2.0</v>
      </c>
      <c r="DI48" s="279">
        <v>0.0</v>
      </c>
      <c r="DJ48" s="279">
        <v>2.0</v>
      </c>
      <c r="DK48" s="279">
        <v>0.0</v>
      </c>
      <c r="DL48" s="288">
        <f t="shared" si="27"/>
        <v>66.66666667</v>
      </c>
      <c r="DM48" s="288">
        <f t="shared" si="28"/>
        <v>1</v>
      </c>
      <c r="DN48" s="288">
        <f t="shared" si="29"/>
        <v>1</v>
      </c>
      <c r="DO48" s="288">
        <f t="shared" si="30"/>
        <v>3</v>
      </c>
      <c r="DP48" s="288">
        <f t="shared" si="31"/>
        <v>1</v>
      </c>
      <c r="DQ48" s="288">
        <f t="shared" si="32"/>
        <v>2</v>
      </c>
      <c r="DR48" s="288">
        <f t="shared" ref="DR48:DS48" si="88">(DH48)</f>
        <v>2</v>
      </c>
      <c r="DS48" s="288">
        <f t="shared" si="88"/>
        <v>0</v>
      </c>
      <c r="DT48" s="291">
        <f t="shared" si="34"/>
        <v>10</v>
      </c>
      <c r="DU48" s="291" t="str">
        <f t="shared" si="35"/>
        <v>poor sleep quality</v>
      </c>
      <c r="DV48" s="292">
        <v>1.0</v>
      </c>
      <c r="DW48" s="292" t="s">
        <v>247</v>
      </c>
      <c r="DX48" s="292" t="s">
        <v>207</v>
      </c>
      <c r="DY48" s="292">
        <v>1.0</v>
      </c>
      <c r="DZ48" s="292" t="s">
        <v>131</v>
      </c>
      <c r="EA48" s="292" t="s">
        <v>138</v>
      </c>
      <c r="EB48" s="292"/>
      <c r="EC48" s="292" t="s">
        <v>139</v>
      </c>
      <c r="ED48" s="279"/>
      <c r="EE48" s="292" t="s">
        <v>131</v>
      </c>
      <c r="EF48" s="292" t="s">
        <v>141</v>
      </c>
      <c r="EG48" s="292"/>
      <c r="EH48" s="292"/>
      <c r="EI48" s="279">
        <f t="shared" si="23"/>
        <v>24.03170937</v>
      </c>
    </row>
    <row r="49" ht="15.75" customHeight="1">
      <c r="A49" s="130" t="s">
        <v>383</v>
      </c>
      <c r="B49" s="54" t="s">
        <v>175</v>
      </c>
      <c r="C49" s="296">
        <v>45201.0</v>
      </c>
      <c r="D49" s="130">
        <v>44.0</v>
      </c>
      <c r="E49" s="130" t="s">
        <v>153</v>
      </c>
      <c r="F49" s="130">
        <v>170.0</v>
      </c>
      <c r="G49" s="297">
        <v>111.0</v>
      </c>
      <c r="H49" s="298" t="s">
        <v>131</v>
      </c>
      <c r="I49" s="130">
        <v>5.0</v>
      </c>
      <c r="J49" s="299">
        <v>44896.0</v>
      </c>
      <c r="K49" s="130" t="s">
        <v>131</v>
      </c>
      <c r="L49" s="130">
        <v>2.0</v>
      </c>
      <c r="M49" s="299">
        <v>43977.0</v>
      </c>
      <c r="N49" s="137">
        <v>0.0</v>
      </c>
      <c r="O49" s="299">
        <v>44470.0</v>
      </c>
      <c r="P49" s="130" t="s">
        <v>131</v>
      </c>
      <c r="Q49" s="306">
        <v>43978.0</v>
      </c>
      <c r="R49" s="306">
        <v>44010.0</v>
      </c>
      <c r="S49" s="130" t="s">
        <v>132</v>
      </c>
      <c r="T49" s="130"/>
      <c r="U49" s="130" t="s">
        <v>132</v>
      </c>
      <c r="V49" s="121" t="str">
        <f t="shared" si="2"/>
        <v>Internación moderada</v>
      </c>
      <c r="W49" s="130" t="s">
        <v>183</v>
      </c>
      <c r="X49" s="130" t="s">
        <v>132</v>
      </c>
      <c r="Y49" s="130">
        <v>1.0</v>
      </c>
      <c r="Z49" s="130">
        <v>1.0</v>
      </c>
      <c r="AA49" s="130">
        <v>2.0</v>
      </c>
      <c r="AB49" s="130">
        <v>2.0</v>
      </c>
      <c r="AC49" s="130">
        <v>1.0</v>
      </c>
      <c r="AD49" s="130">
        <v>1.0</v>
      </c>
      <c r="AE49" s="130">
        <v>2.0</v>
      </c>
      <c r="AF49" s="130">
        <v>1.0</v>
      </c>
      <c r="AG49" s="130">
        <v>3.0</v>
      </c>
      <c r="AH49" s="130">
        <v>1.0</v>
      </c>
      <c r="AI49" s="130">
        <v>1.0</v>
      </c>
      <c r="AJ49" s="130">
        <v>1.0</v>
      </c>
      <c r="AK49" s="297" t="s">
        <v>384</v>
      </c>
      <c r="AL49" s="298" t="s">
        <v>131</v>
      </c>
      <c r="AM49" s="130" t="s">
        <v>132</v>
      </c>
      <c r="AN49" s="130" t="s">
        <v>132</v>
      </c>
      <c r="AO49" s="130" t="s">
        <v>132</v>
      </c>
      <c r="AP49" s="130" t="s">
        <v>132</v>
      </c>
      <c r="AQ49" s="130" t="s">
        <v>132</v>
      </c>
      <c r="AR49" s="130" t="s">
        <v>132</v>
      </c>
      <c r="AS49" s="130" t="s">
        <v>131</v>
      </c>
      <c r="AT49" s="130" t="s">
        <v>132</v>
      </c>
      <c r="AU49" s="130" t="s">
        <v>132</v>
      </c>
      <c r="AV49" s="130" t="s">
        <v>131</v>
      </c>
      <c r="AW49" s="130" t="s">
        <v>385</v>
      </c>
      <c r="AX49" s="130" t="s">
        <v>165</v>
      </c>
      <c r="AY49" s="130"/>
      <c r="AZ49" s="130"/>
      <c r="BA49" s="130">
        <v>6.0</v>
      </c>
      <c r="BB49" s="130" t="s">
        <v>135</v>
      </c>
      <c r="BC49" s="297">
        <v>2.0</v>
      </c>
      <c r="BD49" s="298">
        <v>1.0</v>
      </c>
      <c r="BE49" s="130">
        <v>1.0</v>
      </c>
      <c r="BF49" s="130">
        <v>1.0</v>
      </c>
      <c r="BG49" s="130">
        <v>2.0</v>
      </c>
      <c r="BH49" s="130">
        <v>3.0</v>
      </c>
      <c r="BI49" s="301" t="str">
        <f t="shared" si="3"/>
        <v>11123</v>
      </c>
      <c r="BJ49" s="130">
        <v>50.0</v>
      </c>
      <c r="BK49" s="130">
        <v>3.0</v>
      </c>
      <c r="BL49" s="130">
        <v>3.0</v>
      </c>
      <c r="BM49" s="130">
        <v>5.0</v>
      </c>
      <c r="BN49" s="130">
        <v>3.0</v>
      </c>
      <c r="BO49" s="130">
        <v>4.0</v>
      </c>
      <c r="BP49" s="130">
        <v>4.0</v>
      </c>
      <c r="BQ49" s="130">
        <v>4.0</v>
      </c>
      <c r="BR49" s="130">
        <v>3.0</v>
      </c>
      <c r="BS49" s="130">
        <v>5.0</v>
      </c>
      <c r="BT49" s="130">
        <v>2.0</v>
      </c>
      <c r="BU49" s="302">
        <f t="shared" si="4"/>
        <v>3</v>
      </c>
      <c r="BV49" s="302">
        <f t="shared" ref="BV49:BV79" si="90">IF(BT49=1,5,IF(BT49=2,4,IF(BT49=3,3,IF(BT49=4,2,IF(BT49=5,1)))))</f>
        <v>4</v>
      </c>
      <c r="BW49" s="302">
        <f t="shared" ref="BW49:BW100" si="91">SUM(BK49,BL49,BM49,BO49,BP49,BQ49,BR49,BS49,BT49,BV49)</f>
        <v>37</v>
      </c>
      <c r="BX49" s="302" t="str">
        <f t="shared" si="7"/>
        <v>FATIGA EXTREMA</v>
      </c>
      <c r="BY49" s="130">
        <v>0.0</v>
      </c>
      <c r="BZ49" s="130">
        <v>0.0</v>
      </c>
      <c r="CA49" s="130">
        <v>0.0</v>
      </c>
      <c r="CB49" s="130">
        <v>2.0</v>
      </c>
      <c r="CC49" s="130">
        <v>0.0</v>
      </c>
      <c r="CD49" s="130">
        <v>40.0</v>
      </c>
      <c r="CE49" s="130">
        <v>5.0</v>
      </c>
      <c r="CF49" s="130">
        <v>0.0</v>
      </c>
      <c r="CG49" s="130">
        <v>30.0</v>
      </c>
      <c r="CH49" s="130">
        <v>4.0</v>
      </c>
      <c r="CI49" s="130">
        <v>0.0</v>
      </c>
      <c r="CJ49" s="302">
        <f t="shared" si="26"/>
        <v>815</v>
      </c>
      <c r="CK49" s="301">
        <f t="shared" si="9"/>
        <v>7</v>
      </c>
      <c r="CL49" s="301" t="str">
        <f t="shared" si="87"/>
        <v>#REF!</v>
      </c>
      <c r="CM49" s="301" t="str">
        <f t="shared" si="10"/>
        <v>Nivel de actividad física moderado</v>
      </c>
      <c r="CN49" s="208" t="str">
        <f t="shared" si="11"/>
        <v>#REF!</v>
      </c>
      <c r="CO49" s="130">
        <v>1.0</v>
      </c>
      <c r="CP49" s="130">
        <v>120.0</v>
      </c>
      <c r="CQ49" s="223">
        <f t="shared" si="12"/>
        <v>3</v>
      </c>
      <c r="CR49" s="130">
        <v>10.0</v>
      </c>
      <c r="CS49" s="130">
        <v>0.0</v>
      </c>
      <c r="CT49" s="130">
        <v>9.0</v>
      </c>
      <c r="CU49" s="130">
        <v>7.0</v>
      </c>
      <c r="CV49" s="130">
        <v>3.0</v>
      </c>
      <c r="CW49" s="130">
        <v>3.0</v>
      </c>
      <c r="CX49" s="130">
        <v>3.0</v>
      </c>
      <c r="CY49" s="130">
        <v>0.0</v>
      </c>
      <c r="CZ49" s="130">
        <v>0.0</v>
      </c>
      <c r="DA49" s="130">
        <v>3.0</v>
      </c>
      <c r="DB49" s="130">
        <v>3.0</v>
      </c>
      <c r="DC49" s="130">
        <v>3.0</v>
      </c>
      <c r="DD49" s="130">
        <v>3.0</v>
      </c>
      <c r="DE49" s="130">
        <v>3.0</v>
      </c>
      <c r="DF49" s="130" t="s">
        <v>193</v>
      </c>
      <c r="DG49" s="303">
        <f t="shared" si="39"/>
        <v>21</v>
      </c>
      <c r="DH49" s="130">
        <v>2.0</v>
      </c>
      <c r="DI49" s="130">
        <v>0.0</v>
      </c>
      <c r="DJ49" s="130">
        <v>0.0</v>
      </c>
      <c r="DK49" s="130">
        <v>3.0</v>
      </c>
      <c r="DL49" s="302">
        <f t="shared" si="27"/>
        <v>77.77777778</v>
      </c>
      <c r="DM49" s="302">
        <f t="shared" si="28"/>
        <v>0</v>
      </c>
      <c r="DN49" s="302">
        <f t="shared" si="29"/>
        <v>3</v>
      </c>
      <c r="DO49" s="302">
        <f t="shared" si="30"/>
        <v>3</v>
      </c>
      <c r="DP49" s="302">
        <f t="shared" si="31"/>
        <v>2</v>
      </c>
      <c r="DQ49" s="302">
        <f t="shared" si="32"/>
        <v>1</v>
      </c>
      <c r="DR49" s="302">
        <f t="shared" ref="DR49:DS49" si="89">(DH49)</f>
        <v>2</v>
      </c>
      <c r="DS49" s="302">
        <f t="shared" si="89"/>
        <v>0</v>
      </c>
      <c r="DT49" s="304">
        <f t="shared" si="34"/>
        <v>11</v>
      </c>
      <c r="DU49" s="304" t="str">
        <f t="shared" si="35"/>
        <v>poor sleep quality</v>
      </c>
      <c r="DV49" s="305">
        <v>3.0</v>
      </c>
      <c r="DW49" s="305" t="s">
        <v>314</v>
      </c>
      <c r="DX49" s="305" t="s">
        <v>137</v>
      </c>
      <c r="DY49" s="305">
        <v>1.0</v>
      </c>
      <c r="DZ49" s="305" t="s">
        <v>131</v>
      </c>
      <c r="EA49" s="305" t="s">
        <v>157</v>
      </c>
      <c r="EB49" s="305"/>
      <c r="EC49" s="305" t="s">
        <v>139</v>
      </c>
      <c r="ED49" s="305"/>
      <c r="EE49" s="305"/>
      <c r="EF49" s="305" t="s">
        <v>141</v>
      </c>
      <c r="EG49" s="305">
        <f t="shared" ref="EG49:EG68" si="93">C49-M49</f>
        <v>1224</v>
      </c>
      <c r="EH49" s="305">
        <f t="shared" ref="EH49:EH68" si="94">C49-O49</f>
        <v>731</v>
      </c>
      <c r="EI49" s="130">
        <f t="shared" si="23"/>
        <v>38.4083045</v>
      </c>
    </row>
    <row r="50" ht="15.75" customHeight="1">
      <c r="A50" s="315" t="s">
        <v>403</v>
      </c>
      <c r="B50" s="122" t="s">
        <v>175</v>
      </c>
      <c r="C50" s="316">
        <v>45570.0</v>
      </c>
      <c r="D50" s="132">
        <v>43.0</v>
      </c>
      <c r="E50" s="132" t="s">
        <v>130</v>
      </c>
      <c r="F50" s="132">
        <v>155.0</v>
      </c>
      <c r="G50" s="317">
        <v>70.0</v>
      </c>
      <c r="H50" s="318" t="s">
        <v>131</v>
      </c>
      <c r="I50" s="132">
        <v>3.0</v>
      </c>
      <c r="J50" s="319">
        <v>44649.0</v>
      </c>
      <c r="K50" s="132" t="s">
        <v>131</v>
      </c>
      <c r="L50" s="132">
        <v>1.0</v>
      </c>
      <c r="M50" s="319">
        <v>44044.0</v>
      </c>
      <c r="N50" s="132">
        <v>0.0</v>
      </c>
      <c r="O50" s="299"/>
      <c r="P50" s="132" t="s">
        <v>131</v>
      </c>
      <c r="Q50" s="320">
        <v>44051.0</v>
      </c>
      <c r="R50" s="320">
        <v>44055.0</v>
      </c>
      <c r="S50" s="132" t="s">
        <v>131</v>
      </c>
      <c r="T50" s="132">
        <v>1.0</v>
      </c>
      <c r="U50" s="132" t="s">
        <v>131</v>
      </c>
      <c r="V50" s="121"/>
      <c r="W50" s="132" t="s">
        <v>190</v>
      </c>
      <c r="X50" s="132" t="s">
        <v>132</v>
      </c>
      <c r="Y50" s="132">
        <v>1.0</v>
      </c>
      <c r="Z50" s="132">
        <v>1.0</v>
      </c>
      <c r="AA50" s="132">
        <v>2.0</v>
      </c>
      <c r="AB50" s="132">
        <v>2.0</v>
      </c>
      <c r="AC50" s="132">
        <v>2.0</v>
      </c>
      <c r="AD50" s="132">
        <v>1.0</v>
      </c>
      <c r="AE50" s="132">
        <v>3.0</v>
      </c>
      <c r="AF50" s="132">
        <v>1.0</v>
      </c>
      <c r="AG50" s="132">
        <v>1.0</v>
      </c>
      <c r="AH50" s="132">
        <v>1.0</v>
      </c>
      <c r="AI50" s="132">
        <v>1.0</v>
      </c>
      <c r="AJ50" s="132">
        <v>1.0</v>
      </c>
      <c r="AK50" s="317" t="s">
        <v>404</v>
      </c>
      <c r="AL50" s="318" t="s">
        <v>131</v>
      </c>
      <c r="AM50" s="132" t="s">
        <v>132</v>
      </c>
      <c r="AN50" s="132" t="s">
        <v>132</v>
      </c>
      <c r="AO50" s="132" t="s">
        <v>132</v>
      </c>
      <c r="AP50" s="132" t="s">
        <v>132</v>
      </c>
      <c r="AQ50" s="132" t="s">
        <v>132</v>
      </c>
      <c r="AR50" s="132" t="s">
        <v>132</v>
      </c>
      <c r="AS50" s="132" t="s">
        <v>131</v>
      </c>
      <c r="AT50" s="132" t="s">
        <v>132</v>
      </c>
      <c r="AU50" s="132" t="s">
        <v>132</v>
      </c>
      <c r="AV50" s="132" t="s">
        <v>131</v>
      </c>
      <c r="AW50" s="130"/>
      <c r="AX50" s="132" t="s">
        <v>131</v>
      </c>
      <c r="AY50" s="132">
        <v>4.0</v>
      </c>
      <c r="AZ50" s="132">
        <v>3.0</v>
      </c>
      <c r="BA50" s="130"/>
      <c r="BB50" s="132" t="s">
        <v>135</v>
      </c>
      <c r="BC50" s="317">
        <v>1.0</v>
      </c>
      <c r="BD50" s="318">
        <v>1.0</v>
      </c>
      <c r="BE50" s="132">
        <v>1.0</v>
      </c>
      <c r="BF50" s="132">
        <v>1.0</v>
      </c>
      <c r="BG50" s="132">
        <v>4.0</v>
      </c>
      <c r="BH50" s="132">
        <v>3.0</v>
      </c>
      <c r="BI50" s="301" t="str">
        <f t="shared" si="3"/>
        <v>11143</v>
      </c>
      <c r="BJ50" s="132">
        <v>70.0</v>
      </c>
      <c r="BK50" s="132">
        <v>5.0</v>
      </c>
      <c r="BL50" s="132">
        <v>5.0</v>
      </c>
      <c r="BM50" s="132">
        <v>5.0</v>
      </c>
      <c r="BN50" s="132">
        <v>1.0</v>
      </c>
      <c r="BO50" s="132">
        <v>4.0</v>
      </c>
      <c r="BP50" s="132">
        <v>5.0</v>
      </c>
      <c r="BQ50" s="132">
        <v>5.0</v>
      </c>
      <c r="BR50" s="132">
        <v>5.0</v>
      </c>
      <c r="BS50" s="132">
        <v>5.0</v>
      </c>
      <c r="BT50" s="132">
        <v>2.0</v>
      </c>
      <c r="BU50" s="302">
        <f t="shared" si="4"/>
        <v>5</v>
      </c>
      <c r="BV50" s="302">
        <f t="shared" si="90"/>
        <v>4</v>
      </c>
      <c r="BW50" s="302">
        <f t="shared" si="91"/>
        <v>45</v>
      </c>
      <c r="BX50" s="302" t="str">
        <f t="shared" si="7"/>
        <v>FATIGA EXTREMA</v>
      </c>
      <c r="BY50" s="132">
        <v>0.0</v>
      </c>
      <c r="BZ50" s="132">
        <v>0.0</v>
      </c>
      <c r="CA50" s="132">
        <v>0.0</v>
      </c>
      <c r="CB50" s="132">
        <v>0.0</v>
      </c>
      <c r="CC50" s="132">
        <v>0.0</v>
      </c>
      <c r="CD50" s="132">
        <v>0.0</v>
      </c>
      <c r="CE50" s="132">
        <v>0.0</v>
      </c>
      <c r="CF50" s="132">
        <v>0.0</v>
      </c>
      <c r="CG50" s="132">
        <v>0.0</v>
      </c>
      <c r="CH50" s="132">
        <v>4.0</v>
      </c>
      <c r="CI50" s="132">
        <v>0.0</v>
      </c>
      <c r="CJ50" s="302">
        <f t="shared" si="26"/>
        <v>0</v>
      </c>
      <c r="CK50" s="301">
        <f t="shared" si="9"/>
        <v>0</v>
      </c>
      <c r="CL50" s="301" t="str">
        <f t="shared" si="87"/>
        <v>#REF!</v>
      </c>
      <c r="CM50" s="301" t="b">
        <f t="shared" si="10"/>
        <v>0</v>
      </c>
      <c r="CN50" s="208" t="str">
        <f t="shared" si="11"/>
        <v>#REF!</v>
      </c>
      <c r="CO50" s="132">
        <v>1.0</v>
      </c>
      <c r="CP50" s="132">
        <v>10.0</v>
      </c>
      <c r="CQ50" s="223">
        <f t="shared" si="12"/>
        <v>0</v>
      </c>
      <c r="CR50" s="132">
        <v>7.0</v>
      </c>
      <c r="CS50" s="132">
        <v>0.0</v>
      </c>
      <c r="CT50" s="132">
        <v>6.0</v>
      </c>
      <c r="CU50" s="132">
        <v>5.0</v>
      </c>
      <c r="CV50" s="132">
        <v>0.0</v>
      </c>
      <c r="CW50" s="132">
        <v>3.0</v>
      </c>
      <c r="CX50" s="132">
        <v>2.0</v>
      </c>
      <c r="CY50" s="132">
        <v>0.0</v>
      </c>
      <c r="CZ50" s="132">
        <v>1.0</v>
      </c>
      <c r="DA50" s="132">
        <v>1.0</v>
      </c>
      <c r="DB50" s="132">
        <v>2.0</v>
      </c>
      <c r="DC50" s="132">
        <v>0.0</v>
      </c>
      <c r="DD50" s="132">
        <v>3.0</v>
      </c>
      <c r="DE50" s="132">
        <v>2.0</v>
      </c>
      <c r="DF50" s="132" t="s">
        <v>405</v>
      </c>
      <c r="DG50" s="303">
        <f t="shared" si="39"/>
        <v>14</v>
      </c>
      <c r="DH50" s="132">
        <v>3.0</v>
      </c>
      <c r="DI50" s="132">
        <v>3.0</v>
      </c>
      <c r="DJ50" s="132">
        <v>2.0</v>
      </c>
      <c r="DK50" s="132">
        <v>3.0</v>
      </c>
      <c r="DL50" s="302">
        <f t="shared" si="27"/>
        <v>83.33333333</v>
      </c>
      <c r="DM50" s="302">
        <f t="shared" si="28"/>
        <v>2</v>
      </c>
      <c r="DN50" s="302">
        <f t="shared" si="29"/>
        <v>2</v>
      </c>
      <c r="DO50" s="302">
        <f t="shared" si="30"/>
        <v>0</v>
      </c>
      <c r="DP50" s="302">
        <f t="shared" si="31"/>
        <v>3</v>
      </c>
      <c r="DQ50" s="302">
        <f t="shared" si="32"/>
        <v>1</v>
      </c>
      <c r="DR50" s="302">
        <f t="shared" ref="DR50:DS50" si="92">(DH50)</f>
        <v>3</v>
      </c>
      <c r="DS50" s="302">
        <f t="shared" si="92"/>
        <v>3</v>
      </c>
      <c r="DT50" s="304">
        <f t="shared" si="34"/>
        <v>14</v>
      </c>
      <c r="DU50" s="304" t="str">
        <f t="shared" si="35"/>
        <v>poor sleep quality</v>
      </c>
      <c r="DV50" s="321">
        <v>2.0</v>
      </c>
      <c r="DW50" s="322" t="s">
        <v>155</v>
      </c>
      <c r="DX50" s="321" t="s">
        <v>146</v>
      </c>
      <c r="DY50" s="321">
        <v>2.0</v>
      </c>
      <c r="DZ50" s="321" t="s">
        <v>131</v>
      </c>
      <c r="EA50" s="321" t="s">
        <v>202</v>
      </c>
      <c r="EB50" s="305"/>
      <c r="EC50" s="321" t="s">
        <v>172</v>
      </c>
      <c r="ED50" s="305"/>
      <c r="EE50" s="321" t="s">
        <v>132</v>
      </c>
      <c r="EF50" s="321" t="s">
        <v>151</v>
      </c>
      <c r="EG50" s="305">
        <f t="shared" si="93"/>
        <v>1526</v>
      </c>
      <c r="EH50" s="305">
        <f t="shared" si="94"/>
        <v>45570</v>
      </c>
      <c r="EI50" s="130">
        <f t="shared" si="23"/>
        <v>29.13631634</v>
      </c>
    </row>
    <row r="51" ht="15.75" customHeight="1">
      <c r="A51" s="132" t="s">
        <v>450</v>
      </c>
      <c r="B51" s="122" t="s">
        <v>175</v>
      </c>
      <c r="C51" s="316">
        <v>45570.0</v>
      </c>
      <c r="D51" s="323">
        <v>54.0</v>
      </c>
      <c r="E51" s="132" t="s">
        <v>130</v>
      </c>
      <c r="F51" s="132">
        <v>166.0</v>
      </c>
      <c r="G51" s="317">
        <v>71.0</v>
      </c>
      <c r="H51" s="318" t="s">
        <v>131</v>
      </c>
      <c r="I51" s="132">
        <v>3.0</v>
      </c>
      <c r="J51" s="319">
        <v>44531.0</v>
      </c>
      <c r="K51" s="132" t="s">
        <v>131</v>
      </c>
      <c r="L51" s="132">
        <v>2.0</v>
      </c>
      <c r="M51" s="319">
        <v>44075.0</v>
      </c>
      <c r="N51" s="324">
        <v>0.0</v>
      </c>
      <c r="O51" s="319">
        <v>44562.0</v>
      </c>
      <c r="P51" s="132" t="s">
        <v>132</v>
      </c>
      <c r="Q51" s="306"/>
      <c r="R51" s="306"/>
      <c r="S51" s="130"/>
      <c r="T51" s="130"/>
      <c r="U51" s="130"/>
      <c r="V51" s="121"/>
      <c r="W51" s="132" t="s">
        <v>176</v>
      </c>
      <c r="X51" s="132" t="s">
        <v>132</v>
      </c>
      <c r="Y51" s="132">
        <v>3.0</v>
      </c>
      <c r="Z51" s="132">
        <v>3.0</v>
      </c>
      <c r="AA51" s="132">
        <v>2.0</v>
      </c>
      <c r="AB51" s="132">
        <v>3.0</v>
      </c>
      <c r="AC51" s="132">
        <v>3.0</v>
      </c>
      <c r="AD51" s="132">
        <v>3.0</v>
      </c>
      <c r="AE51" s="132">
        <v>3.0</v>
      </c>
      <c r="AF51" s="132">
        <v>1.0</v>
      </c>
      <c r="AG51" s="132">
        <v>1.0</v>
      </c>
      <c r="AH51" s="132">
        <v>3.0</v>
      </c>
      <c r="AI51" s="132">
        <v>1.0</v>
      </c>
      <c r="AJ51" s="132">
        <v>3.0</v>
      </c>
      <c r="AK51" s="297"/>
      <c r="AL51" s="318" t="s">
        <v>132</v>
      </c>
      <c r="AM51" s="132" t="s">
        <v>132</v>
      </c>
      <c r="AN51" s="132" t="s">
        <v>132</v>
      </c>
      <c r="AO51" s="132" t="s">
        <v>132</v>
      </c>
      <c r="AP51" s="132" t="s">
        <v>132</v>
      </c>
      <c r="AQ51" s="132" t="s">
        <v>132</v>
      </c>
      <c r="AR51" s="132" t="s">
        <v>132</v>
      </c>
      <c r="AS51" s="132" t="s">
        <v>132</v>
      </c>
      <c r="AT51" s="132" t="s">
        <v>132</v>
      </c>
      <c r="AU51" s="132" t="s">
        <v>132</v>
      </c>
      <c r="AV51" s="132" t="s">
        <v>131</v>
      </c>
      <c r="AW51" s="132" t="s">
        <v>451</v>
      </c>
      <c r="AX51" s="132" t="s">
        <v>165</v>
      </c>
      <c r="AY51" s="130"/>
      <c r="AZ51" s="130"/>
      <c r="BA51" s="132">
        <v>2.0</v>
      </c>
      <c r="BB51" s="132" t="s">
        <v>145</v>
      </c>
      <c r="BC51" s="297"/>
      <c r="BD51" s="318">
        <v>1.0</v>
      </c>
      <c r="BE51" s="132">
        <v>1.0</v>
      </c>
      <c r="BF51" s="132">
        <v>4.0</v>
      </c>
      <c r="BG51" s="132">
        <v>2.0</v>
      </c>
      <c r="BH51" s="132">
        <v>2.0</v>
      </c>
      <c r="BI51" s="301" t="str">
        <f t="shared" si="3"/>
        <v>11422</v>
      </c>
      <c r="BJ51" s="132">
        <v>80.0</v>
      </c>
      <c r="BK51" s="132">
        <v>2.0</v>
      </c>
      <c r="BL51" s="132">
        <v>2.0</v>
      </c>
      <c r="BM51" s="132">
        <v>2.0</v>
      </c>
      <c r="BN51" s="132">
        <v>4.0</v>
      </c>
      <c r="BO51" s="132">
        <v>2.0</v>
      </c>
      <c r="BP51" s="132">
        <v>1.0</v>
      </c>
      <c r="BQ51" s="132">
        <v>3.0</v>
      </c>
      <c r="BR51" s="132">
        <v>1.0</v>
      </c>
      <c r="BS51" s="132">
        <v>3.0</v>
      </c>
      <c r="BT51" s="132">
        <v>3.0</v>
      </c>
      <c r="BU51" s="302">
        <f t="shared" si="4"/>
        <v>2</v>
      </c>
      <c r="BV51" s="302">
        <f t="shared" si="90"/>
        <v>3</v>
      </c>
      <c r="BW51" s="302">
        <f t="shared" si="91"/>
        <v>22</v>
      </c>
      <c r="BX51" s="302" t="str">
        <f t="shared" si="7"/>
        <v>FATIGA</v>
      </c>
      <c r="BY51" s="132">
        <v>2.0</v>
      </c>
      <c r="BZ51" s="132">
        <v>1.0</v>
      </c>
      <c r="CA51" s="132">
        <v>15.0</v>
      </c>
      <c r="CB51" s="132">
        <v>0.0</v>
      </c>
      <c r="CC51" s="132">
        <v>0.0</v>
      </c>
      <c r="CD51" s="132">
        <v>0.0</v>
      </c>
      <c r="CE51" s="132">
        <v>0.0</v>
      </c>
      <c r="CF51" s="132">
        <v>0.0</v>
      </c>
      <c r="CG51" s="132">
        <v>0.0</v>
      </c>
      <c r="CH51" s="132">
        <v>2.0</v>
      </c>
      <c r="CI51" s="132">
        <v>0.0</v>
      </c>
      <c r="CJ51" s="302">
        <f t="shared" si="26"/>
        <v>1200</v>
      </c>
      <c r="CK51" s="301">
        <f t="shared" si="9"/>
        <v>2</v>
      </c>
      <c r="CL51" s="301" t="str">
        <f t="shared" si="87"/>
        <v>#REF!</v>
      </c>
      <c r="CM51" s="301" t="b">
        <f t="shared" si="10"/>
        <v>0</v>
      </c>
      <c r="CN51" s="208" t="str">
        <f t="shared" si="11"/>
        <v>#REF!</v>
      </c>
      <c r="CO51" s="325">
        <v>0.9791666666666666</v>
      </c>
      <c r="CP51" s="132">
        <v>40.0</v>
      </c>
      <c r="CQ51" s="223"/>
      <c r="CR51" s="132">
        <v>8.0</v>
      </c>
      <c r="CS51" s="132">
        <v>0.0</v>
      </c>
      <c r="CT51" s="132">
        <v>8.5</v>
      </c>
      <c r="CU51" s="132">
        <v>7.0</v>
      </c>
      <c r="CV51" s="132">
        <v>3.0</v>
      </c>
      <c r="CW51" s="132">
        <v>3.0</v>
      </c>
      <c r="CX51" s="132">
        <v>3.0</v>
      </c>
      <c r="CY51" s="132">
        <v>0.0</v>
      </c>
      <c r="CZ51" s="132">
        <v>1.0</v>
      </c>
      <c r="DA51" s="132">
        <v>2.0</v>
      </c>
      <c r="DB51" s="132">
        <v>0.0</v>
      </c>
      <c r="DC51" s="132">
        <v>0.0</v>
      </c>
      <c r="DD51" s="132">
        <v>1.0</v>
      </c>
      <c r="DE51" s="132">
        <v>0.0</v>
      </c>
      <c r="DF51" s="130"/>
      <c r="DG51" s="303">
        <f t="shared" si="39"/>
        <v>10</v>
      </c>
      <c r="DH51" s="132">
        <v>1.0</v>
      </c>
      <c r="DI51" s="132">
        <v>0.0</v>
      </c>
      <c r="DJ51" s="132">
        <v>0.0</v>
      </c>
      <c r="DK51" s="132">
        <v>0.0</v>
      </c>
      <c r="DL51" s="302">
        <f t="shared" si="27"/>
        <v>82.35294118</v>
      </c>
      <c r="DM51" s="302">
        <f t="shared" si="28"/>
        <v>0</v>
      </c>
      <c r="DN51" s="302">
        <f t="shared" si="29"/>
        <v>2</v>
      </c>
      <c r="DO51" s="302">
        <f t="shared" si="30"/>
        <v>2</v>
      </c>
      <c r="DP51" s="302">
        <f t="shared" si="31"/>
        <v>0</v>
      </c>
      <c r="DQ51" s="302">
        <f t="shared" si="32"/>
        <v>1</v>
      </c>
      <c r="DR51" s="302">
        <f t="shared" ref="DR51:DS51" si="95">(DH51)</f>
        <v>1</v>
      </c>
      <c r="DS51" s="302">
        <f t="shared" si="95"/>
        <v>0</v>
      </c>
      <c r="DT51" s="304">
        <f t="shared" si="34"/>
        <v>6</v>
      </c>
      <c r="DU51" s="304" t="str">
        <f t="shared" si="35"/>
        <v>poor sleep quality</v>
      </c>
      <c r="DV51" s="321">
        <v>1.0</v>
      </c>
      <c r="DW51" s="321" t="s">
        <v>155</v>
      </c>
      <c r="DX51" s="321" t="s">
        <v>146</v>
      </c>
      <c r="DY51" s="321">
        <v>1.0</v>
      </c>
      <c r="DZ51" s="321" t="s">
        <v>131</v>
      </c>
      <c r="EA51" s="321" t="s">
        <v>147</v>
      </c>
      <c r="EB51" s="305"/>
      <c r="EC51" s="321" t="s">
        <v>139</v>
      </c>
      <c r="ED51" s="305"/>
      <c r="EE51" s="321" t="s">
        <v>132</v>
      </c>
      <c r="EF51" s="321" t="s">
        <v>141</v>
      </c>
      <c r="EG51" s="305">
        <f t="shared" si="93"/>
        <v>1495</v>
      </c>
      <c r="EH51" s="305">
        <f t="shared" si="94"/>
        <v>1008</v>
      </c>
      <c r="EI51" s="130">
        <f t="shared" si="23"/>
        <v>25.76571346</v>
      </c>
    </row>
    <row r="52" ht="15.75" customHeight="1">
      <c r="A52" s="130" t="s">
        <v>452</v>
      </c>
      <c r="B52" s="54" t="s">
        <v>175</v>
      </c>
      <c r="C52" s="296">
        <v>45222.0</v>
      </c>
      <c r="D52" s="326">
        <v>59.0</v>
      </c>
      <c r="E52" s="130" t="s">
        <v>153</v>
      </c>
      <c r="F52" s="130">
        <v>170.0</v>
      </c>
      <c r="G52" s="297">
        <v>78.0</v>
      </c>
      <c r="H52" s="298" t="s">
        <v>131</v>
      </c>
      <c r="I52" s="130">
        <v>4.0</v>
      </c>
      <c r="J52" s="299">
        <v>44713.0</v>
      </c>
      <c r="K52" s="130" t="s">
        <v>131</v>
      </c>
      <c r="L52" s="130">
        <v>1.0</v>
      </c>
      <c r="M52" s="299">
        <v>44232.0</v>
      </c>
      <c r="N52" s="137">
        <v>0.0</v>
      </c>
      <c r="O52" s="306">
        <v>44232.0</v>
      </c>
      <c r="P52" s="130" t="s">
        <v>131</v>
      </c>
      <c r="Q52" s="306">
        <v>44323.0</v>
      </c>
      <c r="R52" s="306">
        <v>44338.0</v>
      </c>
      <c r="S52" s="130" t="s">
        <v>132</v>
      </c>
      <c r="T52" s="130"/>
      <c r="U52" s="130" t="s">
        <v>131</v>
      </c>
      <c r="V52" s="121" t="str">
        <f t="shared" ref="V52:V139" si="97">IF(K52="NO","No infectado",IF(P52="SI",IF(U52="SI","Internación severa (UCI)","Internación moderada"),"Paciente ambulatorio"))</f>
        <v>Internación severa (UCI)</v>
      </c>
      <c r="W52" s="130" t="s">
        <v>176</v>
      </c>
      <c r="X52" s="130" t="s">
        <v>132</v>
      </c>
      <c r="Y52" s="130">
        <v>2.0</v>
      </c>
      <c r="Z52" s="130">
        <v>2.0</v>
      </c>
      <c r="AA52" s="130">
        <v>2.0</v>
      </c>
      <c r="AB52" s="130">
        <v>2.0</v>
      </c>
      <c r="AC52" s="130">
        <v>2.0</v>
      </c>
      <c r="AD52" s="130">
        <v>2.0</v>
      </c>
      <c r="AE52" s="130">
        <v>2.0</v>
      </c>
      <c r="AF52" s="130">
        <v>1.0</v>
      </c>
      <c r="AG52" s="130">
        <v>1.0</v>
      </c>
      <c r="AH52" s="130">
        <v>2.0</v>
      </c>
      <c r="AI52" s="130">
        <v>1.0</v>
      </c>
      <c r="AJ52" s="130">
        <v>2.0</v>
      </c>
      <c r="AK52" s="297"/>
      <c r="AL52" s="298" t="s">
        <v>132</v>
      </c>
      <c r="AM52" s="130" t="s">
        <v>132</v>
      </c>
      <c r="AN52" s="130" t="s">
        <v>132</v>
      </c>
      <c r="AO52" s="130" t="s">
        <v>132</v>
      </c>
      <c r="AP52" s="130" t="s">
        <v>132</v>
      </c>
      <c r="AQ52" s="130" t="s">
        <v>132</v>
      </c>
      <c r="AR52" s="130" t="s">
        <v>132</v>
      </c>
      <c r="AS52" s="130" t="s">
        <v>132</v>
      </c>
      <c r="AT52" s="130" t="s">
        <v>132</v>
      </c>
      <c r="AU52" s="130" t="s">
        <v>132</v>
      </c>
      <c r="AV52" s="130" t="s">
        <v>131</v>
      </c>
      <c r="AW52" s="130" t="s">
        <v>453</v>
      </c>
      <c r="AX52" s="130" t="s">
        <v>165</v>
      </c>
      <c r="AY52" s="130"/>
      <c r="AZ52" s="130"/>
      <c r="BA52" s="130">
        <v>14.0</v>
      </c>
      <c r="BB52" s="130" t="s">
        <v>145</v>
      </c>
      <c r="BC52" s="297"/>
      <c r="BD52" s="298">
        <v>2.0</v>
      </c>
      <c r="BE52" s="130">
        <v>1.0</v>
      </c>
      <c r="BF52" s="130">
        <v>2.0</v>
      </c>
      <c r="BG52" s="130">
        <v>2.0</v>
      </c>
      <c r="BH52" s="130">
        <v>1.0</v>
      </c>
      <c r="BI52" s="301" t="str">
        <f t="shared" si="3"/>
        <v>21221</v>
      </c>
      <c r="BJ52" s="130">
        <v>75.0</v>
      </c>
      <c r="BK52" s="130">
        <v>1.0</v>
      </c>
      <c r="BL52" s="130">
        <v>1.0</v>
      </c>
      <c r="BM52" s="130">
        <v>1.0</v>
      </c>
      <c r="BN52" s="130">
        <v>5.0</v>
      </c>
      <c r="BO52" s="130">
        <v>1.0</v>
      </c>
      <c r="BP52" s="130">
        <v>2.0</v>
      </c>
      <c r="BQ52" s="130">
        <v>3.0</v>
      </c>
      <c r="BR52" s="130">
        <v>1.0</v>
      </c>
      <c r="BS52" s="130">
        <v>1.0</v>
      </c>
      <c r="BT52" s="130">
        <v>2.0</v>
      </c>
      <c r="BU52" s="302">
        <f t="shared" si="4"/>
        <v>1</v>
      </c>
      <c r="BV52" s="302">
        <f t="shared" si="90"/>
        <v>4</v>
      </c>
      <c r="BW52" s="302">
        <f t="shared" si="91"/>
        <v>17</v>
      </c>
      <c r="BX52" s="302" t="str">
        <f t="shared" si="7"/>
        <v>NO HAY FATIGA</v>
      </c>
      <c r="BY52" s="130">
        <v>2.0</v>
      </c>
      <c r="BZ52" s="130">
        <v>1.0</v>
      </c>
      <c r="CA52" s="130">
        <v>0.0</v>
      </c>
      <c r="CB52" s="130">
        <v>0.0</v>
      </c>
      <c r="CC52" s="130">
        <v>0.0</v>
      </c>
      <c r="CD52" s="130">
        <v>0.0</v>
      </c>
      <c r="CE52" s="130">
        <v>3.0</v>
      </c>
      <c r="CF52" s="130">
        <v>0.0</v>
      </c>
      <c r="CG52" s="130">
        <v>40.0</v>
      </c>
      <c r="CH52" s="130">
        <v>5.0</v>
      </c>
      <c r="CI52" s="130">
        <v>0.0</v>
      </c>
      <c r="CJ52" s="302">
        <f t="shared" si="26"/>
        <v>1356</v>
      </c>
      <c r="CK52" s="301">
        <f t="shared" si="9"/>
        <v>5</v>
      </c>
      <c r="CL52" s="301" t="str">
        <f t="shared" si="87"/>
        <v>#REF!</v>
      </c>
      <c r="CM52" s="301" t="b">
        <f t="shared" si="10"/>
        <v>0</v>
      </c>
      <c r="CN52" s="208" t="str">
        <f t="shared" si="11"/>
        <v>#REF!</v>
      </c>
      <c r="CO52" s="130">
        <v>1.0</v>
      </c>
      <c r="CP52" s="130">
        <v>5.0</v>
      </c>
      <c r="CQ52" s="223">
        <f t="shared" ref="CQ52:CQ79" si="98">IF(CP52&gt;60,3,IF(CP52&gt;30,2,IF(CP52&gt;15,1,0)))</f>
        <v>0</v>
      </c>
      <c r="CR52" s="130">
        <v>7.0</v>
      </c>
      <c r="CS52" s="130">
        <v>0.0</v>
      </c>
      <c r="CT52" s="130">
        <v>6.0</v>
      </c>
      <c r="CU52" s="130">
        <v>4.5</v>
      </c>
      <c r="CV52" s="130">
        <v>0.0</v>
      </c>
      <c r="CW52" s="130">
        <v>3.0</v>
      </c>
      <c r="CX52" s="130">
        <v>3.0</v>
      </c>
      <c r="CY52" s="130">
        <v>0.0</v>
      </c>
      <c r="CZ52" s="130">
        <v>0.0</v>
      </c>
      <c r="DA52" s="130">
        <v>0.0</v>
      </c>
      <c r="DB52" s="130">
        <v>0.0</v>
      </c>
      <c r="DC52" s="130">
        <v>0.0</v>
      </c>
      <c r="DD52" s="130">
        <v>0.0</v>
      </c>
      <c r="DE52" s="130">
        <v>0.0</v>
      </c>
      <c r="DF52" s="130"/>
      <c r="DG52" s="303">
        <f t="shared" si="39"/>
        <v>6</v>
      </c>
      <c r="DH52" s="130">
        <v>1.0</v>
      </c>
      <c r="DI52" s="130">
        <v>0.0</v>
      </c>
      <c r="DJ52" s="130">
        <v>3.0</v>
      </c>
      <c r="DK52" s="130">
        <v>0.0</v>
      </c>
      <c r="DL52" s="302">
        <f t="shared" si="27"/>
        <v>75</v>
      </c>
      <c r="DM52" s="302">
        <f t="shared" si="28"/>
        <v>3</v>
      </c>
      <c r="DN52" s="302">
        <f t="shared" si="29"/>
        <v>1</v>
      </c>
      <c r="DO52" s="302">
        <f t="shared" si="30"/>
        <v>0</v>
      </c>
      <c r="DP52" s="302">
        <f t="shared" si="31"/>
        <v>2</v>
      </c>
      <c r="DQ52" s="302">
        <f t="shared" si="32"/>
        <v>2</v>
      </c>
      <c r="DR52" s="302">
        <f t="shared" ref="DR52:DS52" si="96">(DH52)</f>
        <v>1</v>
      </c>
      <c r="DS52" s="302">
        <f t="shared" si="96"/>
        <v>0</v>
      </c>
      <c r="DT52" s="304">
        <f t="shared" si="34"/>
        <v>9</v>
      </c>
      <c r="DU52" s="304" t="str">
        <f t="shared" si="35"/>
        <v>poor sleep quality</v>
      </c>
      <c r="DV52" s="305">
        <v>4.0</v>
      </c>
      <c r="DW52" s="305" t="s">
        <v>149</v>
      </c>
      <c r="DX52" s="305" t="s">
        <v>146</v>
      </c>
      <c r="DY52" s="305">
        <v>2.0</v>
      </c>
      <c r="DZ52" s="305" t="s">
        <v>131</v>
      </c>
      <c r="EA52" s="305" t="s">
        <v>202</v>
      </c>
      <c r="EB52" s="305"/>
      <c r="EC52" s="305" t="s">
        <v>139</v>
      </c>
      <c r="ED52" s="305"/>
      <c r="EE52" s="305"/>
      <c r="EF52" s="305" t="s">
        <v>141</v>
      </c>
      <c r="EG52" s="305">
        <f t="shared" si="93"/>
        <v>990</v>
      </c>
      <c r="EH52" s="305">
        <f t="shared" si="94"/>
        <v>990</v>
      </c>
      <c r="EI52" s="130">
        <f t="shared" si="23"/>
        <v>26.98961938</v>
      </c>
    </row>
    <row r="53" ht="15.75" customHeight="1">
      <c r="A53" s="140" t="s">
        <v>459</v>
      </c>
      <c r="B53" s="54" t="s">
        <v>175</v>
      </c>
      <c r="C53" s="296">
        <v>45227.0</v>
      </c>
      <c r="D53" s="326">
        <v>46.0</v>
      </c>
      <c r="E53" s="130" t="s">
        <v>130</v>
      </c>
      <c r="F53" s="130">
        <v>154.0</v>
      </c>
      <c r="G53" s="297">
        <v>65.0</v>
      </c>
      <c r="H53" s="298" t="s">
        <v>131</v>
      </c>
      <c r="I53" s="130">
        <v>3.0</v>
      </c>
      <c r="J53" s="299"/>
      <c r="K53" s="130" t="s">
        <v>131</v>
      </c>
      <c r="L53" s="130">
        <v>2.0</v>
      </c>
      <c r="M53" s="299">
        <v>44228.0</v>
      </c>
      <c r="N53" s="137">
        <v>3.0</v>
      </c>
      <c r="O53" s="299">
        <v>45139.0</v>
      </c>
      <c r="P53" s="130" t="s">
        <v>132</v>
      </c>
      <c r="Q53" s="306"/>
      <c r="R53" s="306"/>
      <c r="S53" s="130"/>
      <c r="T53" s="130"/>
      <c r="U53" s="130"/>
      <c r="V53" s="121" t="str">
        <f t="shared" si="97"/>
        <v>Paciente ambulatorio</v>
      </c>
      <c r="W53" s="130" t="s">
        <v>183</v>
      </c>
      <c r="X53" s="130"/>
      <c r="Y53" s="130">
        <v>2.0</v>
      </c>
      <c r="Z53" s="130">
        <v>2.0</v>
      </c>
      <c r="AA53" s="130">
        <v>1.0</v>
      </c>
      <c r="AB53" s="130">
        <v>2.0</v>
      </c>
      <c r="AC53" s="130">
        <v>2.0</v>
      </c>
      <c r="AD53" s="130">
        <v>2.0</v>
      </c>
      <c r="AE53" s="130">
        <v>3.0</v>
      </c>
      <c r="AF53" s="130">
        <v>1.0</v>
      </c>
      <c r="AG53" s="130">
        <v>1.0</v>
      </c>
      <c r="AH53" s="130">
        <v>3.0</v>
      </c>
      <c r="AI53" s="130">
        <v>1.0</v>
      </c>
      <c r="AJ53" s="130">
        <v>1.0</v>
      </c>
      <c r="AK53" s="297" t="s">
        <v>460</v>
      </c>
      <c r="AL53" s="298" t="s">
        <v>132</v>
      </c>
      <c r="AM53" s="130" t="s">
        <v>132</v>
      </c>
      <c r="AN53" s="130" t="s">
        <v>131</v>
      </c>
      <c r="AO53" s="130" t="s">
        <v>132</v>
      </c>
      <c r="AP53" s="130" t="s">
        <v>132</v>
      </c>
      <c r="AQ53" s="130" t="s">
        <v>132</v>
      </c>
      <c r="AR53" s="130" t="s">
        <v>132</v>
      </c>
      <c r="AS53" s="130" t="s">
        <v>132</v>
      </c>
      <c r="AT53" s="130" t="s">
        <v>132</v>
      </c>
      <c r="AU53" s="130" t="s">
        <v>132</v>
      </c>
      <c r="AV53" s="130" t="s">
        <v>131</v>
      </c>
      <c r="AW53" s="130" t="s">
        <v>461</v>
      </c>
      <c r="AX53" s="130" t="s">
        <v>165</v>
      </c>
      <c r="AY53" s="130"/>
      <c r="AZ53" s="130"/>
      <c r="BA53" s="130">
        <v>30.0</v>
      </c>
      <c r="BB53" s="130" t="s">
        <v>135</v>
      </c>
      <c r="BC53" s="297">
        <v>2.0</v>
      </c>
      <c r="BD53" s="298">
        <v>1.0</v>
      </c>
      <c r="BE53" s="130">
        <v>1.0</v>
      </c>
      <c r="BF53" s="130">
        <v>1.0</v>
      </c>
      <c r="BG53" s="130">
        <v>3.0</v>
      </c>
      <c r="BH53" s="130">
        <v>2.0</v>
      </c>
      <c r="BI53" s="301" t="str">
        <f t="shared" si="3"/>
        <v>11132</v>
      </c>
      <c r="BJ53" s="130">
        <v>85.0</v>
      </c>
      <c r="BK53" s="130"/>
      <c r="BL53" s="130"/>
      <c r="BM53" s="130"/>
      <c r="BN53" s="130"/>
      <c r="BO53" s="130"/>
      <c r="BP53" s="130"/>
      <c r="BQ53" s="130"/>
      <c r="BR53" s="130"/>
      <c r="BS53" s="130"/>
      <c r="BT53" s="130"/>
      <c r="BU53" s="302" t="b">
        <f t="shared" si="4"/>
        <v>0</v>
      </c>
      <c r="BV53" s="302" t="b">
        <f t="shared" si="90"/>
        <v>0</v>
      </c>
      <c r="BW53" s="302">
        <f t="shared" si="91"/>
        <v>0</v>
      </c>
      <c r="BX53" s="302" t="str">
        <f t="shared" si="7"/>
        <v>NO HAY FATIGA</v>
      </c>
      <c r="BY53" s="130">
        <v>0.0</v>
      </c>
      <c r="BZ53" s="130">
        <v>0.0</v>
      </c>
      <c r="CA53" s="130">
        <v>0.0</v>
      </c>
      <c r="CB53" s="130">
        <v>0.0</v>
      </c>
      <c r="CC53" s="130">
        <v>0.0</v>
      </c>
      <c r="CD53" s="130">
        <v>0.0</v>
      </c>
      <c r="CE53" s="130">
        <v>3.0</v>
      </c>
      <c r="CF53" s="130">
        <v>0.0</v>
      </c>
      <c r="CG53" s="130">
        <v>30.0</v>
      </c>
      <c r="CH53" s="130">
        <v>9.0</v>
      </c>
      <c r="CI53" s="130">
        <v>0.0</v>
      </c>
      <c r="CJ53" s="302">
        <f t="shared" si="26"/>
        <v>297</v>
      </c>
      <c r="CK53" s="301">
        <f t="shared" si="9"/>
        <v>3</v>
      </c>
      <c r="CL53" s="301" t="str">
        <f t="shared" si="87"/>
        <v>#REF!</v>
      </c>
      <c r="CM53" s="301" t="b">
        <f t="shared" si="10"/>
        <v>0</v>
      </c>
      <c r="CN53" s="208" t="str">
        <f t="shared" si="11"/>
        <v>#REF!</v>
      </c>
      <c r="CO53" s="130">
        <v>0.0</v>
      </c>
      <c r="CP53" s="130">
        <v>2.0</v>
      </c>
      <c r="CQ53" s="223">
        <f t="shared" si="98"/>
        <v>0</v>
      </c>
      <c r="CR53" s="130">
        <v>7.0</v>
      </c>
      <c r="CS53" s="130">
        <v>0.0</v>
      </c>
      <c r="CT53" s="130">
        <v>7.0</v>
      </c>
      <c r="CU53" s="130">
        <v>8.0</v>
      </c>
      <c r="CV53" s="130">
        <v>1.0</v>
      </c>
      <c r="CW53" s="130">
        <v>0.0</v>
      </c>
      <c r="CX53" s="130">
        <v>0.0</v>
      </c>
      <c r="CY53" s="130">
        <v>0.0</v>
      </c>
      <c r="CZ53" s="130">
        <v>1.0</v>
      </c>
      <c r="DA53" s="130"/>
      <c r="DB53" s="130">
        <v>1.0</v>
      </c>
      <c r="DC53" s="130">
        <v>1.0</v>
      </c>
      <c r="DD53" s="130">
        <v>0.0</v>
      </c>
      <c r="DE53" s="130">
        <v>1.0</v>
      </c>
      <c r="DF53" s="130" t="s">
        <v>462</v>
      </c>
      <c r="DG53" s="303">
        <f t="shared" si="39"/>
        <v>4</v>
      </c>
      <c r="DH53" s="130">
        <v>0.0</v>
      </c>
      <c r="DI53" s="130">
        <v>0.0</v>
      </c>
      <c r="DJ53" s="130">
        <v>3.0</v>
      </c>
      <c r="DK53" s="130">
        <v>2.0</v>
      </c>
      <c r="DL53" s="302">
        <f t="shared" si="27"/>
        <v>114.2857143</v>
      </c>
      <c r="DM53" s="302">
        <f t="shared" si="28"/>
        <v>0</v>
      </c>
      <c r="DN53" s="302">
        <f t="shared" si="29"/>
        <v>1</v>
      </c>
      <c r="DO53" s="302">
        <f t="shared" si="30"/>
        <v>1</v>
      </c>
      <c r="DP53" s="302">
        <f t="shared" si="31"/>
        <v>3</v>
      </c>
      <c r="DQ53" s="302">
        <f t="shared" si="32"/>
        <v>0</v>
      </c>
      <c r="DR53" s="302">
        <f t="shared" ref="DR53:DS53" si="99">(DH53)</f>
        <v>0</v>
      </c>
      <c r="DS53" s="302">
        <f t="shared" si="99"/>
        <v>0</v>
      </c>
      <c r="DT53" s="304">
        <f t="shared" si="34"/>
        <v>5</v>
      </c>
      <c r="DU53" s="304" t="str">
        <f t="shared" si="35"/>
        <v>good sleep quality</v>
      </c>
      <c r="DV53" s="305">
        <v>1.0</v>
      </c>
      <c r="DW53" s="305" t="s">
        <v>314</v>
      </c>
      <c r="DX53" s="305" t="s">
        <v>146</v>
      </c>
      <c r="DY53" s="305">
        <v>2.0</v>
      </c>
      <c r="DZ53" s="305" t="s">
        <v>131</v>
      </c>
      <c r="EA53" s="305" t="s">
        <v>138</v>
      </c>
      <c r="EB53" s="305"/>
      <c r="EC53" s="305" t="s">
        <v>139</v>
      </c>
      <c r="ED53" s="305" t="s">
        <v>131</v>
      </c>
      <c r="EE53" s="305" t="s">
        <v>132</v>
      </c>
      <c r="EF53" s="305" t="s">
        <v>141</v>
      </c>
      <c r="EG53" s="305">
        <f t="shared" si="93"/>
        <v>999</v>
      </c>
      <c r="EH53" s="305">
        <f t="shared" si="94"/>
        <v>88</v>
      </c>
      <c r="EI53" s="130">
        <f t="shared" si="23"/>
        <v>27.40765728</v>
      </c>
    </row>
    <row r="54" ht="15.75" customHeight="1">
      <c r="A54" s="140" t="s">
        <v>467</v>
      </c>
      <c r="B54" s="54" t="s">
        <v>175</v>
      </c>
      <c r="C54" s="296">
        <v>45234.0</v>
      </c>
      <c r="D54" s="326">
        <v>47.0</v>
      </c>
      <c r="E54" s="130" t="s">
        <v>153</v>
      </c>
      <c r="F54" s="130">
        <v>175.0</v>
      </c>
      <c r="G54" s="297">
        <v>90.0</v>
      </c>
      <c r="H54" s="298" t="s">
        <v>131</v>
      </c>
      <c r="I54" s="130">
        <v>2.0</v>
      </c>
      <c r="J54" s="299"/>
      <c r="K54" s="130" t="s">
        <v>131</v>
      </c>
      <c r="L54" s="130">
        <v>2.0</v>
      </c>
      <c r="M54" s="299">
        <v>43922.0</v>
      </c>
      <c r="N54" s="137">
        <v>0.0</v>
      </c>
      <c r="O54" s="307">
        <v>44105.0</v>
      </c>
      <c r="P54" s="130" t="s">
        <v>131</v>
      </c>
      <c r="Q54" s="130" t="s">
        <v>468</v>
      </c>
      <c r="R54" s="130" t="s">
        <v>469</v>
      </c>
      <c r="S54" s="130" t="s">
        <v>131</v>
      </c>
      <c r="T54" s="130" t="s">
        <v>470</v>
      </c>
      <c r="U54" s="130" t="s">
        <v>132</v>
      </c>
      <c r="V54" s="121" t="str">
        <f t="shared" si="97"/>
        <v>Internación moderada</v>
      </c>
      <c r="W54" s="130" t="s">
        <v>190</v>
      </c>
      <c r="X54" s="130" t="s">
        <v>132</v>
      </c>
      <c r="Y54" s="130">
        <v>1.0</v>
      </c>
      <c r="Z54" s="130">
        <v>1.0</v>
      </c>
      <c r="AA54" s="130">
        <v>1.0</v>
      </c>
      <c r="AB54" s="130">
        <v>1.0</v>
      </c>
      <c r="AC54" s="130">
        <v>1.0</v>
      </c>
      <c r="AD54" s="130">
        <v>1.0</v>
      </c>
      <c r="AE54" s="130">
        <v>1.0</v>
      </c>
      <c r="AF54" s="130">
        <v>1.0</v>
      </c>
      <c r="AG54" s="130">
        <v>1.0</v>
      </c>
      <c r="AH54" s="130">
        <v>1.0</v>
      </c>
      <c r="AI54" s="130">
        <v>1.0</v>
      </c>
      <c r="AJ54" s="130">
        <v>1.0</v>
      </c>
      <c r="AK54" s="297"/>
      <c r="AL54" s="298" t="s">
        <v>132</v>
      </c>
      <c r="AM54" s="130" t="s">
        <v>132</v>
      </c>
      <c r="AN54" s="130" t="s">
        <v>132</v>
      </c>
      <c r="AO54" s="130" t="s">
        <v>132</v>
      </c>
      <c r="AP54" s="130" t="s">
        <v>132</v>
      </c>
      <c r="AQ54" s="130" t="s">
        <v>132</v>
      </c>
      <c r="AR54" s="130" t="s">
        <v>132</v>
      </c>
      <c r="AS54" s="130" t="s">
        <v>132</v>
      </c>
      <c r="AT54" s="130" t="s">
        <v>132</v>
      </c>
      <c r="AU54" s="130" t="s">
        <v>132</v>
      </c>
      <c r="AV54" s="130" t="s">
        <v>132</v>
      </c>
      <c r="AW54" s="130"/>
      <c r="AX54" s="130" t="s">
        <v>132</v>
      </c>
      <c r="AY54" s="130"/>
      <c r="AZ54" s="130"/>
      <c r="BA54" s="130"/>
      <c r="BB54" s="130" t="s">
        <v>145</v>
      </c>
      <c r="BC54" s="297"/>
      <c r="BD54" s="298">
        <v>1.0</v>
      </c>
      <c r="BE54" s="130">
        <v>1.0</v>
      </c>
      <c r="BF54" s="130">
        <v>2.0</v>
      </c>
      <c r="BG54" s="130">
        <v>1.0</v>
      </c>
      <c r="BH54" s="130">
        <v>2.0</v>
      </c>
      <c r="BI54" s="301" t="str">
        <f t="shared" si="3"/>
        <v>11212</v>
      </c>
      <c r="BJ54" s="130">
        <v>60.0</v>
      </c>
      <c r="BK54" s="130">
        <v>2.0</v>
      </c>
      <c r="BL54" s="130">
        <v>1.0</v>
      </c>
      <c r="BM54" s="130">
        <v>1.0</v>
      </c>
      <c r="BN54" s="130">
        <v>1.0</v>
      </c>
      <c r="BO54" s="130">
        <v>4.0</v>
      </c>
      <c r="BP54" s="130">
        <v>2.0</v>
      </c>
      <c r="BQ54" s="130">
        <v>3.0</v>
      </c>
      <c r="BR54" s="130">
        <v>2.0</v>
      </c>
      <c r="BS54" s="130">
        <v>3.0</v>
      </c>
      <c r="BT54" s="130">
        <v>2.0</v>
      </c>
      <c r="BU54" s="302">
        <f t="shared" si="4"/>
        <v>5</v>
      </c>
      <c r="BV54" s="302">
        <f t="shared" si="90"/>
        <v>4</v>
      </c>
      <c r="BW54" s="302">
        <f t="shared" si="91"/>
        <v>24</v>
      </c>
      <c r="BX54" s="302" t="str">
        <f t="shared" si="7"/>
        <v>FATIGA</v>
      </c>
      <c r="BY54" s="130">
        <v>7.0</v>
      </c>
      <c r="BZ54" s="130">
        <v>1.0</v>
      </c>
      <c r="CA54" s="130">
        <v>0.0</v>
      </c>
      <c r="CB54" s="130">
        <v>7.0</v>
      </c>
      <c r="CC54" s="130">
        <v>7.0</v>
      </c>
      <c r="CD54" s="130">
        <v>0.0</v>
      </c>
      <c r="CE54" s="130">
        <v>7.0</v>
      </c>
      <c r="CF54" s="130">
        <v>0.0</v>
      </c>
      <c r="CG54" s="130">
        <v>30.0</v>
      </c>
      <c r="CH54" s="130">
        <v>0.0</v>
      </c>
      <c r="CI54" s="130">
        <v>30.0</v>
      </c>
      <c r="CJ54" s="302">
        <f t="shared" si="26"/>
        <v>15813</v>
      </c>
      <c r="CK54" s="301">
        <f t="shared" si="9"/>
        <v>21</v>
      </c>
      <c r="CL54" s="301" t="b">
        <f>IF(CJ55&gt;3000,IF(CK55&gt;6,"Nivel de actividad física alto"),IF(CJ55&gt;1500,IF(BY55&gt;2,"Nivel de actividad física alto")))</f>
        <v>0</v>
      </c>
      <c r="CM54" s="301" t="str">
        <f t="shared" si="10"/>
        <v>Nivel de actividad física moderado</v>
      </c>
      <c r="CN54" s="208" t="str">
        <f t="shared" si="11"/>
        <v>Nivel de actividad física moderado</v>
      </c>
      <c r="CO54" s="130">
        <v>23.0</v>
      </c>
      <c r="CP54" s="130">
        <v>0.0</v>
      </c>
      <c r="CQ54" s="223">
        <f t="shared" si="98"/>
        <v>0</v>
      </c>
      <c r="CR54" s="130">
        <v>6.0</v>
      </c>
      <c r="CS54" s="130">
        <v>0.0</v>
      </c>
      <c r="CT54" s="130">
        <v>7.0</v>
      </c>
      <c r="CU54" s="130">
        <v>6.0</v>
      </c>
      <c r="CV54" s="130">
        <v>0.0</v>
      </c>
      <c r="CW54" s="130">
        <v>2.0</v>
      </c>
      <c r="CX54" s="130">
        <v>3.0</v>
      </c>
      <c r="CY54" s="130">
        <v>3.0</v>
      </c>
      <c r="CZ54" s="130">
        <v>3.0</v>
      </c>
      <c r="DA54" s="130">
        <v>2.0</v>
      </c>
      <c r="DB54" s="130">
        <v>1.0</v>
      </c>
      <c r="DC54" s="130">
        <v>1.0</v>
      </c>
      <c r="DD54" s="130">
        <v>0.0</v>
      </c>
      <c r="DE54" s="130">
        <v>0.0</v>
      </c>
      <c r="DF54" s="130"/>
      <c r="DG54" s="303">
        <f t="shared" si="39"/>
        <v>15</v>
      </c>
      <c r="DH54" s="130">
        <v>1.0</v>
      </c>
      <c r="DI54" s="130">
        <v>0.0</v>
      </c>
      <c r="DJ54" s="130">
        <v>3.0</v>
      </c>
      <c r="DK54" s="130">
        <v>3.0</v>
      </c>
      <c r="DL54" s="302">
        <f t="shared" si="27"/>
        <v>85.71428571</v>
      </c>
      <c r="DM54" s="302">
        <f t="shared" si="28"/>
        <v>1</v>
      </c>
      <c r="DN54" s="302">
        <f t="shared" si="29"/>
        <v>2</v>
      </c>
      <c r="DO54" s="302">
        <f t="shared" si="30"/>
        <v>0</v>
      </c>
      <c r="DP54" s="302">
        <f t="shared" si="31"/>
        <v>3</v>
      </c>
      <c r="DQ54" s="302">
        <f t="shared" si="32"/>
        <v>0</v>
      </c>
      <c r="DR54" s="302">
        <f t="shared" ref="DR54:DS54" si="100">(DH54)</f>
        <v>1</v>
      </c>
      <c r="DS54" s="302">
        <f t="shared" si="100"/>
        <v>0</v>
      </c>
      <c r="DT54" s="304">
        <f t="shared" si="34"/>
        <v>7</v>
      </c>
      <c r="DU54" s="304" t="str">
        <f t="shared" si="35"/>
        <v>poor sleep quality</v>
      </c>
      <c r="DV54" s="305">
        <v>4.0</v>
      </c>
      <c r="DW54" s="305" t="s">
        <v>149</v>
      </c>
      <c r="DX54" s="305" t="s">
        <v>207</v>
      </c>
      <c r="DY54" s="305">
        <v>2.0</v>
      </c>
      <c r="DZ54" s="305" t="s">
        <v>131</v>
      </c>
      <c r="EA54" s="305" t="s">
        <v>162</v>
      </c>
      <c r="EB54" s="305"/>
      <c r="EC54" s="305" t="s">
        <v>139</v>
      </c>
      <c r="ED54" s="305"/>
      <c r="EE54" s="305" t="s">
        <v>132</v>
      </c>
      <c r="EF54" s="305" t="s">
        <v>141</v>
      </c>
      <c r="EG54" s="305">
        <f t="shared" si="93"/>
        <v>1312</v>
      </c>
      <c r="EH54" s="305">
        <f t="shared" si="94"/>
        <v>1129</v>
      </c>
      <c r="EI54" s="130">
        <f t="shared" si="23"/>
        <v>29.3877551</v>
      </c>
    </row>
    <row r="55" ht="15.75" customHeight="1">
      <c r="A55" s="140" t="s">
        <v>471</v>
      </c>
      <c r="B55" s="54" t="s">
        <v>175</v>
      </c>
      <c r="C55" s="296">
        <v>45227.0</v>
      </c>
      <c r="D55" s="326">
        <v>53.0</v>
      </c>
      <c r="E55" s="130" t="s">
        <v>153</v>
      </c>
      <c r="F55" s="130">
        <v>170.0</v>
      </c>
      <c r="G55" s="297">
        <v>75.0</v>
      </c>
      <c r="H55" s="298" t="s">
        <v>131</v>
      </c>
      <c r="I55" s="130"/>
      <c r="J55" s="299"/>
      <c r="K55" s="130" t="s">
        <v>131</v>
      </c>
      <c r="L55" s="130">
        <v>1.0</v>
      </c>
      <c r="M55" s="299">
        <v>44075.0</v>
      </c>
      <c r="N55" s="137">
        <v>0.0</v>
      </c>
      <c r="O55" s="299">
        <v>44075.0</v>
      </c>
      <c r="P55" s="130" t="s">
        <v>132</v>
      </c>
      <c r="Q55" s="306"/>
      <c r="R55" s="306"/>
      <c r="S55" s="130"/>
      <c r="T55" s="130"/>
      <c r="U55" s="130"/>
      <c r="V55" s="121" t="str">
        <f t="shared" si="97"/>
        <v>Paciente ambulatorio</v>
      </c>
      <c r="W55" s="130" t="s">
        <v>176</v>
      </c>
      <c r="X55" s="130" t="s">
        <v>132</v>
      </c>
      <c r="Y55" s="130">
        <v>3.0</v>
      </c>
      <c r="Z55" s="130">
        <v>1.0</v>
      </c>
      <c r="AA55" s="130">
        <v>1.0</v>
      </c>
      <c r="AB55" s="130">
        <v>2.0</v>
      </c>
      <c r="AC55" s="130">
        <v>2.0</v>
      </c>
      <c r="AD55" s="130">
        <v>1.0</v>
      </c>
      <c r="AE55" s="130">
        <v>3.0</v>
      </c>
      <c r="AF55" s="130">
        <v>1.0</v>
      </c>
      <c r="AG55" s="130">
        <v>1.0</v>
      </c>
      <c r="AH55" s="130">
        <v>3.0</v>
      </c>
      <c r="AI55" s="130">
        <v>1.0</v>
      </c>
      <c r="AJ55" s="130">
        <v>1.0</v>
      </c>
      <c r="AK55" s="297" t="s">
        <v>472</v>
      </c>
      <c r="AL55" s="298" t="s">
        <v>132</v>
      </c>
      <c r="AM55" s="130" t="s">
        <v>132</v>
      </c>
      <c r="AN55" s="130" t="s">
        <v>132</v>
      </c>
      <c r="AO55" s="130" t="s">
        <v>131</v>
      </c>
      <c r="AP55" s="130" t="s">
        <v>132</v>
      </c>
      <c r="AQ55" s="130" t="s">
        <v>132</v>
      </c>
      <c r="AR55" s="130" t="s">
        <v>132</v>
      </c>
      <c r="AS55" s="130" t="s">
        <v>132</v>
      </c>
      <c r="AT55" s="130" t="s">
        <v>132</v>
      </c>
      <c r="AU55" s="130" t="s">
        <v>132</v>
      </c>
      <c r="AV55" s="130" t="s">
        <v>132</v>
      </c>
      <c r="AW55" s="130"/>
      <c r="AX55" s="130" t="s">
        <v>132</v>
      </c>
      <c r="AY55" s="130"/>
      <c r="AZ55" s="130"/>
      <c r="BA55" s="130"/>
      <c r="BB55" s="130" t="s">
        <v>192</v>
      </c>
      <c r="BC55" s="297">
        <v>4.0</v>
      </c>
      <c r="BD55" s="298">
        <v>1.0</v>
      </c>
      <c r="BE55" s="130">
        <v>1.0</v>
      </c>
      <c r="BF55" s="130">
        <v>1.0</v>
      </c>
      <c r="BG55" s="130">
        <v>2.0</v>
      </c>
      <c r="BH55" s="130">
        <v>2.0</v>
      </c>
      <c r="BI55" s="301" t="str">
        <f t="shared" si="3"/>
        <v>11122</v>
      </c>
      <c r="BJ55" s="130">
        <v>60.0</v>
      </c>
      <c r="BK55" s="130">
        <v>3.0</v>
      </c>
      <c r="BL55" s="130">
        <v>4.0</v>
      </c>
      <c r="BM55" s="130">
        <v>3.0</v>
      </c>
      <c r="BN55" s="130">
        <v>3.0</v>
      </c>
      <c r="BO55" s="130">
        <v>4.0</v>
      </c>
      <c r="BP55" s="130">
        <v>4.0</v>
      </c>
      <c r="BQ55" s="130">
        <v>4.0</v>
      </c>
      <c r="BR55" s="130">
        <v>5.0</v>
      </c>
      <c r="BS55" s="130">
        <v>5.0</v>
      </c>
      <c r="BT55" s="130">
        <v>3.0</v>
      </c>
      <c r="BU55" s="302">
        <f t="shared" si="4"/>
        <v>3</v>
      </c>
      <c r="BV55" s="302">
        <f t="shared" si="90"/>
        <v>3</v>
      </c>
      <c r="BW55" s="302">
        <f t="shared" si="91"/>
        <v>38</v>
      </c>
      <c r="BX55" s="302" t="str">
        <f t="shared" si="7"/>
        <v>FATIGA EXTREMA</v>
      </c>
      <c r="BY55" s="130">
        <v>2.0</v>
      </c>
      <c r="BZ55" s="130">
        <v>8.0</v>
      </c>
      <c r="CA55" s="130">
        <v>0.0</v>
      </c>
      <c r="CB55" s="130">
        <v>2.0</v>
      </c>
      <c r="CC55" s="130">
        <v>4.0</v>
      </c>
      <c r="CD55" s="130">
        <v>0.0</v>
      </c>
      <c r="CE55" s="130">
        <v>1.0</v>
      </c>
      <c r="CF55" s="130">
        <v>0.0</v>
      </c>
      <c r="CG55" s="130">
        <v>20.0</v>
      </c>
      <c r="CH55" s="130">
        <v>3.0</v>
      </c>
      <c r="CI55" s="130">
        <v>0.0</v>
      </c>
      <c r="CJ55" s="302">
        <f t="shared" si="26"/>
        <v>9666</v>
      </c>
      <c r="CK55" s="301">
        <f t="shared" si="9"/>
        <v>5</v>
      </c>
      <c r="CL55" s="301" t="str">
        <f t="shared" ref="CL55:CL56" si="102">IF(#REF!&gt;3000,IF(#REF!&gt;6,"Nivel de actividad física alto"),IF(#REF!&gt;1500,IF(#REF!&gt;2,"Nivel de actividad física alto")))</f>
        <v>#REF!</v>
      </c>
      <c r="CM55" s="301" t="b">
        <f t="shared" si="10"/>
        <v>0</v>
      </c>
      <c r="CN55" s="208" t="str">
        <f t="shared" si="11"/>
        <v>#REF!</v>
      </c>
      <c r="CO55" s="130">
        <v>22.0</v>
      </c>
      <c r="CP55" s="130">
        <v>180.0</v>
      </c>
      <c r="CQ55" s="223">
        <f t="shared" si="98"/>
        <v>3</v>
      </c>
      <c r="CR55" s="130">
        <v>10.0</v>
      </c>
      <c r="CS55" s="130">
        <v>0.0</v>
      </c>
      <c r="CT55" s="130">
        <v>12.0</v>
      </c>
      <c r="CU55" s="130">
        <v>8.0</v>
      </c>
      <c r="CV55" s="130">
        <v>3.0</v>
      </c>
      <c r="CW55" s="130">
        <v>3.0</v>
      </c>
      <c r="CX55" s="130">
        <v>3.0</v>
      </c>
      <c r="CY55" s="130">
        <v>0.0</v>
      </c>
      <c r="CZ55" s="130">
        <v>0.0</v>
      </c>
      <c r="DA55" s="130">
        <v>3.0</v>
      </c>
      <c r="DB55" s="130">
        <v>0.0</v>
      </c>
      <c r="DC55" s="130">
        <v>3.0</v>
      </c>
      <c r="DD55" s="130">
        <v>3.0</v>
      </c>
      <c r="DE55" s="130"/>
      <c r="DF55" s="130"/>
      <c r="DG55" s="303">
        <f t="shared" si="39"/>
        <v>15</v>
      </c>
      <c r="DH55" s="130">
        <v>1.0</v>
      </c>
      <c r="DI55" s="130">
        <v>0.0</v>
      </c>
      <c r="DJ55" s="130">
        <v>3.0</v>
      </c>
      <c r="DK55" s="130">
        <v>3.0</v>
      </c>
      <c r="DL55" s="302">
        <f t="shared" si="27"/>
        <v>66.66666667</v>
      </c>
      <c r="DM55" s="302">
        <f t="shared" si="28"/>
        <v>0</v>
      </c>
      <c r="DN55" s="302">
        <f t="shared" si="29"/>
        <v>2</v>
      </c>
      <c r="DO55" s="302">
        <f t="shared" si="30"/>
        <v>3</v>
      </c>
      <c r="DP55" s="302">
        <f t="shared" si="31"/>
        <v>3</v>
      </c>
      <c r="DQ55" s="302">
        <f t="shared" si="32"/>
        <v>2</v>
      </c>
      <c r="DR55" s="302">
        <f t="shared" ref="DR55:DS55" si="101">(DH55)</f>
        <v>1</v>
      </c>
      <c r="DS55" s="302">
        <f t="shared" si="101"/>
        <v>0</v>
      </c>
      <c r="DT55" s="304">
        <f t="shared" si="34"/>
        <v>11</v>
      </c>
      <c r="DU55" s="304" t="str">
        <f t="shared" si="35"/>
        <v>poor sleep quality</v>
      </c>
      <c r="DV55" s="305">
        <v>1.0</v>
      </c>
      <c r="DW55" s="305" t="s">
        <v>314</v>
      </c>
      <c r="DX55" s="305" t="s">
        <v>146</v>
      </c>
      <c r="DY55" s="305">
        <v>1.0</v>
      </c>
      <c r="DZ55" s="305" t="s">
        <v>131</v>
      </c>
      <c r="EA55" s="305" t="s">
        <v>147</v>
      </c>
      <c r="EB55" s="305"/>
      <c r="EC55" s="305" t="s">
        <v>230</v>
      </c>
      <c r="ED55" s="305" t="s">
        <v>131</v>
      </c>
      <c r="EE55" s="305" t="s">
        <v>131</v>
      </c>
      <c r="EF55" s="305" t="s">
        <v>140</v>
      </c>
      <c r="EG55" s="305">
        <f t="shared" si="93"/>
        <v>1152</v>
      </c>
      <c r="EH55" s="305">
        <f t="shared" si="94"/>
        <v>1152</v>
      </c>
      <c r="EI55" s="130">
        <f t="shared" si="23"/>
        <v>25.95155709</v>
      </c>
    </row>
    <row r="56" ht="15.75" customHeight="1">
      <c r="A56" s="140" t="s">
        <v>477</v>
      </c>
      <c r="B56" s="54" t="s">
        <v>175</v>
      </c>
      <c r="C56" s="296">
        <v>45257.0</v>
      </c>
      <c r="D56" s="130">
        <v>38.0</v>
      </c>
      <c r="E56" s="130" t="s">
        <v>130</v>
      </c>
      <c r="F56" s="130">
        <v>165.0</v>
      </c>
      <c r="G56" s="297">
        <v>63.0</v>
      </c>
      <c r="H56" s="298" t="s">
        <v>131</v>
      </c>
      <c r="I56" s="130">
        <v>3.0</v>
      </c>
      <c r="J56" s="299" t="s">
        <v>763</v>
      </c>
      <c r="K56" s="130" t="s">
        <v>131</v>
      </c>
      <c r="L56" s="130">
        <v>1.0</v>
      </c>
      <c r="M56" s="299">
        <v>44197.0</v>
      </c>
      <c r="N56" s="130"/>
      <c r="O56" s="299">
        <v>44197.0</v>
      </c>
      <c r="P56" s="130" t="s">
        <v>132</v>
      </c>
      <c r="Q56" s="130"/>
      <c r="R56" s="130"/>
      <c r="S56" s="130"/>
      <c r="T56" s="130"/>
      <c r="U56" s="130"/>
      <c r="V56" s="121" t="str">
        <f t="shared" si="97"/>
        <v>Paciente ambulatorio</v>
      </c>
      <c r="W56" s="130" t="s">
        <v>190</v>
      </c>
      <c r="X56" s="130" t="s">
        <v>132</v>
      </c>
      <c r="Y56" s="130">
        <v>1.0</v>
      </c>
      <c r="Z56" s="130">
        <v>1.0</v>
      </c>
      <c r="AA56" s="130">
        <v>2.0</v>
      </c>
      <c r="AB56" s="130">
        <v>2.0</v>
      </c>
      <c r="AC56" s="130">
        <v>1.0</v>
      </c>
      <c r="AD56" s="130">
        <v>1.0</v>
      </c>
      <c r="AE56" s="130">
        <v>1.0</v>
      </c>
      <c r="AF56" s="130">
        <v>1.0</v>
      </c>
      <c r="AG56" s="130">
        <v>1.0</v>
      </c>
      <c r="AH56" s="130">
        <v>2.0</v>
      </c>
      <c r="AI56" s="130">
        <v>1.0</v>
      </c>
      <c r="AJ56" s="130">
        <v>1.0</v>
      </c>
      <c r="AK56" s="297"/>
      <c r="AL56" s="298" t="s">
        <v>132</v>
      </c>
      <c r="AM56" s="130" t="s">
        <v>132</v>
      </c>
      <c r="AN56" s="130" t="s">
        <v>132</v>
      </c>
      <c r="AO56" s="130" t="s">
        <v>131</v>
      </c>
      <c r="AP56" s="130" t="s">
        <v>132</v>
      </c>
      <c r="AQ56" s="130" t="s">
        <v>132</v>
      </c>
      <c r="AR56" s="130" t="s">
        <v>132</v>
      </c>
      <c r="AS56" s="130" t="s">
        <v>132</v>
      </c>
      <c r="AT56" s="130" t="s">
        <v>132</v>
      </c>
      <c r="AU56" s="130" t="s">
        <v>132</v>
      </c>
      <c r="AV56" s="130" t="s">
        <v>132</v>
      </c>
      <c r="AW56" s="130"/>
      <c r="AX56" s="130" t="s">
        <v>165</v>
      </c>
      <c r="AY56" s="130"/>
      <c r="AZ56" s="130"/>
      <c r="BA56" s="130">
        <v>0.25</v>
      </c>
      <c r="BB56" s="130" t="s">
        <v>135</v>
      </c>
      <c r="BC56" s="297">
        <v>1.0</v>
      </c>
      <c r="BD56" s="298">
        <v>4.0</v>
      </c>
      <c r="BE56" s="130">
        <v>3.0</v>
      </c>
      <c r="BF56" s="130">
        <v>4.0</v>
      </c>
      <c r="BG56" s="130">
        <v>4.0</v>
      </c>
      <c r="BH56" s="130">
        <v>5.0</v>
      </c>
      <c r="BI56" s="301" t="str">
        <f t="shared" si="3"/>
        <v>43445</v>
      </c>
      <c r="BJ56" s="130">
        <v>20.0</v>
      </c>
      <c r="BK56" s="130">
        <v>5.0</v>
      </c>
      <c r="BL56" s="130">
        <v>5.0</v>
      </c>
      <c r="BM56" s="130">
        <v>5.0</v>
      </c>
      <c r="BN56" s="130">
        <v>2.0</v>
      </c>
      <c r="BO56" s="130">
        <v>5.0</v>
      </c>
      <c r="BP56" s="130">
        <v>5.0</v>
      </c>
      <c r="BQ56" s="130">
        <v>5.0</v>
      </c>
      <c r="BR56" s="130">
        <v>4.0</v>
      </c>
      <c r="BS56" s="130">
        <v>5.0</v>
      </c>
      <c r="BT56" s="130">
        <v>2.0</v>
      </c>
      <c r="BU56" s="302">
        <f t="shared" si="4"/>
        <v>4</v>
      </c>
      <c r="BV56" s="302">
        <f t="shared" si="90"/>
        <v>4</v>
      </c>
      <c r="BW56" s="302">
        <f t="shared" si="91"/>
        <v>45</v>
      </c>
      <c r="BX56" s="302" t="str">
        <f t="shared" si="7"/>
        <v>FATIGA EXTREMA</v>
      </c>
      <c r="BY56" s="130">
        <v>0.0</v>
      </c>
      <c r="BZ56" s="130">
        <v>0.0</v>
      </c>
      <c r="CA56" s="130">
        <v>0.0</v>
      </c>
      <c r="CB56" s="130">
        <v>0.0</v>
      </c>
      <c r="CC56" s="130">
        <v>0.0</v>
      </c>
      <c r="CD56" s="130">
        <v>0.0</v>
      </c>
      <c r="CE56" s="130">
        <v>0.0</v>
      </c>
      <c r="CF56" s="130">
        <v>0.0</v>
      </c>
      <c r="CG56" s="130">
        <v>0.0</v>
      </c>
      <c r="CH56" s="130">
        <v>0.0</v>
      </c>
      <c r="CI56" s="130">
        <v>0.0</v>
      </c>
      <c r="CJ56" s="302">
        <f t="shared" si="26"/>
        <v>0</v>
      </c>
      <c r="CK56" s="301">
        <f t="shared" si="9"/>
        <v>0</v>
      </c>
      <c r="CL56" s="301" t="str">
        <f t="shared" si="102"/>
        <v>#REF!</v>
      </c>
      <c r="CM56" s="301" t="b">
        <f t="shared" si="10"/>
        <v>0</v>
      </c>
      <c r="CN56" s="208" t="str">
        <f t="shared" si="11"/>
        <v>#REF!</v>
      </c>
      <c r="CO56" s="130">
        <v>22.0</v>
      </c>
      <c r="CP56" s="309">
        <v>45414.0</v>
      </c>
      <c r="CQ56" s="223">
        <f t="shared" si="98"/>
        <v>3</v>
      </c>
      <c r="CR56" s="130">
        <v>8.0</v>
      </c>
      <c r="CS56" s="130">
        <v>0.0</v>
      </c>
      <c r="CT56" s="130">
        <v>10.0</v>
      </c>
      <c r="CU56" s="309">
        <v>45543.0</v>
      </c>
      <c r="CV56" s="130">
        <v>0.0</v>
      </c>
      <c r="CW56" s="130">
        <v>3.0</v>
      </c>
      <c r="CX56" s="130">
        <v>0.0</v>
      </c>
      <c r="CY56" s="130">
        <v>0.0</v>
      </c>
      <c r="CZ56" s="130">
        <v>0.0</v>
      </c>
      <c r="DA56" s="130">
        <v>0.0</v>
      </c>
      <c r="DB56" s="130">
        <v>0.0</v>
      </c>
      <c r="DC56" s="130">
        <v>0.0</v>
      </c>
      <c r="DD56" s="130">
        <v>0.0</v>
      </c>
      <c r="DE56" s="130">
        <v>0.0</v>
      </c>
      <c r="DF56" s="130"/>
      <c r="DG56" s="303">
        <f t="shared" si="39"/>
        <v>3</v>
      </c>
      <c r="DH56" s="130">
        <v>0.0</v>
      </c>
      <c r="DI56" s="130">
        <v>3.0</v>
      </c>
      <c r="DJ56" s="130">
        <v>0.0</v>
      </c>
      <c r="DK56" s="130">
        <v>3.0</v>
      </c>
      <c r="DL56" s="310">
        <f t="shared" si="27"/>
        <v>455430</v>
      </c>
      <c r="DM56" s="302">
        <f t="shared" si="28"/>
        <v>0</v>
      </c>
      <c r="DN56" s="302">
        <f t="shared" si="29"/>
        <v>1</v>
      </c>
      <c r="DO56" s="302">
        <f t="shared" si="30"/>
        <v>2</v>
      </c>
      <c r="DP56" s="302">
        <f t="shared" si="31"/>
        <v>2</v>
      </c>
      <c r="DQ56" s="302">
        <f t="shared" si="32"/>
        <v>0</v>
      </c>
      <c r="DR56" s="302">
        <f t="shared" ref="DR56:DS56" si="103">(DH56)</f>
        <v>0</v>
      </c>
      <c r="DS56" s="302">
        <f t="shared" si="103"/>
        <v>3</v>
      </c>
      <c r="DT56" s="304">
        <f t="shared" si="34"/>
        <v>8</v>
      </c>
      <c r="DU56" s="304" t="str">
        <f t="shared" si="35"/>
        <v>poor sleep quality</v>
      </c>
      <c r="DV56" s="305">
        <v>3.0</v>
      </c>
      <c r="DW56" s="305" t="s">
        <v>155</v>
      </c>
      <c r="DX56" s="305" t="s">
        <v>146</v>
      </c>
      <c r="DY56" s="305">
        <v>2.0</v>
      </c>
      <c r="DZ56" s="305" t="s">
        <v>131</v>
      </c>
      <c r="EA56" s="305" t="s">
        <v>147</v>
      </c>
      <c r="EB56" s="305"/>
      <c r="EC56" s="305" t="s">
        <v>172</v>
      </c>
      <c r="ED56" s="305"/>
      <c r="EE56" s="305"/>
      <c r="EF56" s="305" t="s">
        <v>158</v>
      </c>
      <c r="EG56" s="305">
        <f t="shared" si="93"/>
        <v>1060</v>
      </c>
      <c r="EH56" s="305">
        <f t="shared" si="94"/>
        <v>1060</v>
      </c>
      <c r="EI56" s="130">
        <f t="shared" si="23"/>
        <v>23.14049587</v>
      </c>
    </row>
    <row r="57" ht="15.75" customHeight="1">
      <c r="A57" s="140" t="s">
        <v>484</v>
      </c>
      <c r="B57" s="54" t="s">
        <v>175</v>
      </c>
      <c r="C57" s="296">
        <v>45248.0</v>
      </c>
      <c r="D57" s="130">
        <v>60.0</v>
      </c>
      <c r="E57" s="130" t="s">
        <v>130</v>
      </c>
      <c r="F57" s="130">
        <v>158.0</v>
      </c>
      <c r="G57" s="130">
        <v>74.0</v>
      </c>
      <c r="H57" s="298" t="s">
        <v>131</v>
      </c>
      <c r="I57" s="130">
        <v>4.0</v>
      </c>
      <c r="J57" s="299">
        <v>2022.0</v>
      </c>
      <c r="K57" s="130" t="s">
        <v>131</v>
      </c>
      <c r="L57" s="130">
        <v>4.0</v>
      </c>
      <c r="M57" s="299">
        <v>44044.0</v>
      </c>
      <c r="N57" s="130">
        <v>0.0</v>
      </c>
      <c r="O57" s="306">
        <v>44958.0</v>
      </c>
      <c r="P57" s="130" t="s">
        <v>132</v>
      </c>
      <c r="S57" s="327"/>
      <c r="V57" s="121" t="str">
        <f t="shared" si="97"/>
        <v>Paciente ambulatorio</v>
      </c>
      <c r="W57" s="130" t="s">
        <v>176</v>
      </c>
      <c r="X57" s="130" t="s">
        <v>132</v>
      </c>
      <c r="Y57" s="130">
        <v>3.0</v>
      </c>
      <c r="Z57" s="130">
        <v>1.0</v>
      </c>
      <c r="AA57" s="130">
        <v>2.0</v>
      </c>
      <c r="AB57" s="130">
        <v>2.0</v>
      </c>
      <c r="AC57" s="130">
        <v>3.0</v>
      </c>
      <c r="AD57" s="130">
        <v>1.0</v>
      </c>
      <c r="AE57" s="130">
        <v>3.0</v>
      </c>
      <c r="AF57" s="130">
        <v>1.0</v>
      </c>
      <c r="AG57" s="130">
        <v>3.0</v>
      </c>
      <c r="AH57" s="130">
        <v>1.0</v>
      </c>
      <c r="AI57" s="130">
        <v>1.0</v>
      </c>
      <c r="AJ57" s="130">
        <v>3.0</v>
      </c>
      <c r="AL57" s="298" t="s">
        <v>132</v>
      </c>
      <c r="AM57" s="130" t="s">
        <v>132</v>
      </c>
      <c r="AN57" s="130" t="s">
        <v>132</v>
      </c>
      <c r="AO57" s="130" t="s">
        <v>131</v>
      </c>
      <c r="AP57" s="130" t="s">
        <v>132</v>
      </c>
      <c r="AQ57" s="130" t="s">
        <v>132</v>
      </c>
      <c r="AR57" s="130" t="s">
        <v>132</v>
      </c>
      <c r="AS57" s="130" t="s">
        <v>132</v>
      </c>
      <c r="AT57" s="130" t="s">
        <v>132</v>
      </c>
      <c r="AU57" s="130" t="s">
        <v>132</v>
      </c>
      <c r="AV57" s="130" t="s">
        <v>131</v>
      </c>
      <c r="AX57" s="130" t="s">
        <v>165</v>
      </c>
      <c r="BB57" s="130" t="s">
        <v>145</v>
      </c>
      <c r="BD57" s="298">
        <v>1.0</v>
      </c>
      <c r="BE57" s="130">
        <v>1.0</v>
      </c>
      <c r="BF57" s="130">
        <v>1.0</v>
      </c>
      <c r="BG57" s="130">
        <v>2.0</v>
      </c>
      <c r="BH57" s="130">
        <v>1.0</v>
      </c>
      <c r="BI57" s="301" t="str">
        <f t="shared" si="3"/>
        <v>11121</v>
      </c>
      <c r="BJ57" s="130">
        <v>80.0</v>
      </c>
      <c r="BK57" s="130">
        <v>5.0</v>
      </c>
      <c r="BL57" s="130">
        <v>5.0</v>
      </c>
      <c r="BM57" s="130">
        <v>4.0</v>
      </c>
      <c r="BN57" s="130">
        <v>4.0</v>
      </c>
      <c r="BO57" s="130">
        <v>5.0</v>
      </c>
      <c r="BP57" s="130">
        <v>1.0</v>
      </c>
      <c r="BQ57" s="130">
        <v>1.0</v>
      </c>
      <c r="BR57" s="130">
        <v>4.0</v>
      </c>
      <c r="BS57" s="130">
        <v>1.0</v>
      </c>
      <c r="BT57" s="130">
        <v>5.0</v>
      </c>
      <c r="BU57" s="302">
        <f t="shared" si="4"/>
        <v>2</v>
      </c>
      <c r="BV57" s="302">
        <f t="shared" si="90"/>
        <v>1</v>
      </c>
      <c r="BW57" s="302">
        <f t="shared" si="91"/>
        <v>32</v>
      </c>
      <c r="BX57" s="302" t="str">
        <f t="shared" si="7"/>
        <v>FATIGA</v>
      </c>
      <c r="BY57" s="130">
        <v>0.0</v>
      </c>
      <c r="BZ57" s="130">
        <v>0.0</v>
      </c>
      <c r="CA57" s="130">
        <v>0.0</v>
      </c>
      <c r="CB57" s="130">
        <v>0.0</v>
      </c>
      <c r="CC57" s="130">
        <v>0.0</v>
      </c>
      <c r="CD57" s="130">
        <v>0.0</v>
      </c>
      <c r="CE57" s="130">
        <v>1.0</v>
      </c>
      <c r="CF57" s="130">
        <v>1.0</v>
      </c>
      <c r="CG57" s="130">
        <v>0.0</v>
      </c>
      <c r="CH57" s="130">
        <v>6.0</v>
      </c>
      <c r="CI57" s="130">
        <v>0.0</v>
      </c>
      <c r="CJ57" s="302">
        <f t="shared" si="26"/>
        <v>198</v>
      </c>
      <c r="CK57" s="301">
        <f t="shared" si="9"/>
        <v>1</v>
      </c>
      <c r="CL57" s="301" t="b">
        <f>IF(CJ58&gt;3000,IF(CK58&gt;6,"Nivel de actividad física alto"),IF(CJ58&gt;1500,IF(BY58&gt;2,"Nivel de actividad física alto")))</f>
        <v>0</v>
      </c>
      <c r="CM57" s="301" t="b">
        <f t="shared" si="10"/>
        <v>0</v>
      </c>
      <c r="CN57" s="208" t="str">
        <f t="shared" si="11"/>
        <v>Nivel de actividad física bajo</v>
      </c>
      <c r="CO57" s="130">
        <v>23.0</v>
      </c>
      <c r="CP57" s="130" t="s">
        <v>485</v>
      </c>
      <c r="CQ57" s="223">
        <f t="shared" si="98"/>
        <v>3</v>
      </c>
      <c r="CR57" s="130">
        <v>6.0</v>
      </c>
      <c r="CS57" s="130">
        <v>0.0</v>
      </c>
      <c r="CT57" s="130">
        <v>7.0</v>
      </c>
      <c r="CU57" s="130">
        <v>6.0</v>
      </c>
      <c r="CV57" s="130">
        <v>3.0</v>
      </c>
      <c r="CW57" s="130">
        <v>3.0</v>
      </c>
      <c r="CX57" s="130">
        <v>3.0</v>
      </c>
      <c r="CY57" s="130">
        <v>0.0</v>
      </c>
      <c r="CZ57" s="130">
        <v>1.0</v>
      </c>
      <c r="DA57" s="130">
        <v>0.0</v>
      </c>
      <c r="DB57" s="130">
        <v>3.0</v>
      </c>
      <c r="DC57" s="130">
        <v>0.0</v>
      </c>
      <c r="DD57" s="130">
        <v>0.0</v>
      </c>
      <c r="DE57" s="130">
        <v>1.0</v>
      </c>
      <c r="DF57" s="130" t="s">
        <v>486</v>
      </c>
      <c r="DG57" s="303">
        <f t="shared" si="39"/>
        <v>11</v>
      </c>
      <c r="DH57" s="130">
        <v>1.0</v>
      </c>
      <c r="DI57" s="130">
        <v>0.0</v>
      </c>
      <c r="DJ57" s="130">
        <v>3.0</v>
      </c>
      <c r="DK57" s="130">
        <v>1.0</v>
      </c>
      <c r="DL57" s="302">
        <f t="shared" si="27"/>
        <v>85.71428571</v>
      </c>
      <c r="DM57" s="302">
        <f t="shared" si="28"/>
        <v>1</v>
      </c>
      <c r="DN57" s="302">
        <f t="shared" si="29"/>
        <v>2</v>
      </c>
      <c r="DO57" s="302">
        <f t="shared" si="30"/>
        <v>3</v>
      </c>
      <c r="DP57" s="302">
        <f t="shared" si="31"/>
        <v>2</v>
      </c>
      <c r="DQ57" s="302">
        <f t="shared" si="32"/>
        <v>0</v>
      </c>
      <c r="DR57" s="302">
        <f t="shared" ref="DR57:DS57" si="104">(DH57)</f>
        <v>1</v>
      </c>
      <c r="DS57" s="302">
        <f t="shared" si="104"/>
        <v>0</v>
      </c>
      <c r="DT57" s="304">
        <f t="shared" si="34"/>
        <v>9</v>
      </c>
      <c r="DU57" s="304" t="str">
        <f t="shared" si="35"/>
        <v>poor sleep quality</v>
      </c>
      <c r="DV57" s="130">
        <v>3.0</v>
      </c>
      <c r="DW57" s="130" t="s">
        <v>487</v>
      </c>
      <c r="DX57" s="305" t="s">
        <v>146</v>
      </c>
      <c r="DY57" s="305">
        <v>1.0</v>
      </c>
      <c r="DZ57" s="305" t="s">
        <v>131</v>
      </c>
      <c r="EA57" s="305" t="s">
        <v>157</v>
      </c>
      <c r="EB57" s="305"/>
      <c r="EC57" s="305" t="s">
        <v>139</v>
      </c>
      <c r="ED57" s="305"/>
      <c r="EE57" s="305"/>
      <c r="EF57" s="305" t="s">
        <v>141</v>
      </c>
      <c r="EG57" s="305">
        <f t="shared" si="93"/>
        <v>1204</v>
      </c>
      <c r="EH57" s="305">
        <f t="shared" si="94"/>
        <v>290</v>
      </c>
      <c r="EI57" s="130">
        <f t="shared" si="23"/>
        <v>29.64268547</v>
      </c>
    </row>
    <row r="58" ht="15.75" customHeight="1">
      <c r="A58" s="140" t="s">
        <v>488</v>
      </c>
      <c r="B58" s="54" t="s">
        <v>175</v>
      </c>
      <c r="C58" s="296">
        <v>45248.0</v>
      </c>
      <c r="D58" s="130">
        <v>36.0</v>
      </c>
      <c r="E58" s="130" t="s">
        <v>153</v>
      </c>
      <c r="F58" s="130">
        <v>185.0</v>
      </c>
      <c r="G58" s="130">
        <v>93.1</v>
      </c>
      <c r="H58" s="298" t="s">
        <v>131</v>
      </c>
      <c r="I58" s="130">
        <v>4.0</v>
      </c>
      <c r="J58" s="299">
        <v>44757.0</v>
      </c>
      <c r="K58" s="130" t="s">
        <v>131</v>
      </c>
      <c r="L58" s="130">
        <v>2.0</v>
      </c>
      <c r="M58" s="299">
        <v>43922.0</v>
      </c>
      <c r="N58" s="130">
        <v>0.0</v>
      </c>
      <c r="O58" s="307">
        <v>44197.0</v>
      </c>
      <c r="P58" s="130" t="s">
        <v>132</v>
      </c>
      <c r="S58" s="327"/>
      <c r="V58" s="121" t="str">
        <f t="shared" si="97"/>
        <v>Paciente ambulatorio</v>
      </c>
      <c r="W58" s="130" t="s">
        <v>183</v>
      </c>
      <c r="X58" s="130" t="s">
        <v>132</v>
      </c>
      <c r="Y58" s="130">
        <v>2.0</v>
      </c>
      <c r="Z58" s="130">
        <v>1.0</v>
      </c>
      <c r="AA58" s="130">
        <v>2.0</v>
      </c>
      <c r="AB58" s="130">
        <v>3.0</v>
      </c>
      <c r="AC58" s="130">
        <v>2.0</v>
      </c>
      <c r="AD58" s="130">
        <v>2.0</v>
      </c>
      <c r="AE58" s="130">
        <v>2.0</v>
      </c>
      <c r="AF58" s="130">
        <v>1.0</v>
      </c>
      <c r="AG58" s="130">
        <v>1.0</v>
      </c>
      <c r="AH58" s="130">
        <v>3.0</v>
      </c>
      <c r="AI58" s="130">
        <v>1.0</v>
      </c>
      <c r="AJ58" s="130">
        <v>3.0</v>
      </c>
      <c r="AL58" s="298" t="s">
        <v>132</v>
      </c>
      <c r="AM58" s="130" t="s">
        <v>132</v>
      </c>
      <c r="AN58" s="130" t="s">
        <v>132</v>
      </c>
      <c r="AO58" s="130" t="s">
        <v>132</v>
      </c>
      <c r="AP58" s="130" t="s">
        <v>132</v>
      </c>
      <c r="AQ58" s="130" t="s">
        <v>132</v>
      </c>
      <c r="AR58" s="130" t="s">
        <v>132</v>
      </c>
      <c r="AS58" s="130" t="s">
        <v>132</v>
      </c>
      <c r="AT58" s="130" t="s">
        <v>132</v>
      </c>
      <c r="AU58" s="130" t="s">
        <v>132</v>
      </c>
      <c r="AV58" s="130"/>
      <c r="AX58" s="130" t="s">
        <v>165</v>
      </c>
      <c r="BA58" s="130">
        <v>7.0</v>
      </c>
      <c r="BB58" s="130" t="s">
        <v>145</v>
      </c>
      <c r="BD58" s="298">
        <v>1.0</v>
      </c>
      <c r="BE58" s="130">
        <v>1.0</v>
      </c>
      <c r="BF58" s="130">
        <v>1.0</v>
      </c>
      <c r="BG58" s="130">
        <v>3.0</v>
      </c>
      <c r="BH58" s="130">
        <v>3.0</v>
      </c>
      <c r="BI58" s="301" t="str">
        <f t="shared" si="3"/>
        <v>11133</v>
      </c>
      <c r="BJ58" s="130">
        <v>67.0</v>
      </c>
      <c r="BK58" s="130">
        <v>2.0</v>
      </c>
      <c r="BL58" s="130">
        <v>4.0</v>
      </c>
      <c r="BM58" s="130">
        <v>3.0</v>
      </c>
      <c r="BN58" s="130">
        <v>3.0</v>
      </c>
      <c r="BO58" s="130">
        <v>1.0</v>
      </c>
      <c r="BP58" s="130">
        <v>4.0</v>
      </c>
      <c r="BQ58" s="130">
        <v>4.0</v>
      </c>
      <c r="BR58" s="130">
        <v>3.0</v>
      </c>
      <c r="BS58" s="130">
        <v>5.0</v>
      </c>
      <c r="BT58" s="130">
        <v>4.0</v>
      </c>
      <c r="BU58" s="302">
        <f t="shared" si="4"/>
        <v>3</v>
      </c>
      <c r="BV58" s="302">
        <f t="shared" si="90"/>
        <v>2</v>
      </c>
      <c r="BW58" s="302">
        <f t="shared" si="91"/>
        <v>32</v>
      </c>
      <c r="BX58" s="302" t="str">
        <f t="shared" si="7"/>
        <v>FATIGA</v>
      </c>
      <c r="BY58" s="130">
        <v>1.0</v>
      </c>
      <c r="BZ58" s="130">
        <v>1.0</v>
      </c>
      <c r="CA58" s="130">
        <v>30.0</v>
      </c>
      <c r="CB58" s="130">
        <v>0.0</v>
      </c>
      <c r="CC58" s="130">
        <v>0.0</v>
      </c>
      <c r="CD58" s="130">
        <v>0.0</v>
      </c>
      <c r="CE58" s="130">
        <v>4.0</v>
      </c>
      <c r="CF58" s="130">
        <v>1.0</v>
      </c>
      <c r="CG58" s="130">
        <v>0.0</v>
      </c>
      <c r="CH58" s="130">
        <v>11.0</v>
      </c>
      <c r="CI58" s="130">
        <v>0.0</v>
      </c>
      <c r="CJ58" s="302">
        <f t="shared" si="26"/>
        <v>1512</v>
      </c>
      <c r="CK58" s="301">
        <f t="shared" si="9"/>
        <v>5</v>
      </c>
      <c r="CL58" s="301" t="str">
        <f>IF(#REF!&gt;3000,IF(#REF!&gt;6,"Nivel de actividad física alto"),IF(#REF!&gt;1500,IF(#REF!&gt;2,"Nivel de actividad física alto")))</f>
        <v>#REF!</v>
      </c>
      <c r="CM58" s="301" t="b">
        <f t="shared" si="10"/>
        <v>0</v>
      </c>
      <c r="CN58" s="208" t="str">
        <f t="shared" si="11"/>
        <v>#REF!</v>
      </c>
      <c r="CO58" s="130">
        <v>23.0</v>
      </c>
      <c r="CP58" s="130">
        <v>60.0</v>
      </c>
      <c r="CQ58" s="223">
        <f t="shared" si="98"/>
        <v>2</v>
      </c>
      <c r="CR58" s="130">
        <v>8.0</v>
      </c>
      <c r="CS58" s="130">
        <v>30.0</v>
      </c>
      <c r="CT58" s="130">
        <v>9.5</v>
      </c>
      <c r="CU58" s="130">
        <v>8.5</v>
      </c>
      <c r="CV58" s="130">
        <v>3.0</v>
      </c>
      <c r="CW58" s="130">
        <v>0.0</v>
      </c>
      <c r="CX58" s="130">
        <v>0.0</v>
      </c>
      <c r="CY58" s="130">
        <v>0.0</v>
      </c>
      <c r="CZ58" s="130">
        <v>0.0</v>
      </c>
      <c r="DA58" s="130">
        <v>0.0</v>
      </c>
      <c r="DB58" s="130">
        <v>3.0</v>
      </c>
      <c r="DC58" s="130">
        <v>0.0</v>
      </c>
      <c r="DD58" s="130">
        <v>3.0</v>
      </c>
      <c r="DG58" s="303">
        <f t="shared" si="39"/>
        <v>6</v>
      </c>
      <c r="DH58" s="130">
        <v>2.0</v>
      </c>
      <c r="DI58" s="130">
        <v>0.0</v>
      </c>
      <c r="DJ58" s="130">
        <v>1.0</v>
      </c>
      <c r="DK58" s="130">
        <v>2.0</v>
      </c>
      <c r="DL58" s="302">
        <f t="shared" si="27"/>
        <v>89.47368421</v>
      </c>
      <c r="DM58" s="302">
        <f t="shared" si="28"/>
        <v>0</v>
      </c>
      <c r="DN58" s="302">
        <f t="shared" si="29"/>
        <v>1</v>
      </c>
      <c r="DO58" s="302">
        <f t="shared" si="30"/>
        <v>3</v>
      </c>
      <c r="DP58" s="302">
        <f t="shared" si="31"/>
        <v>2</v>
      </c>
      <c r="DQ58" s="302">
        <f t="shared" si="32"/>
        <v>0</v>
      </c>
      <c r="DR58" s="302">
        <f t="shared" ref="DR58:DS58" si="105">(DH58)</f>
        <v>2</v>
      </c>
      <c r="DS58" s="302">
        <f t="shared" si="105"/>
        <v>0</v>
      </c>
      <c r="DT58" s="304">
        <f t="shared" si="34"/>
        <v>8</v>
      </c>
      <c r="DU58" s="304" t="str">
        <f t="shared" si="35"/>
        <v>poor sleep quality</v>
      </c>
      <c r="DV58" s="130">
        <v>3.0</v>
      </c>
      <c r="DW58" s="130" t="s">
        <v>489</v>
      </c>
      <c r="DX58" s="305" t="s">
        <v>146</v>
      </c>
      <c r="DY58" s="305">
        <v>1.0</v>
      </c>
      <c r="DZ58" s="305" t="s">
        <v>131</v>
      </c>
      <c r="EA58" s="305" t="s">
        <v>157</v>
      </c>
      <c r="EB58" s="305"/>
      <c r="EC58" s="305" t="s">
        <v>139</v>
      </c>
      <c r="ED58" s="305"/>
      <c r="EE58" s="305"/>
      <c r="EF58" s="305" t="s">
        <v>141</v>
      </c>
      <c r="EG58" s="305">
        <f t="shared" si="93"/>
        <v>1326</v>
      </c>
      <c r="EH58" s="305">
        <f t="shared" si="94"/>
        <v>1051</v>
      </c>
      <c r="EI58" s="130">
        <f t="shared" si="23"/>
        <v>27.20233747</v>
      </c>
    </row>
    <row r="59" ht="15.75" customHeight="1">
      <c r="A59" s="140" t="s">
        <v>491</v>
      </c>
      <c r="B59" s="54" t="s">
        <v>175</v>
      </c>
      <c r="C59" s="296">
        <v>45248.0</v>
      </c>
      <c r="D59" s="130">
        <v>61.0</v>
      </c>
      <c r="E59" s="130" t="s">
        <v>130</v>
      </c>
      <c r="F59" s="130">
        <v>166.0</v>
      </c>
      <c r="G59" s="130">
        <v>77.0</v>
      </c>
      <c r="H59" s="298" t="s">
        <v>131</v>
      </c>
      <c r="I59" s="130">
        <v>3.0</v>
      </c>
      <c r="J59" s="299">
        <v>44459.0</v>
      </c>
      <c r="K59" s="130" t="s">
        <v>131</v>
      </c>
      <c r="L59" s="130">
        <v>1.0</v>
      </c>
      <c r="M59" s="299">
        <v>44562.0</v>
      </c>
      <c r="N59" s="130">
        <v>0.0</v>
      </c>
      <c r="O59" s="299">
        <v>44562.0</v>
      </c>
      <c r="P59" s="130" t="s">
        <v>132</v>
      </c>
      <c r="S59" s="327"/>
      <c r="V59" s="121" t="str">
        <f t="shared" si="97"/>
        <v>Paciente ambulatorio</v>
      </c>
      <c r="W59" s="130" t="s">
        <v>176</v>
      </c>
      <c r="X59" s="130" t="s">
        <v>132</v>
      </c>
      <c r="Y59" s="130">
        <v>2.0</v>
      </c>
      <c r="Z59" s="130">
        <v>2.0</v>
      </c>
      <c r="AA59" s="130">
        <v>3.0</v>
      </c>
      <c r="AB59" s="130">
        <v>2.0</v>
      </c>
      <c r="AC59" s="130">
        <v>3.0</v>
      </c>
      <c r="AD59" s="130">
        <v>1.0</v>
      </c>
      <c r="AE59" s="130">
        <v>1.0</v>
      </c>
      <c r="AF59" s="130">
        <v>1.0</v>
      </c>
      <c r="AG59" s="130">
        <v>1.0</v>
      </c>
      <c r="AH59" s="130">
        <v>1.0</v>
      </c>
      <c r="AI59" s="130">
        <v>1.0</v>
      </c>
      <c r="AJ59" s="130">
        <v>1.0</v>
      </c>
      <c r="AL59" s="298" t="s">
        <v>132</v>
      </c>
      <c r="AM59" s="130" t="s">
        <v>132</v>
      </c>
      <c r="AN59" s="130" t="s">
        <v>132</v>
      </c>
      <c r="AO59" s="130" t="s">
        <v>131</v>
      </c>
      <c r="AP59" s="130" t="s">
        <v>132</v>
      </c>
      <c r="AQ59" s="130" t="s">
        <v>132</v>
      </c>
      <c r="AR59" s="130" t="s">
        <v>132</v>
      </c>
      <c r="AS59" s="130" t="s">
        <v>132</v>
      </c>
      <c r="AT59" s="130" t="s">
        <v>132</v>
      </c>
      <c r="AU59" s="130" t="s">
        <v>132</v>
      </c>
      <c r="AV59" s="130" t="s">
        <v>132</v>
      </c>
      <c r="AX59" s="130" t="s">
        <v>132</v>
      </c>
      <c r="BB59" s="130" t="s">
        <v>145</v>
      </c>
      <c r="BD59" s="298">
        <v>1.0</v>
      </c>
      <c r="BE59" s="130">
        <v>2.0</v>
      </c>
      <c r="BF59" s="130">
        <v>1.0</v>
      </c>
      <c r="BG59" s="130">
        <v>2.0</v>
      </c>
      <c r="BH59" s="130">
        <v>2.0</v>
      </c>
      <c r="BI59" s="301" t="str">
        <f t="shared" si="3"/>
        <v>12122</v>
      </c>
      <c r="BJ59" s="130">
        <v>70.0</v>
      </c>
      <c r="BK59" s="130">
        <v>2.0</v>
      </c>
      <c r="BL59" s="130">
        <v>3.0</v>
      </c>
      <c r="BM59" s="130">
        <v>5.0</v>
      </c>
      <c r="BN59" s="130">
        <v>2.0</v>
      </c>
      <c r="BO59" s="130">
        <v>2.0</v>
      </c>
      <c r="BP59" s="130">
        <v>4.0</v>
      </c>
      <c r="BQ59" s="130">
        <v>5.0</v>
      </c>
      <c r="BR59" s="130">
        <v>2.0</v>
      </c>
      <c r="BS59" s="130">
        <v>2.0</v>
      </c>
      <c r="BT59" s="130">
        <v>2.0</v>
      </c>
      <c r="BU59" s="302">
        <f t="shared" si="4"/>
        <v>4</v>
      </c>
      <c r="BV59" s="302">
        <f t="shared" si="90"/>
        <v>4</v>
      </c>
      <c r="BW59" s="302">
        <f t="shared" si="91"/>
        <v>31</v>
      </c>
      <c r="BX59" s="302" t="str">
        <f t="shared" si="7"/>
        <v>FATIGA</v>
      </c>
      <c r="BY59" s="130">
        <v>0.0</v>
      </c>
      <c r="BZ59" s="130">
        <v>0.0</v>
      </c>
      <c r="CA59" s="130">
        <v>0.0</v>
      </c>
      <c r="CB59" s="130">
        <v>0.0</v>
      </c>
      <c r="CC59" s="130">
        <v>0.0</v>
      </c>
      <c r="CD59" s="130">
        <v>0.0</v>
      </c>
      <c r="CE59" s="130">
        <v>2.0</v>
      </c>
      <c r="CF59" s="130">
        <v>1.0</v>
      </c>
      <c r="CG59" s="130">
        <v>0.0</v>
      </c>
      <c r="CH59" s="130">
        <v>10.0</v>
      </c>
      <c r="CI59" s="130">
        <v>0.0</v>
      </c>
      <c r="CJ59" s="302">
        <f t="shared" si="26"/>
        <v>396</v>
      </c>
      <c r="CK59" s="301">
        <f t="shared" si="9"/>
        <v>2</v>
      </c>
      <c r="CL59" s="301" t="b">
        <f>IF(CJ60&gt;3000,IF(CK60&gt;6,"Nivel de actividad física alto"),IF(CJ60&gt;1500,IF(BY60&gt;2,"Nivel de actividad física alto")))</f>
        <v>0</v>
      </c>
      <c r="CM59" s="301" t="b">
        <f t="shared" si="10"/>
        <v>0</v>
      </c>
      <c r="CN59" s="208" t="str">
        <f t="shared" si="11"/>
        <v>Nivel de actividad física bajo</v>
      </c>
      <c r="CO59" s="130">
        <v>12.0</v>
      </c>
      <c r="CP59" s="130">
        <v>5.0</v>
      </c>
      <c r="CQ59" s="223">
        <f t="shared" si="98"/>
        <v>0</v>
      </c>
      <c r="CR59" s="130">
        <v>8.0</v>
      </c>
      <c r="CS59" s="130">
        <v>30.0</v>
      </c>
      <c r="CT59" s="130">
        <v>8.5</v>
      </c>
      <c r="CU59" s="130">
        <v>8.5</v>
      </c>
      <c r="CV59" s="130">
        <v>2.0</v>
      </c>
      <c r="CW59" s="130">
        <v>3.0</v>
      </c>
      <c r="CX59" s="130">
        <v>3.0</v>
      </c>
      <c r="CY59" s="130">
        <v>0.0</v>
      </c>
      <c r="CZ59" s="130">
        <v>1.0</v>
      </c>
      <c r="DA59" s="130">
        <v>0.0</v>
      </c>
      <c r="DB59" s="130">
        <v>1.0</v>
      </c>
      <c r="DC59" s="130">
        <v>1.0</v>
      </c>
      <c r="DD59" s="130">
        <v>0.0</v>
      </c>
      <c r="DG59" s="303">
        <f t="shared" si="39"/>
        <v>9</v>
      </c>
      <c r="DH59" s="130">
        <v>1.0</v>
      </c>
      <c r="DI59" s="130">
        <v>3.0</v>
      </c>
      <c r="DJ59" s="130">
        <v>1.0</v>
      </c>
      <c r="DK59" s="130">
        <v>3.0</v>
      </c>
      <c r="DL59" s="302">
        <f t="shared" si="27"/>
        <v>100</v>
      </c>
      <c r="DM59" s="302">
        <f t="shared" si="28"/>
        <v>0</v>
      </c>
      <c r="DN59" s="302">
        <f t="shared" si="29"/>
        <v>1</v>
      </c>
      <c r="DO59" s="302">
        <f t="shared" si="30"/>
        <v>1</v>
      </c>
      <c r="DP59" s="302">
        <f t="shared" si="31"/>
        <v>2</v>
      </c>
      <c r="DQ59" s="302">
        <f t="shared" si="32"/>
        <v>0</v>
      </c>
      <c r="DR59" s="302">
        <f t="shared" ref="DR59:DS59" si="106">(DH59)</f>
        <v>1</v>
      </c>
      <c r="DS59" s="302">
        <f t="shared" si="106"/>
        <v>3</v>
      </c>
      <c r="DT59" s="304">
        <f t="shared" si="34"/>
        <v>8</v>
      </c>
      <c r="DU59" s="304" t="str">
        <f t="shared" si="35"/>
        <v>poor sleep quality</v>
      </c>
      <c r="DV59" s="130">
        <v>2.0</v>
      </c>
      <c r="DW59" s="130" t="s">
        <v>489</v>
      </c>
      <c r="DX59" s="305" t="s">
        <v>146</v>
      </c>
      <c r="DY59" s="305">
        <v>2.0</v>
      </c>
      <c r="DZ59" s="305" t="s">
        <v>131</v>
      </c>
      <c r="EA59" s="305" t="s">
        <v>147</v>
      </c>
      <c r="EB59" s="305"/>
      <c r="EC59" s="305" t="s">
        <v>139</v>
      </c>
      <c r="ED59" s="305"/>
      <c r="EE59" s="305"/>
      <c r="EF59" s="305" t="s">
        <v>158</v>
      </c>
      <c r="EG59" s="305">
        <f t="shared" si="93"/>
        <v>686</v>
      </c>
      <c r="EH59" s="305">
        <f t="shared" si="94"/>
        <v>686</v>
      </c>
      <c r="EI59" s="130">
        <f t="shared" si="23"/>
        <v>27.94309769</v>
      </c>
    </row>
    <row r="60" ht="15.75" customHeight="1">
      <c r="A60" s="140" t="s">
        <v>492</v>
      </c>
      <c r="B60" s="54" t="s">
        <v>175</v>
      </c>
      <c r="C60" s="296">
        <v>45282.0</v>
      </c>
      <c r="D60" s="130">
        <v>51.0</v>
      </c>
      <c r="E60" s="130" t="s">
        <v>130</v>
      </c>
      <c r="F60" s="130">
        <v>161.0</v>
      </c>
      <c r="G60" s="130">
        <v>85.0</v>
      </c>
      <c r="H60" s="298" t="s">
        <v>131</v>
      </c>
      <c r="I60" s="130">
        <v>3.0</v>
      </c>
      <c r="J60" s="299" t="s">
        <v>761</v>
      </c>
      <c r="K60" s="130" t="s">
        <v>131</v>
      </c>
      <c r="L60" s="130">
        <v>1.0</v>
      </c>
      <c r="M60" s="299">
        <v>43952.0</v>
      </c>
      <c r="N60" s="130">
        <v>0.0</v>
      </c>
      <c r="O60" s="299">
        <v>44562.0</v>
      </c>
      <c r="P60" s="130" t="s">
        <v>132</v>
      </c>
      <c r="S60" s="327"/>
      <c r="V60" s="121" t="str">
        <f t="shared" si="97"/>
        <v>Paciente ambulatorio</v>
      </c>
      <c r="W60" s="130" t="s">
        <v>176</v>
      </c>
      <c r="X60" s="130" t="s">
        <v>132</v>
      </c>
      <c r="Y60" s="130">
        <v>2.0</v>
      </c>
      <c r="Z60" s="130">
        <v>1.0</v>
      </c>
      <c r="AA60" s="130">
        <v>3.0</v>
      </c>
      <c r="AB60" s="130">
        <v>3.0</v>
      </c>
      <c r="AC60" s="130">
        <v>1.0</v>
      </c>
      <c r="AD60" s="130">
        <v>2.0</v>
      </c>
      <c r="AE60" s="130">
        <v>1.0</v>
      </c>
      <c r="AF60" s="130">
        <v>3.0</v>
      </c>
      <c r="AG60" s="130">
        <v>3.0</v>
      </c>
      <c r="AH60" s="130">
        <v>3.0</v>
      </c>
      <c r="AI60" s="130">
        <v>1.0</v>
      </c>
      <c r="AJ60" s="130">
        <v>3.0</v>
      </c>
      <c r="AK60" s="130" t="s">
        <v>464</v>
      </c>
      <c r="AL60" s="298" t="s">
        <v>131</v>
      </c>
      <c r="AM60" s="130" t="s">
        <v>132</v>
      </c>
      <c r="AN60" s="130" t="s">
        <v>132</v>
      </c>
      <c r="AO60" s="130" t="s">
        <v>131</v>
      </c>
      <c r="AP60" s="130" t="s">
        <v>132</v>
      </c>
      <c r="AQ60" s="130" t="s">
        <v>132</v>
      </c>
      <c r="AR60" s="130" t="s">
        <v>132</v>
      </c>
      <c r="AS60" s="130" t="s">
        <v>131</v>
      </c>
      <c r="AT60" s="130" t="s">
        <v>132</v>
      </c>
      <c r="AU60" s="130" t="s">
        <v>132</v>
      </c>
      <c r="AV60" s="130" t="s">
        <v>132</v>
      </c>
      <c r="AX60" s="130" t="s">
        <v>132</v>
      </c>
      <c r="BB60" s="130" t="s">
        <v>145</v>
      </c>
      <c r="BD60" s="298">
        <v>1.0</v>
      </c>
      <c r="BE60" s="130">
        <v>1.0</v>
      </c>
      <c r="BF60" s="130">
        <v>2.0</v>
      </c>
      <c r="BG60" s="130">
        <v>2.0</v>
      </c>
      <c r="BH60" s="130">
        <v>2.0</v>
      </c>
      <c r="BI60" s="301" t="str">
        <f t="shared" si="3"/>
        <v>11222</v>
      </c>
      <c r="BJ60" s="130">
        <v>80.0</v>
      </c>
      <c r="BK60" s="130">
        <v>4.0</v>
      </c>
      <c r="BL60" s="130">
        <v>4.0</v>
      </c>
      <c r="BM60" s="130">
        <v>2.0</v>
      </c>
      <c r="BN60" s="130">
        <v>4.0</v>
      </c>
      <c r="BO60" s="130">
        <v>2.0</v>
      </c>
      <c r="BP60" s="130">
        <v>2.0</v>
      </c>
      <c r="BQ60" s="130">
        <v>1.0</v>
      </c>
      <c r="BR60" s="130">
        <v>2.0</v>
      </c>
      <c r="BS60" s="130">
        <v>2.0</v>
      </c>
      <c r="BT60" s="130">
        <v>4.0</v>
      </c>
      <c r="BU60" s="302">
        <f t="shared" si="4"/>
        <v>2</v>
      </c>
      <c r="BV60" s="302">
        <f t="shared" si="90"/>
        <v>2</v>
      </c>
      <c r="BW60" s="302">
        <f t="shared" si="91"/>
        <v>25</v>
      </c>
      <c r="BX60" s="302" t="str">
        <f t="shared" si="7"/>
        <v>FATIGA</v>
      </c>
      <c r="BY60" s="130">
        <v>2.0</v>
      </c>
      <c r="BZ60" s="130">
        <v>0.0</v>
      </c>
      <c r="CA60" s="130">
        <v>60.0</v>
      </c>
      <c r="CB60" s="130">
        <v>0.0</v>
      </c>
      <c r="CC60" s="130">
        <v>0.0</v>
      </c>
      <c r="CD60" s="130">
        <v>0.0</v>
      </c>
      <c r="CE60" s="130">
        <v>7.0</v>
      </c>
      <c r="CF60" s="130">
        <v>0.0</v>
      </c>
      <c r="CG60" s="130">
        <v>10.0</v>
      </c>
      <c r="CH60" s="130">
        <v>0.0</v>
      </c>
      <c r="CI60" s="130">
        <v>30.0</v>
      </c>
      <c r="CJ60" s="302">
        <f t="shared" si="26"/>
        <v>1191</v>
      </c>
      <c r="CK60" s="301">
        <f t="shared" si="9"/>
        <v>9</v>
      </c>
      <c r="CL60" s="301" t="str">
        <f>IF(#REF!&gt;3000,IF(#REF!&gt;6,"Nivel de actividad física alto"),IF(#REF!&gt;1500,IF(#REF!&gt;2,"Nivel de actividad física alto")))</f>
        <v>#REF!</v>
      </c>
      <c r="CM60" s="301" t="b">
        <f t="shared" si="10"/>
        <v>0</v>
      </c>
      <c r="CN60" s="208" t="str">
        <f t="shared" si="11"/>
        <v>#REF!</v>
      </c>
      <c r="CO60" s="130">
        <v>12.0</v>
      </c>
      <c r="CP60" s="130">
        <v>5.0</v>
      </c>
      <c r="CQ60" s="223">
        <f t="shared" si="98"/>
        <v>0</v>
      </c>
      <c r="CR60" s="130">
        <v>6.0</v>
      </c>
      <c r="CS60" s="130">
        <v>30.0</v>
      </c>
      <c r="CT60" s="130">
        <v>6.5</v>
      </c>
      <c r="CU60" s="130">
        <v>7.0</v>
      </c>
      <c r="CV60" s="130">
        <v>0.0</v>
      </c>
      <c r="CW60" s="130">
        <v>2.0</v>
      </c>
      <c r="CX60" s="130">
        <v>2.0</v>
      </c>
      <c r="CY60" s="130">
        <v>0.0</v>
      </c>
      <c r="CZ60" s="130">
        <v>1.0</v>
      </c>
      <c r="DA60" s="130">
        <v>1.0</v>
      </c>
      <c r="DB60" s="130">
        <v>1.0</v>
      </c>
      <c r="DC60" s="130">
        <v>0.0</v>
      </c>
      <c r="DD60" s="130">
        <v>0.0</v>
      </c>
      <c r="DE60" s="130">
        <v>3.0</v>
      </c>
      <c r="DF60" s="130" t="s">
        <v>493</v>
      </c>
      <c r="DG60" s="303">
        <f t="shared" si="39"/>
        <v>10</v>
      </c>
      <c r="DH60" s="130">
        <v>2.0</v>
      </c>
      <c r="DI60" s="130">
        <v>0.0</v>
      </c>
      <c r="DJ60" s="130">
        <v>0.0</v>
      </c>
      <c r="DK60" s="130">
        <v>1.0</v>
      </c>
      <c r="DL60" s="302">
        <f t="shared" si="27"/>
        <v>107.6923077</v>
      </c>
      <c r="DM60" s="302">
        <f t="shared" si="28"/>
        <v>0</v>
      </c>
      <c r="DN60" s="302">
        <f t="shared" si="29"/>
        <v>2</v>
      </c>
      <c r="DO60" s="302">
        <f t="shared" si="30"/>
        <v>0</v>
      </c>
      <c r="DP60" s="302">
        <f t="shared" si="31"/>
        <v>1</v>
      </c>
      <c r="DQ60" s="302">
        <f t="shared" si="32"/>
        <v>0</v>
      </c>
      <c r="DR60" s="302">
        <f t="shared" ref="DR60:DS60" si="107">(DH60)</f>
        <v>2</v>
      </c>
      <c r="DS60" s="302">
        <f t="shared" si="107"/>
        <v>0</v>
      </c>
      <c r="DT60" s="304">
        <f t="shared" si="34"/>
        <v>5</v>
      </c>
      <c r="DU60" s="304" t="str">
        <f t="shared" si="35"/>
        <v>good sleep quality</v>
      </c>
      <c r="DV60" s="130">
        <v>4.0</v>
      </c>
      <c r="DW60" s="130" t="s">
        <v>489</v>
      </c>
      <c r="DX60" s="305" t="s">
        <v>213</v>
      </c>
      <c r="DY60" s="305">
        <v>1.0</v>
      </c>
      <c r="DZ60" s="305" t="s">
        <v>131</v>
      </c>
      <c r="EA60" s="305" t="s">
        <v>178</v>
      </c>
      <c r="EB60" s="305"/>
      <c r="EC60" s="305" t="s">
        <v>139</v>
      </c>
      <c r="ED60" s="305"/>
      <c r="EE60" s="305" t="s">
        <v>132</v>
      </c>
      <c r="EF60" s="305" t="s">
        <v>151</v>
      </c>
      <c r="EG60" s="305">
        <f t="shared" si="93"/>
        <v>1330</v>
      </c>
      <c r="EH60" s="305">
        <f t="shared" si="94"/>
        <v>720</v>
      </c>
      <c r="EI60" s="130">
        <f t="shared" si="23"/>
        <v>32.79194476</v>
      </c>
    </row>
    <row r="61" ht="15.75" customHeight="1">
      <c r="A61" s="328" t="s">
        <v>500</v>
      </c>
      <c r="B61" s="329" t="s">
        <v>175</v>
      </c>
      <c r="C61" s="330">
        <v>45458.0</v>
      </c>
      <c r="D61" s="331">
        <v>41.0</v>
      </c>
      <c r="E61" s="331" t="s">
        <v>130</v>
      </c>
      <c r="F61" s="331">
        <v>168.0</v>
      </c>
      <c r="G61" s="332">
        <v>95.0</v>
      </c>
      <c r="H61" s="333" t="s">
        <v>131</v>
      </c>
      <c r="I61" s="331">
        <v>2.0</v>
      </c>
      <c r="J61" s="334"/>
      <c r="K61" s="331" t="s">
        <v>131</v>
      </c>
      <c r="L61" s="331">
        <v>1.0</v>
      </c>
      <c r="M61" s="335">
        <v>44574.0</v>
      </c>
      <c r="N61" s="115"/>
      <c r="O61" s="334"/>
      <c r="P61" s="331" t="s">
        <v>132</v>
      </c>
      <c r="Q61" s="336"/>
      <c r="R61" s="336"/>
      <c r="S61" s="336"/>
      <c r="T61" s="336"/>
      <c r="U61" s="336"/>
      <c r="V61" s="337" t="str">
        <f t="shared" si="97"/>
        <v>Paciente ambulatorio</v>
      </c>
      <c r="W61" s="331" t="s">
        <v>183</v>
      </c>
      <c r="X61" s="331" t="s">
        <v>132</v>
      </c>
      <c r="Y61" s="331">
        <v>2.0</v>
      </c>
      <c r="Z61" s="331">
        <v>2.0</v>
      </c>
      <c r="AA61" s="331">
        <v>2.0</v>
      </c>
      <c r="AB61" s="331">
        <v>2.0</v>
      </c>
      <c r="AC61" s="331">
        <v>2.0</v>
      </c>
      <c r="AD61" s="331">
        <v>1.0</v>
      </c>
      <c r="AE61" s="331">
        <v>2.0</v>
      </c>
      <c r="AF61" s="331">
        <v>1.0</v>
      </c>
      <c r="AG61" s="331">
        <v>1.0</v>
      </c>
      <c r="AH61" s="331">
        <v>3.0</v>
      </c>
      <c r="AI61" s="331">
        <v>1.0</v>
      </c>
      <c r="AJ61" s="331">
        <v>1.0</v>
      </c>
      <c r="AK61" s="332" t="s">
        <v>501</v>
      </c>
      <c r="AL61" s="115"/>
      <c r="AM61" s="115"/>
      <c r="AN61" s="115"/>
      <c r="AO61" s="115"/>
      <c r="AP61" s="115"/>
      <c r="AQ61" s="115"/>
      <c r="AR61" s="115"/>
      <c r="AS61" s="115"/>
      <c r="AT61" s="115"/>
      <c r="AU61" s="115"/>
      <c r="AV61" s="115"/>
      <c r="AW61" s="115"/>
      <c r="AX61" s="115"/>
      <c r="AY61" s="115"/>
      <c r="AZ61" s="115"/>
      <c r="BA61" s="115"/>
      <c r="BB61" s="115"/>
      <c r="BC61" s="338"/>
      <c r="BD61" s="339"/>
      <c r="BE61" s="115"/>
      <c r="BF61" s="115"/>
      <c r="BG61" s="115"/>
      <c r="BH61" s="115"/>
      <c r="BI61" s="340" t="str">
        <f t="shared" si="3"/>
        <v/>
      </c>
      <c r="BJ61" s="331">
        <v>65.0</v>
      </c>
      <c r="BK61" s="331">
        <v>3.0</v>
      </c>
      <c r="BL61" s="331">
        <v>2.0</v>
      </c>
      <c r="BM61" s="331">
        <v>3.0</v>
      </c>
      <c r="BN61" s="331">
        <v>2.0</v>
      </c>
      <c r="BO61" s="331">
        <v>3.0</v>
      </c>
      <c r="BP61" s="331">
        <v>3.0</v>
      </c>
      <c r="BQ61" s="331">
        <v>5.0</v>
      </c>
      <c r="BR61" s="331">
        <v>3.0</v>
      </c>
      <c r="BS61" s="331">
        <v>4.0</v>
      </c>
      <c r="BT61" s="331">
        <v>2.0</v>
      </c>
      <c r="BU61" s="341">
        <f t="shared" si="4"/>
        <v>4</v>
      </c>
      <c r="BV61" s="341">
        <f t="shared" si="90"/>
        <v>4</v>
      </c>
      <c r="BW61" s="341">
        <f t="shared" si="91"/>
        <v>32</v>
      </c>
      <c r="BX61" s="341" t="str">
        <f t="shared" si="7"/>
        <v>FATIGA</v>
      </c>
      <c r="BY61" s="115"/>
      <c r="BZ61" s="115"/>
      <c r="CA61" s="115"/>
      <c r="CB61" s="115"/>
      <c r="CC61" s="115"/>
      <c r="CD61" s="115"/>
      <c r="CE61" s="115"/>
      <c r="CF61" s="115"/>
      <c r="CG61" s="115"/>
      <c r="CH61" s="115"/>
      <c r="CI61" s="115"/>
      <c r="CJ61" s="341">
        <f t="shared" si="26"/>
        <v>0</v>
      </c>
      <c r="CK61" s="340">
        <f t="shared" si="9"/>
        <v>0</v>
      </c>
      <c r="CL61" s="340" t="str">
        <f t="shared" ref="CL61:CL67" si="109">IF(CJ62&gt;3000,IF(CK62&gt;6,"Nivel de actividad física alto"),IF(CJ62&gt;1500,IF(BY62&gt;2,"Nivel de actividad física alto")))</f>
        <v>Nivel de actividad física alto</v>
      </c>
      <c r="CM61" s="340" t="b">
        <f t="shared" si="10"/>
        <v>0</v>
      </c>
      <c r="CN61" s="342" t="str">
        <f t="shared" si="11"/>
        <v>Nivel de actividad física alto</v>
      </c>
      <c r="CO61" s="331">
        <v>0.0</v>
      </c>
      <c r="CP61" s="331">
        <v>30.0</v>
      </c>
      <c r="CQ61" s="343">
        <f t="shared" si="98"/>
        <v>1</v>
      </c>
      <c r="CR61" s="331">
        <v>8.0</v>
      </c>
      <c r="CS61" s="331">
        <v>0.0</v>
      </c>
      <c r="CT61" s="331">
        <v>8.0</v>
      </c>
      <c r="CU61" s="331">
        <v>4.0</v>
      </c>
      <c r="CV61" s="331">
        <v>0.0</v>
      </c>
      <c r="CW61" s="331">
        <v>3.0</v>
      </c>
      <c r="CX61" s="331">
        <v>0.0</v>
      </c>
      <c r="CY61" s="331">
        <v>0.0</v>
      </c>
      <c r="CZ61" s="331">
        <v>0.0</v>
      </c>
      <c r="DA61" s="331">
        <v>1.0</v>
      </c>
      <c r="DB61" s="331">
        <v>0.0</v>
      </c>
      <c r="DC61" s="331">
        <v>1.0</v>
      </c>
      <c r="DD61" s="331">
        <v>0.0</v>
      </c>
      <c r="DE61" s="331">
        <v>2.0</v>
      </c>
      <c r="DF61" s="331" t="s">
        <v>502</v>
      </c>
      <c r="DG61" s="344">
        <f t="shared" si="39"/>
        <v>7</v>
      </c>
      <c r="DH61" s="331">
        <v>2.0</v>
      </c>
      <c r="DI61" s="331">
        <v>0.0</v>
      </c>
      <c r="DJ61" s="331">
        <v>3.0</v>
      </c>
      <c r="DK61" s="331">
        <v>3.0</v>
      </c>
      <c r="DL61" s="341">
        <f t="shared" si="27"/>
        <v>50</v>
      </c>
      <c r="DM61" s="341">
        <f t="shared" si="28"/>
        <v>3</v>
      </c>
      <c r="DN61" s="341">
        <f t="shared" si="29"/>
        <v>1</v>
      </c>
      <c r="DO61" s="341">
        <f t="shared" si="30"/>
        <v>1</v>
      </c>
      <c r="DP61" s="341">
        <f t="shared" si="31"/>
        <v>3</v>
      </c>
      <c r="DQ61" s="341">
        <f t="shared" si="32"/>
        <v>3</v>
      </c>
      <c r="DR61" s="341">
        <f t="shared" ref="DR61:DS61" si="108">(DH61)</f>
        <v>2</v>
      </c>
      <c r="DS61" s="341">
        <f t="shared" si="108"/>
        <v>0</v>
      </c>
      <c r="DT61" s="345">
        <f t="shared" si="34"/>
        <v>13</v>
      </c>
      <c r="DU61" s="345" t="str">
        <f t="shared" si="35"/>
        <v>poor sleep quality</v>
      </c>
      <c r="DV61" s="346"/>
      <c r="DW61" s="346"/>
      <c r="DX61" s="346"/>
      <c r="DY61" s="346"/>
      <c r="DZ61" s="346"/>
      <c r="EA61" s="346"/>
      <c r="EB61" s="346"/>
      <c r="EC61" s="346"/>
      <c r="ED61" s="346"/>
      <c r="EE61" s="346"/>
      <c r="EF61" s="346"/>
      <c r="EG61" s="346">
        <f t="shared" si="93"/>
        <v>884</v>
      </c>
      <c r="EH61" s="346">
        <f t="shared" si="94"/>
        <v>45458</v>
      </c>
      <c r="EI61" s="115">
        <f t="shared" si="23"/>
        <v>33.65929705</v>
      </c>
    </row>
    <row r="62" ht="15.75" customHeight="1">
      <c r="A62" s="140" t="s">
        <v>503</v>
      </c>
      <c r="B62" s="54" t="s">
        <v>175</v>
      </c>
      <c r="C62" s="316">
        <v>45458.0</v>
      </c>
      <c r="D62" s="134">
        <v>42.0</v>
      </c>
      <c r="E62" s="132" t="s">
        <v>153</v>
      </c>
      <c r="F62" s="134">
        <v>173.0</v>
      </c>
      <c r="G62" s="134">
        <v>75.0</v>
      </c>
      <c r="H62" s="318" t="s">
        <v>131</v>
      </c>
      <c r="I62" s="134">
        <v>2.0</v>
      </c>
      <c r="K62" s="132" t="s">
        <v>131</v>
      </c>
      <c r="L62" s="134">
        <v>2.0</v>
      </c>
      <c r="M62" s="347">
        <v>44075.0</v>
      </c>
      <c r="N62" s="132">
        <v>0.0</v>
      </c>
      <c r="O62" s="299">
        <v>44562.0</v>
      </c>
      <c r="P62" s="132" t="s">
        <v>132</v>
      </c>
      <c r="S62" s="327"/>
      <c r="V62" s="121" t="str">
        <f t="shared" si="97"/>
        <v>Paciente ambulatorio</v>
      </c>
      <c r="W62" s="132" t="s">
        <v>176</v>
      </c>
      <c r="X62" s="132" t="s">
        <v>132</v>
      </c>
      <c r="Y62" s="134">
        <v>1.0</v>
      </c>
      <c r="Z62" s="134">
        <v>1.0</v>
      </c>
      <c r="AA62" s="134">
        <v>1.0</v>
      </c>
      <c r="AB62" s="134">
        <v>2.0</v>
      </c>
      <c r="AC62" s="134">
        <v>1.0</v>
      </c>
      <c r="AD62" s="134">
        <v>1.0</v>
      </c>
      <c r="AE62" s="134">
        <v>1.0</v>
      </c>
      <c r="AF62" s="134">
        <v>1.0</v>
      </c>
      <c r="AG62" s="134">
        <v>3.0</v>
      </c>
      <c r="AH62" s="134">
        <v>3.0</v>
      </c>
      <c r="AI62" s="134">
        <v>1.0</v>
      </c>
      <c r="AJ62" s="134">
        <v>1.0</v>
      </c>
      <c r="AK62" s="317" t="s">
        <v>504</v>
      </c>
      <c r="AL62" s="132" t="s">
        <v>132</v>
      </c>
      <c r="AM62" s="132" t="s">
        <v>132</v>
      </c>
      <c r="AN62" s="132" t="s">
        <v>132</v>
      </c>
      <c r="AO62" s="132" t="s">
        <v>132</v>
      </c>
      <c r="AP62" s="132" t="s">
        <v>132</v>
      </c>
      <c r="AQ62" s="132" t="s">
        <v>132</v>
      </c>
      <c r="AR62" s="132" t="s">
        <v>132</v>
      </c>
      <c r="AS62" s="132" t="s">
        <v>132</v>
      </c>
      <c r="AT62" s="132" t="s">
        <v>132</v>
      </c>
      <c r="AU62" s="132" t="s">
        <v>132</v>
      </c>
      <c r="AV62" s="132" t="s">
        <v>131</v>
      </c>
      <c r="AW62" s="132" t="s">
        <v>505</v>
      </c>
      <c r="AX62" s="132" t="s">
        <v>132</v>
      </c>
      <c r="AY62" s="130"/>
      <c r="BB62" s="132" t="s">
        <v>145</v>
      </c>
      <c r="BC62" s="297"/>
      <c r="BD62" s="134">
        <v>2.0</v>
      </c>
      <c r="BE62" s="134">
        <v>1.0</v>
      </c>
      <c r="BF62" s="134">
        <v>1.0</v>
      </c>
      <c r="BG62" s="134">
        <v>3.0</v>
      </c>
      <c r="BH62" s="134">
        <v>2.0</v>
      </c>
      <c r="BI62" s="301" t="str">
        <f t="shared" si="3"/>
        <v>21132</v>
      </c>
      <c r="BJ62" s="134">
        <v>70.0</v>
      </c>
      <c r="BK62" s="134">
        <v>3.0</v>
      </c>
      <c r="BL62" s="134">
        <v>3.0</v>
      </c>
      <c r="BM62" s="134">
        <v>1.0</v>
      </c>
      <c r="BN62" s="134">
        <v>2.0</v>
      </c>
      <c r="BO62" s="134">
        <v>3.0</v>
      </c>
      <c r="BP62" s="134">
        <v>2.0</v>
      </c>
      <c r="BQ62" s="134">
        <v>2.0</v>
      </c>
      <c r="BR62" s="134">
        <v>2.0</v>
      </c>
      <c r="BS62" s="134">
        <v>4.0</v>
      </c>
      <c r="BT62" s="134">
        <v>2.0</v>
      </c>
      <c r="BU62" s="302">
        <f t="shared" si="4"/>
        <v>4</v>
      </c>
      <c r="BV62" s="302">
        <f t="shared" si="90"/>
        <v>4</v>
      </c>
      <c r="BW62" s="302">
        <f t="shared" si="91"/>
        <v>26</v>
      </c>
      <c r="BX62" s="302" t="str">
        <f t="shared" si="7"/>
        <v>FATIGA</v>
      </c>
      <c r="BY62" s="134">
        <v>3.0</v>
      </c>
      <c r="BZ62" s="134">
        <v>1.0</v>
      </c>
      <c r="CA62" s="134">
        <v>0.0</v>
      </c>
      <c r="CB62" s="134">
        <v>0.0</v>
      </c>
      <c r="CC62" s="134">
        <v>0.0</v>
      </c>
      <c r="CD62" s="134">
        <v>0.0</v>
      </c>
      <c r="CE62" s="134">
        <v>7.0</v>
      </c>
      <c r="CG62" s="134">
        <v>30.0</v>
      </c>
      <c r="CH62" s="134">
        <v>1.0</v>
      </c>
      <c r="CJ62" s="302">
        <f t="shared" si="26"/>
        <v>2133</v>
      </c>
      <c r="CK62" s="301">
        <f t="shared" si="9"/>
        <v>10</v>
      </c>
      <c r="CL62" s="301" t="b">
        <f t="shared" si="109"/>
        <v>0</v>
      </c>
      <c r="CM62" s="301" t="str">
        <f t="shared" si="10"/>
        <v>Nivel de actividad física moderado</v>
      </c>
      <c r="CN62" s="208" t="str">
        <f t="shared" si="11"/>
        <v>Nivel de actividad física moderado</v>
      </c>
      <c r="CO62" s="348">
        <v>0.020833333333333332</v>
      </c>
      <c r="CP62" s="134">
        <v>30.0</v>
      </c>
      <c r="CQ62" s="223">
        <f t="shared" si="98"/>
        <v>1</v>
      </c>
      <c r="CR62" s="134">
        <v>8.0</v>
      </c>
      <c r="CS62" s="134">
        <v>0.0</v>
      </c>
      <c r="CT62" s="134">
        <v>7.5</v>
      </c>
      <c r="CU62" s="134">
        <v>6.0</v>
      </c>
      <c r="CV62" s="134">
        <v>3.0</v>
      </c>
      <c r="CW62" s="134">
        <v>2.0</v>
      </c>
      <c r="CX62" s="134">
        <v>0.0</v>
      </c>
      <c r="CY62" s="134">
        <v>1.0</v>
      </c>
      <c r="CZ62" s="134">
        <v>2.0</v>
      </c>
      <c r="DA62" s="134">
        <v>1.0</v>
      </c>
      <c r="DB62" s="134">
        <v>1.0</v>
      </c>
      <c r="DC62" s="134">
        <v>0.0</v>
      </c>
      <c r="DD62" s="134">
        <v>1.0</v>
      </c>
      <c r="DE62" s="134">
        <v>0.0</v>
      </c>
      <c r="DG62" s="303">
        <f t="shared" si="39"/>
        <v>8</v>
      </c>
      <c r="DH62" s="134">
        <v>2.0</v>
      </c>
      <c r="DI62" s="134">
        <v>0.0</v>
      </c>
      <c r="DJ62" s="134">
        <v>3.0</v>
      </c>
      <c r="DK62" s="134">
        <v>3.0</v>
      </c>
      <c r="DL62" s="302">
        <f t="shared" si="27"/>
        <v>80</v>
      </c>
      <c r="DM62" s="302">
        <f t="shared" si="28"/>
        <v>1</v>
      </c>
      <c r="DN62" s="302">
        <f t="shared" si="29"/>
        <v>1</v>
      </c>
      <c r="DO62" s="302">
        <f t="shared" si="30"/>
        <v>2</v>
      </c>
      <c r="DP62" s="302">
        <f t="shared" si="31"/>
        <v>3</v>
      </c>
      <c r="DQ62" s="302">
        <f t="shared" si="32"/>
        <v>1</v>
      </c>
      <c r="DR62" s="302">
        <f t="shared" ref="DR62:DS62" si="110">(DH62)</f>
        <v>2</v>
      </c>
      <c r="DS62" s="302">
        <f t="shared" si="110"/>
        <v>0</v>
      </c>
      <c r="DT62" s="304">
        <f t="shared" si="34"/>
        <v>10</v>
      </c>
      <c r="DU62" s="304" t="str">
        <f t="shared" si="35"/>
        <v>poor sleep quality</v>
      </c>
      <c r="DV62" s="134">
        <v>2.0</v>
      </c>
      <c r="DW62" s="134" t="s">
        <v>489</v>
      </c>
      <c r="DX62" s="321" t="s">
        <v>207</v>
      </c>
      <c r="DY62" s="321">
        <v>1.0</v>
      </c>
      <c r="DZ62" s="321" t="s">
        <v>131</v>
      </c>
      <c r="EA62" s="321" t="s">
        <v>202</v>
      </c>
      <c r="EB62" s="321"/>
      <c r="EC62" s="321" t="s">
        <v>172</v>
      </c>
      <c r="ED62" s="305"/>
      <c r="EE62" s="321" t="s">
        <v>132</v>
      </c>
      <c r="EF62" s="321" t="s">
        <v>151</v>
      </c>
      <c r="EG62" s="305">
        <f t="shared" si="93"/>
        <v>1383</v>
      </c>
      <c r="EH62" s="305">
        <f t="shared" si="94"/>
        <v>896</v>
      </c>
      <c r="EI62" s="130">
        <f t="shared" si="23"/>
        <v>25.05930703</v>
      </c>
    </row>
    <row r="63" ht="15.75" customHeight="1">
      <c r="A63" s="140" t="s">
        <v>506</v>
      </c>
      <c r="B63" s="54" t="s">
        <v>175</v>
      </c>
      <c r="C63" s="316">
        <v>45458.0</v>
      </c>
      <c r="D63" s="134">
        <v>44.0</v>
      </c>
      <c r="E63" s="132" t="s">
        <v>130</v>
      </c>
      <c r="F63" s="134">
        <v>159.0</v>
      </c>
      <c r="G63" s="134">
        <v>80.0</v>
      </c>
      <c r="H63" s="318" t="s">
        <v>131</v>
      </c>
      <c r="I63" s="134">
        <v>3.0</v>
      </c>
      <c r="J63" s="349">
        <v>44648.0</v>
      </c>
      <c r="K63" s="132" t="s">
        <v>131</v>
      </c>
      <c r="L63" s="134">
        <v>2.0</v>
      </c>
      <c r="M63" s="349">
        <v>44573.0</v>
      </c>
      <c r="N63" s="132">
        <v>1.0</v>
      </c>
      <c r="O63" s="319">
        <v>45383.0</v>
      </c>
      <c r="P63" s="132" t="s">
        <v>132</v>
      </c>
      <c r="S63" s="327"/>
      <c r="V63" s="121" t="str">
        <f t="shared" si="97"/>
        <v>Paciente ambulatorio</v>
      </c>
      <c r="W63" s="132" t="s">
        <v>176</v>
      </c>
      <c r="X63" s="132" t="s">
        <v>132</v>
      </c>
      <c r="Y63" s="134">
        <v>1.0</v>
      </c>
      <c r="Z63" s="134">
        <v>1.0</v>
      </c>
      <c r="AA63" s="134">
        <v>3.0</v>
      </c>
      <c r="AB63" s="134">
        <v>3.0</v>
      </c>
      <c r="AC63" s="134">
        <v>1.0</v>
      </c>
      <c r="AD63" s="134">
        <v>1.0</v>
      </c>
      <c r="AE63" s="134">
        <v>1.0</v>
      </c>
      <c r="AF63" s="134">
        <v>1.0</v>
      </c>
      <c r="AG63" s="134">
        <v>1.0</v>
      </c>
      <c r="AH63" s="134">
        <v>1.0</v>
      </c>
      <c r="AI63" s="134">
        <v>1.0</v>
      </c>
      <c r="AJ63" s="134">
        <v>1.0</v>
      </c>
      <c r="AK63" s="317" t="s">
        <v>507</v>
      </c>
      <c r="AL63" s="132" t="s">
        <v>132</v>
      </c>
      <c r="AM63" s="132" t="s">
        <v>132</v>
      </c>
      <c r="AN63" s="132" t="s">
        <v>132</v>
      </c>
      <c r="AO63" s="132" t="s">
        <v>132</v>
      </c>
      <c r="AP63" s="132" t="s">
        <v>132</v>
      </c>
      <c r="AQ63" s="132" t="s">
        <v>132</v>
      </c>
      <c r="AR63" s="132" t="s">
        <v>132</v>
      </c>
      <c r="AS63" s="132" t="s">
        <v>131</v>
      </c>
      <c r="AT63" s="132" t="s">
        <v>132</v>
      </c>
      <c r="AU63" s="132" t="s">
        <v>132</v>
      </c>
      <c r="AV63" s="132" t="s">
        <v>131</v>
      </c>
      <c r="AW63" s="132" t="s">
        <v>508</v>
      </c>
      <c r="AX63" s="132" t="s">
        <v>131</v>
      </c>
      <c r="AY63" s="132">
        <v>20.0</v>
      </c>
      <c r="BB63" s="132" t="s">
        <v>145</v>
      </c>
      <c r="BC63" s="297"/>
      <c r="BD63" s="134">
        <v>2.0</v>
      </c>
      <c r="BE63" s="134">
        <v>1.0</v>
      </c>
      <c r="BF63" s="134">
        <v>3.0</v>
      </c>
      <c r="BG63" s="134">
        <v>3.0</v>
      </c>
      <c r="BH63" s="134">
        <v>3.0</v>
      </c>
      <c r="BI63" s="301" t="str">
        <f t="shared" si="3"/>
        <v>21333</v>
      </c>
      <c r="BJ63" s="134">
        <v>60.0</v>
      </c>
      <c r="BK63" s="134">
        <v>3.0</v>
      </c>
      <c r="BL63" s="134">
        <v>2.0</v>
      </c>
      <c r="BM63" s="134">
        <v>3.0</v>
      </c>
      <c r="BN63" s="134">
        <v>2.0</v>
      </c>
      <c r="BO63" s="134">
        <v>2.0</v>
      </c>
      <c r="BP63" s="134">
        <v>3.0</v>
      </c>
      <c r="BQ63" s="134">
        <v>3.0</v>
      </c>
      <c r="BR63" s="134">
        <v>4.0</v>
      </c>
      <c r="BS63" s="134">
        <v>3.0</v>
      </c>
      <c r="BT63" s="134">
        <v>4.0</v>
      </c>
      <c r="BU63" s="302">
        <f t="shared" si="4"/>
        <v>4</v>
      </c>
      <c r="BV63" s="302">
        <f t="shared" si="90"/>
        <v>2</v>
      </c>
      <c r="BW63" s="302">
        <f t="shared" si="91"/>
        <v>29</v>
      </c>
      <c r="BX63" s="302" t="str">
        <f t="shared" si="7"/>
        <v>FATIGA</v>
      </c>
      <c r="BY63" s="134">
        <v>0.0</v>
      </c>
      <c r="BZ63" s="134">
        <v>0.0</v>
      </c>
      <c r="CA63" s="134">
        <v>0.0</v>
      </c>
      <c r="CB63" s="134">
        <v>0.0</v>
      </c>
      <c r="CC63" s="134">
        <v>0.0</v>
      </c>
      <c r="CD63" s="134">
        <v>0.0</v>
      </c>
      <c r="CE63" s="134">
        <v>1.0</v>
      </c>
      <c r="CG63" s="134">
        <v>30.0</v>
      </c>
      <c r="CH63" s="134">
        <v>2.0</v>
      </c>
      <c r="CI63" s="134">
        <v>0.0</v>
      </c>
      <c r="CJ63" s="302">
        <f t="shared" si="26"/>
        <v>99</v>
      </c>
      <c r="CK63" s="301">
        <f t="shared" si="9"/>
        <v>1</v>
      </c>
      <c r="CL63" s="301" t="b">
        <f t="shared" si="109"/>
        <v>0</v>
      </c>
      <c r="CM63" s="301" t="b">
        <f t="shared" si="10"/>
        <v>0</v>
      </c>
      <c r="CN63" s="208" t="str">
        <f t="shared" si="11"/>
        <v>Nivel de actividad física bajo</v>
      </c>
      <c r="CO63" s="134">
        <v>21.0</v>
      </c>
      <c r="CP63" s="134">
        <v>15.0</v>
      </c>
      <c r="CQ63" s="223">
        <f t="shared" si="98"/>
        <v>0</v>
      </c>
      <c r="CR63" s="134">
        <v>4.0</v>
      </c>
      <c r="CS63" s="134">
        <v>0.0</v>
      </c>
      <c r="CT63" s="134">
        <v>7.0</v>
      </c>
      <c r="CU63" s="134">
        <v>6.0</v>
      </c>
      <c r="CV63" s="134">
        <v>0.0</v>
      </c>
      <c r="CW63" s="134">
        <v>2.0</v>
      </c>
      <c r="CX63" s="134">
        <v>0.0</v>
      </c>
      <c r="CY63" s="134">
        <v>0.0</v>
      </c>
      <c r="CZ63" s="134">
        <v>2.0</v>
      </c>
      <c r="DA63" s="134">
        <v>2.0</v>
      </c>
      <c r="DB63" s="134">
        <v>0.0</v>
      </c>
      <c r="DC63" s="134">
        <v>1.0</v>
      </c>
      <c r="DD63" s="134">
        <v>0.0</v>
      </c>
      <c r="DE63" s="134">
        <v>2.0</v>
      </c>
      <c r="DF63" s="134" t="s">
        <v>509</v>
      </c>
      <c r="DG63" s="303">
        <f t="shared" si="39"/>
        <v>9</v>
      </c>
      <c r="DH63" s="134">
        <v>2.0</v>
      </c>
      <c r="DI63" s="134">
        <v>3.0</v>
      </c>
      <c r="DJ63" s="134">
        <v>3.0</v>
      </c>
      <c r="DK63" s="134">
        <v>3.0</v>
      </c>
      <c r="DL63" s="302">
        <f t="shared" si="27"/>
        <v>85.71428571</v>
      </c>
      <c r="DM63" s="302">
        <f t="shared" si="28"/>
        <v>1</v>
      </c>
      <c r="DN63" s="302">
        <f t="shared" si="29"/>
        <v>1</v>
      </c>
      <c r="DO63" s="302">
        <f t="shared" si="30"/>
        <v>0</v>
      </c>
      <c r="DP63" s="302">
        <f t="shared" si="31"/>
        <v>3</v>
      </c>
      <c r="DQ63" s="302">
        <f t="shared" si="32"/>
        <v>0</v>
      </c>
      <c r="DR63" s="302">
        <f t="shared" ref="DR63:DS63" si="111">(DH63)</f>
        <v>2</v>
      </c>
      <c r="DS63" s="302">
        <f t="shared" si="111"/>
        <v>3</v>
      </c>
      <c r="DT63" s="304">
        <f t="shared" si="34"/>
        <v>10</v>
      </c>
      <c r="DU63" s="304" t="str">
        <f t="shared" si="35"/>
        <v>poor sleep quality</v>
      </c>
      <c r="DW63" s="134" t="s">
        <v>181</v>
      </c>
      <c r="DX63" s="321" t="s">
        <v>146</v>
      </c>
      <c r="DY63" s="321">
        <v>1.0</v>
      </c>
      <c r="DZ63" s="321" t="s">
        <v>131</v>
      </c>
      <c r="EA63" s="321" t="s">
        <v>162</v>
      </c>
      <c r="EB63" s="321"/>
      <c r="EC63" s="321" t="s">
        <v>139</v>
      </c>
      <c r="ED63" s="321"/>
      <c r="EE63" s="321" t="s">
        <v>131</v>
      </c>
      <c r="EF63" s="321" t="s">
        <v>141</v>
      </c>
      <c r="EG63" s="305">
        <f t="shared" si="93"/>
        <v>885</v>
      </c>
      <c r="EH63" s="305">
        <f t="shared" si="94"/>
        <v>75</v>
      </c>
      <c r="EI63" s="130">
        <f t="shared" si="23"/>
        <v>31.64431787</v>
      </c>
    </row>
    <row r="64" ht="15.75" customHeight="1">
      <c r="A64" s="140" t="s">
        <v>510</v>
      </c>
      <c r="B64" s="54" t="s">
        <v>175</v>
      </c>
      <c r="C64" s="316">
        <v>45458.0</v>
      </c>
      <c r="D64" s="134">
        <v>38.0</v>
      </c>
      <c r="E64" s="130" t="s">
        <v>153</v>
      </c>
      <c r="F64" s="134">
        <v>171.0</v>
      </c>
      <c r="G64" s="134">
        <v>100.0</v>
      </c>
      <c r="H64" s="318" t="s">
        <v>131</v>
      </c>
      <c r="K64" s="132" t="s">
        <v>131</v>
      </c>
      <c r="L64" s="134">
        <v>2.0</v>
      </c>
      <c r="M64" s="347">
        <v>44013.0</v>
      </c>
      <c r="N64" s="132">
        <v>0.0</v>
      </c>
      <c r="O64" s="299">
        <v>44256.0</v>
      </c>
      <c r="P64" s="132" t="s">
        <v>131</v>
      </c>
      <c r="Q64" s="347">
        <v>44013.0</v>
      </c>
      <c r="R64" s="350">
        <v>44069.0</v>
      </c>
      <c r="S64" s="132" t="s">
        <v>132</v>
      </c>
      <c r="U64" s="132" t="s">
        <v>132</v>
      </c>
      <c r="V64" s="121" t="str">
        <f t="shared" si="97"/>
        <v>Internación moderada</v>
      </c>
      <c r="W64" s="132" t="s">
        <v>176</v>
      </c>
      <c r="X64" s="132" t="s">
        <v>132</v>
      </c>
      <c r="Y64" s="134">
        <v>2.0</v>
      </c>
      <c r="Z64" s="134">
        <v>1.0</v>
      </c>
      <c r="AA64" s="134">
        <v>2.0</v>
      </c>
      <c r="AB64" s="134">
        <v>2.0</v>
      </c>
      <c r="AC64" s="134">
        <v>1.0</v>
      </c>
      <c r="AD64" s="134">
        <v>1.0</v>
      </c>
      <c r="AE64" s="134">
        <v>2.0</v>
      </c>
      <c r="AF64" s="134">
        <v>1.0</v>
      </c>
      <c r="AG64" s="134">
        <v>3.0</v>
      </c>
      <c r="AH64" s="134">
        <v>1.0</v>
      </c>
      <c r="AI64" s="134">
        <v>1.0</v>
      </c>
      <c r="AJ64" s="134">
        <v>1.0</v>
      </c>
      <c r="AK64" s="317" t="s">
        <v>511</v>
      </c>
      <c r="AL64" s="132" t="s">
        <v>132</v>
      </c>
      <c r="AM64" s="132" t="s">
        <v>132</v>
      </c>
      <c r="AN64" s="132" t="s">
        <v>132</v>
      </c>
      <c r="AO64" s="132" t="s">
        <v>132</v>
      </c>
      <c r="AP64" s="132" t="s">
        <v>132</v>
      </c>
      <c r="AQ64" s="132" t="s">
        <v>132</v>
      </c>
      <c r="AR64" s="132" t="s">
        <v>132</v>
      </c>
      <c r="AS64" s="132" t="s">
        <v>132</v>
      </c>
      <c r="AT64" s="132" t="s">
        <v>132</v>
      </c>
      <c r="AU64" s="132" t="s">
        <v>132</v>
      </c>
      <c r="AV64" s="132" t="s">
        <v>131</v>
      </c>
      <c r="AW64" s="132" t="s">
        <v>511</v>
      </c>
      <c r="AX64" s="132" t="s">
        <v>132</v>
      </c>
      <c r="AY64" s="130"/>
      <c r="BB64" s="132" t="s">
        <v>145</v>
      </c>
      <c r="BC64" s="297"/>
      <c r="BD64" s="134">
        <v>1.0</v>
      </c>
      <c r="BE64" s="134">
        <v>1.0</v>
      </c>
      <c r="BF64" s="134">
        <v>2.0</v>
      </c>
      <c r="BG64" s="134">
        <v>2.0</v>
      </c>
      <c r="BH64" s="134">
        <v>1.0</v>
      </c>
      <c r="BI64" s="301" t="str">
        <f t="shared" si="3"/>
        <v>11221</v>
      </c>
      <c r="BJ64" s="134">
        <v>75.0</v>
      </c>
      <c r="BK64" s="134">
        <v>2.0</v>
      </c>
      <c r="BL64" s="134">
        <v>3.0</v>
      </c>
      <c r="BM64" s="134">
        <v>3.0</v>
      </c>
      <c r="BN64" s="134">
        <v>2.0</v>
      </c>
      <c r="BO64" s="134">
        <v>3.0</v>
      </c>
      <c r="BP64" s="134">
        <v>4.0</v>
      </c>
      <c r="BQ64" s="134">
        <v>1.0</v>
      </c>
      <c r="BR64" s="134">
        <v>3.0</v>
      </c>
      <c r="BS64" s="134">
        <v>3.0</v>
      </c>
      <c r="BT64" s="134">
        <v>2.0</v>
      </c>
      <c r="BU64" s="302">
        <f t="shared" si="4"/>
        <v>4</v>
      </c>
      <c r="BV64" s="302">
        <f t="shared" si="90"/>
        <v>4</v>
      </c>
      <c r="BW64" s="302">
        <f t="shared" si="91"/>
        <v>28</v>
      </c>
      <c r="BX64" s="302" t="str">
        <f t="shared" si="7"/>
        <v>FATIGA</v>
      </c>
      <c r="BY64" s="134">
        <v>0.0</v>
      </c>
      <c r="BZ64" s="134">
        <v>0.0</v>
      </c>
      <c r="CA64" s="134">
        <v>0.0</v>
      </c>
      <c r="CB64" s="134">
        <v>3.0</v>
      </c>
      <c r="CC64" s="134">
        <v>2.0</v>
      </c>
      <c r="CD64" s="134">
        <v>0.0</v>
      </c>
      <c r="CE64" s="134">
        <v>2.0</v>
      </c>
      <c r="CF64" s="134">
        <v>0.0</v>
      </c>
      <c r="CG64" s="134">
        <v>15.0</v>
      </c>
      <c r="CH64" s="134">
        <v>4.0</v>
      </c>
      <c r="CI64" s="134">
        <v>0.0</v>
      </c>
      <c r="CJ64" s="302">
        <f t="shared" si="26"/>
        <v>1539</v>
      </c>
      <c r="CK64" s="301">
        <f t="shared" si="9"/>
        <v>5</v>
      </c>
      <c r="CL64" s="301" t="b">
        <f t="shared" si="109"/>
        <v>0</v>
      </c>
      <c r="CM64" s="301" t="b">
        <f t="shared" si="10"/>
        <v>0</v>
      </c>
      <c r="CN64" s="208" t="str">
        <f t="shared" si="11"/>
        <v>Nivel de actividad física bajo</v>
      </c>
      <c r="CO64" s="134">
        <v>4.0</v>
      </c>
      <c r="CP64" s="134">
        <v>30.0</v>
      </c>
      <c r="CQ64" s="223">
        <f t="shared" si="98"/>
        <v>1</v>
      </c>
      <c r="CR64" s="134">
        <v>11.0</v>
      </c>
      <c r="CS64" s="134">
        <v>0.0</v>
      </c>
      <c r="CT64" s="134">
        <v>7.0</v>
      </c>
      <c r="CU64" s="134">
        <v>4.0</v>
      </c>
      <c r="CV64" s="134">
        <v>3.0</v>
      </c>
      <c r="CW64" s="134">
        <v>3.0</v>
      </c>
      <c r="CX64" s="134">
        <v>3.0</v>
      </c>
      <c r="CY64" s="134">
        <v>1.0</v>
      </c>
      <c r="CZ64" s="134">
        <v>0.0</v>
      </c>
      <c r="DA64" s="134">
        <v>0.0</v>
      </c>
      <c r="DB64" s="134">
        <v>2.0</v>
      </c>
      <c r="DC64" s="134">
        <v>2.0</v>
      </c>
      <c r="DD64" s="134">
        <v>0.0</v>
      </c>
      <c r="DE64" s="134">
        <v>0.0</v>
      </c>
      <c r="DG64" s="303">
        <f t="shared" si="39"/>
        <v>11</v>
      </c>
      <c r="DH64" s="134">
        <v>2.0</v>
      </c>
      <c r="DI64" s="134">
        <v>0.0</v>
      </c>
      <c r="DJ64" s="134">
        <v>2.0</v>
      </c>
      <c r="DK64" s="134">
        <v>2.0</v>
      </c>
      <c r="DL64" s="302">
        <f t="shared" si="27"/>
        <v>57.14285714</v>
      </c>
      <c r="DM64" s="302">
        <f t="shared" si="28"/>
        <v>3</v>
      </c>
      <c r="DN64" s="302">
        <f t="shared" si="29"/>
        <v>2</v>
      </c>
      <c r="DO64" s="302">
        <f t="shared" si="30"/>
        <v>2</v>
      </c>
      <c r="DP64" s="302">
        <f t="shared" si="31"/>
        <v>2</v>
      </c>
      <c r="DQ64" s="302">
        <f t="shared" si="32"/>
        <v>3</v>
      </c>
      <c r="DR64" s="302">
        <f t="shared" ref="DR64:DS64" si="112">(DH64)</f>
        <v>2</v>
      </c>
      <c r="DS64" s="302">
        <f t="shared" si="112"/>
        <v>0</v>
      </c>
      <c r="DT64" s="304">
        <f t="shared" si="34"/>
        <v>14</v>
      </c>
      <c r="DU64" s="304" t="str">
        <f t="shared" si="35"/>
        <v>poor sleep quality</v>
      </c>
      <c r="DV64" s="134">
        <v>2.0</v>
      </c>
      <c r="DW64" s="132" t="s">
        <v>161</v>
      </c>
      <c r="DX64" s="321" t="s">
        <v>146</v>
      </c>
      <c r="DY64" s="321">
        <v>1.0</v>
      </c>
      <c r="DZ64" s="321" t="s">
        <v>131</v>
      </c>
      <c r="EA64" s="321" t="s">
        <v>167</v>
      </c>
      <c r="EB64" s="321"/>
      <c r="EC64" s="321" t="s">
        <v>139</v>
      </c>
      <c r="ED64" s="305"/>
      <c r="EE64" s="321" t="s">
        <v>132</v>
      </c>
      <c r="EF64" s="321" t="s">
        <v>141</v>
      </c>
      <c r="EG64" s="305">
        <f t="shared" si="93"/>
        <v>1445</v>
      </c>
      <c r="EH64" s="305">
        <f t="shared" si="94"/>
        <v>1202</v>
      </c>
      <c r="EI64" s="130">
        <f t="shared" si="23"/>
        <v>34.19855682</v>
      </c>
    </row>
    <row r="65" ht="15.75" customHeight="1">
      <c r="A65" s="140" t="s">
        <v>512</v>
      </c>
      <c r="B65" s="54" t="s">
        <v>175</v>
      </c>
      <c r="C65" s="316">
        <v>45458.0</v>
      </c>
      <c r="D65" s="134">
        <v>40.0</v>
      </c>
      <c r="E65" s="132" t="s">
        <v>130</v>
      </c>
      <c r="F65" s="134">
        <v>16.0</v>
      </c>
      <c r="G65" s="134">
        <v>75.0</v>
      </c>
      <c r="H65" s="318" t="s">
        <v>131</v>
      </c>
      <c r="I65" s="134">
        <v>3.0</v>
      </c>
      <c r="J65" s="349">
        <v>44581.0</v>
      </c>
      <c r="K65" s="132" t="s">
        <v>131</v>
      </c>
      <c r="L65" s="134">
        <v>1.0</v>
      </c>
      <c r="M65" s="347">
        <v>44317.0</v>
      </c>
      <c r="N65" s="132">
        <v>1.0</v>
      </c>
      <c r="O65" s="299"/>
      <c r="P65" s="132" t="s">
        <v>132</v>
      </c>
      <c r="S65" s="327"/>
      <c r="V65" s="121" t="str">
        <f t="shared" si="97"/>
        <v>Paciente ambulatorio</v>
      </c>
      <c r="W65" s="132" t="s">
        <v>190</v>
      </c>
      <c r="X65" s="132" t="s">
        <v>132</v>
      </c>
      <c r="Y65" s="134">
        <v>1.0</v>
      </c>
      <c r="Z65" s="134">
        <v>1.0</v>
      </c>
      <c r="AA65" s="134">
        <v>1.0</v>
      </c>
      <c r="AB65" s="134">
        <v>1.0</v>
      </c>
      <c r="AC65" s="134">
        <v>1.0</v>
      </c>
      <c r="AD65" s="134">
        <v>1.0</v>
      </c>
      <c r="AE65" s="134">
        <v>1.0</v>
      </c>
      <c r="AF65" s="134">
        <v>1.0</v>
      </c>
      <c r="AG65" s="134">
        <v>3.0</v>
      </c>
      <c r="AH65" s="134">
        <v>1.0</v>
      </c>
      <c r="AI65" s="134">
        <v>1.0</v>
      </c>
      <c r="AJ65" s="134">
        <v>1.0</v>
      </c>
      <c r="AK65" s="317" t="s">
        <v>513</v>
      </c>
      <c r="AL65" s="132" t="s">
        <v>132</v>
      </c>
      <c r="AM65" s="132" t="s">
        <v>132</v>
      </c>
      <c r="AN65" s="132" t="s">
        <v>131</v>
      </c>
      <c r="AO65" s="132" t="s">
        <v>132</v>
      </c>
      <c r="AP65" s="132" t="s">
        <v>132</v>
      </c>
      <c r="AQ65" s="132" t="s">
        <v>132</v>
      </c>
      <c r="AR65" s="132" t="s">
        <v>132</v>
      </c>
      <c r="AS65" s="132" t="s">
        <v>132</v>
      </c>
      <c r="AT65" s="132" t="s">
        <v>132</v>
      </c>
      <c r="AU65" s="132" t="s">
        <v>132</v>
      </c>
      <c r="AV65" s="132" t="s">
        <v>131</v>
      </c>
      <c r="AW65" s="132" t="s">
        <v>514</v>
      </c>
      <c r="AX65" s="132" t="s">
        <v>165</v>
      </c>
      <c r="AY65" s="130"/>
      <c r="AZ65" s="134">
        <v>5.0</v>
      </c>
      <c r="BB65" s="130" t="s">
        <v>145</v>
      </c>
      <c r="BC65" s="297"/>
      <c r="BD65" s="134">
        <v>1.0</v>
      </c>
      <c r="BE65" s="134">
        <v>3.0</v>
      </c>
      <c r="BF65" s="134">
        <v>5.0</v>
      </c>
      <c r="BG65" s="134">
        <v>5.0</v>
      </c>
      <c r="BH65" s="134">
        <v>3.0</v>
      </c>
      <c r="BI65" s="301" t="str">
        <f t="shared" si="3"/>
        <v>13553</v>
      </c>
      <c r="BJ65" s="134">
        <v>30.0</v>
      </c>
      <c r="BK65" s="134">
        <v>5.0</v>
      </c>
      <c r="BL65" s="134">
        <v>5.0</v>
      </c>
      <c r="BM65" s="134">
        <v>2.0</v>
      </c>
      <c r="BN65" s="134">
        <v>1.0</v>
      </c>
      <c r="BO65" s="134">
        <v>5.0</v>
      </c>
      <c r="BP65" s="134">
        <v>5.0</v>
      </c>
      <c r="BQ65" s="134">
        <v>4.0</v>
      </c>
      <c r="BR65" s="134">
        <v>4.0</v>
      </c>
      <c r="BS65" s="134">
        <v>5.0</v>
      </c>
      <c r="BT65" s="134">
        <v>3.0</v>
      </c>
      <c r="BU65" s="302">
        <f t="shared" si="4"/>
        <v>5</v>
      </c>
      <c r="BV65" s="302">
        <f t="shared" si="90"/>
        <v>3</v>
      </c>
      <c r="BW65" s="302">
        <f t="shared" si="91"/>
        <v>41</v>
      </c>
      <c r="BX65" s="302" t="str">
        <f t="shared" si="7"/>
        <v>FATIGA EXTREMA</v>
      </c>
      <c r="BY65" s="134">
        <v>0.0</v>
      </c>
      <c r="BZ65" s="134">
        <v>0.0</v>
      </c>
      <c r="CA65" s="134">
        <v>0.0</v>
      </c>
      <c r="CB65" s="134">
        <v>0.0</v>
      </c>
      <c r="CC65" s="134">
        <v>0.0</v>
      </c>
      <c r="CD65" s="134">
        <v>0.0</v>
      </c>
      <c r="CE65" s="134">
        <v>0.0</v>
      </c>
      <c r="CF65" s="134">
        <v>0.0</v>
      </c>
      <c r="CG65" s="134">
        <v>0.0</v>
      </c>
      <c r="CH65" s="134">
        <v>2.0</v>
      </c>
      <c r="CI65" s="134">
        <v>0.0</v>
      </c>
      <c r="CJ65" s="302">
        <f t="shared" si="26"/>
        <v>0</v>
      </c>
      <c r="CK65" s="301">
        <f t="shared" si="9"/>
        <v>0</v>
      </c>
      <c r="CL65" s="301" t="b">
        <f t="shared" si="109"/>
        <v>0</v>
      </c>
      <c r="CM65" s="301" t="b">
        <f t="shared" si="10"/>
        <v>0</v>
      </c>
      <c r="CN65" s="208" t="str">
        <f t="shared" si="11"/>
        <v>Nivel de actividad física bajo</v>
      </c>
      <c r="CO65" s="134">
        <v>0.0</v>
      </c>
      <c r="CP65" s="134">
        <v>1.0</v>
      </c>
      <c r="CQ65" s="223">
        <f t="shared" si="98"/>
        <v>0</v>
      </c>
      <c r="CR65" s="134">
        <v>7.0</v>
      </c>
      <c r="CS65" s="134">
        <v>0.0</v>
      </c>
      <c r="CT65" s="134">
        <v>7.0</v>
      </c>
      <c r="CU65" s="134">
        <v>5.0</v>
      </c>
      <c r="CV65" s="134">
        <v>0.0</v>
      </c>
      <c r="CW65" s="134">
        <v>2.0</v>
      </c>
      <c r="CX65" s="134">
        <v>0.0</v>
      </c>
      <c r="CY65" s="134">
        <v>3.0</v>
      </c>
      <c r="CZ65" s="134">
        <v>0.0</v>
      </c>
      <c r="DA65" s="134">
        <v>2.0</v>
      </c>
      <c r="DB65" s="134">
        <v>3.0</v>
      </c>
      <c r="DC65" s="134">
        <v>0.0</v>
      </c>
      <c r="DD65" s="134">
        <v>2.0</v>
      </c>
      <c r="DE65" s="134">
        <v>0.0</v>
      </c>
      <c r="DG65" s="303">
        <f t="shared" si="39"/>
        <v>12</v>
      </c>
      <c r="DH65" s="134">
        <v>2.0</v>
      </c>
      <c r="DI65" s="134">
        <v>0.0</v>
      </c>
      <c r="DJ65" s="134">
        <v>3.0</v>
      </c>
      <c r="DK65" s="134">
        <v>3.0</v>
      </c>
      <c r="DL65" s="302">
        <f t="shared" si="27"/>
        <v>71.42857143</v>
      </c>
      <c r="DM65" s="302">
        <f t="shared" si="28"/>
        <v>2</v>
      </c>
      <c r="DN65" s="302">
        <f t="shared" si="29"/>
        <v>2</v>
      </c>
      <c r="DO65" s="302">
        <f t="shared" si="30"/>
        <v>0</v>
      </c>
      <c r="DP65" s="302">
        <f t="shared" si="31"/>
        <v>3</v>
      </c>
      <c r="DQ65" s="302">
        <f t="shared" si="32"/>
        <v>2</v>
      </c>
      <c r="DR65" s="302">
        <f t="shared" ref="DR65:DS65" si="113">(DH65)</f>
        <v>2</v>
      </c>
      <c r="DS65" s="302">
        <f t="shared" si="113"/>
        <v>0</v>
      </c>
      <c r="DT65" s="304">
        <f t="shared" si="34"/>
        <v>11</v>
      </c>
      <c r="DU65" s="304" t="str">
        <f t="shared" si="35"/>
        <v>poor sleep quality</v>
      </c>
      <c r="DV65" s="134">
        <v>2.0</v>
      </c>
      <c r="DW65" s="130" t="s">
        <v>489</v>
      </c>
      <c r="DX65" s="321" t="s">
        <v>146</v>
      </c>
      <c r="DY65" s="321">
        <v>1.0</v>
      </c>
      <c r="DZ65" s="321" t="s">
        <v>131</v>
      </c>
      <c r="EA65" s="321" t="s">
        <v>178</v>
      </c>
      <c r="EB65" s="321"/>
      <c r="EC65" s="321" t="s">
        <v>248</v>
      </c>
      <c r="ED65" s="305"/>
      <c r="EE65" s="321" t="s">
        <v>131</v>
      </c>
      <c r="EF65" s="321" t="s">
        <v>141</v>
      </c>
      <c r="EG65" s="305">
        <f t="shared" si="93"/>
        <v>1141</v>
      </c>
      <c r="EH65" s="305">
        <f t="shared" si="94"/>
        <v>45458</v>
      </c>
      <c r="EI65" s="130">
        <f t="shared" si="23"/>
        <v>2929.6875</v>
      </c>
    </row>
    <row r="66" ht="15.75" customHeight="1">
      <c r="A66" s="140" t="s">
        <v>515</v>
      </c>
      <c r="B66" s="54" t="s">
        <v>175</v>
      </c>
      <c r="C66" s="316">
        <v>45458.0</v>
      </c>
      <c r="D66" s="134">
        <v>45.0</v>
      </c>
      <c r="E66" s="130" t="s">
        <v>153</v>
      </c>
      <c r="F66" s="134">
        <v>169.0</v>
      </c>
      <c r="G66" s="134">
        <v>83.0</v>
      </c>
      <c r="H66" s="318" t="s">
        <v>131</v>
      </c>
      <c r="I66" s="134">
        <v>2.0</v>
      </c>
      <c r="J66" s="349">
        <v>44472.0</v>
      </c>
      <c r="K66" s="132" t="s">
        <v>131</v>
      </c>
      <c r="L66" s="134">
        <v>2.0</v>
      </c>
      <c r="M66" s="347">
        <v>44531.0</v>
      </c>
      <c r="N66" s="132">
        <v>1.0</v>
      </c>
      <c r="O66" s="299">
        <v>45358.0</v>
      </c>
      <c r="P66" s="132" t="s">
        <v>132</v>
      </c>
      <c r="S66" s="327"/>
      <c r="V66" s="121" t="str">
        <f t="shared" si="97"/>
        <v>Paciente ambulatorio</v>
      </c>
      <c r="W66" s="132" t="s">
        <v>176</v>
      </c>
      <c r="X66" s="132" t="s">
        <v>132</v>
      </c>
      <c r="Y66" s="134">
        <v>2.0</v>
      </c>
      <c r="Z66" s="134">
        <v>1.0</v>
      </c>
      <c r="AA66" s="134">
        <v>3.0</v>
      </c>
      <c r="AB66" s="134">
        <v>2.0</v>
      </c>
      <c r="AC66" s="134">
        <v>3.0</v>
      </c>
      <c r="AD66" s="134">
        <v>1.0</v>
      </c>
      <c r="AE66" s="134">
        <v>3.0</v>
      </c>
      <c r="AF66" s="134">
        <v>1.0</v>
      </c>
      <c r="AG66" s="134">
        <v>1.0</v>
      </c>
      <c r="AH66" s="134">
        <v>1.0</v>
      </c>
      <c r="AI66" s="134">
        <v>1.0</v>
      </c>
      <c r="AJ66" s="134">
        <v>1.0</v>
      </c>
      <c r="AK66" s="317" t="s">
        <v>516</v>
      </c>
      <c r="AL66" s="132" t="s">
        <v>132</v>
      </c>
      <c r="AM66" s="132" t="s">
        <v>132</v>
      </c>
      <c r="AN66" s="132" t="s">
        <v>132</v>
      </c>
      <c r="AO66" s="132" t="s">
        <v>131</v>
      </c>
      <c r="AP66" s="132" t="s">
        <v>132</v>
      </c>
      <c r="AQ66" s="132" t="s">
        <v>132</v>
      </c>
      <c r="AR66" s="132" t="s">
        <v>132</v>
      </c>
      <c r="AS66" s="132" t="s">
        <v>132</v>
      </c>
      <c r="AT66" s="132" t="s">
        <v>132</v>
      </c>
      <c r="AU66" s="132" t="s">
        <v>132</v>
      </c>
      <c r="AV66" s="132" t="s">
        <v>132</v>
      </c>
      <c r="AW66" s="130"/>
      <c r="AX66" s="132" t="s">
        <v>132</v>
      </c>
      <c r="AY66" s="130"/>
      <c r="BB66" s="130" t="s">
        <v>145</v>
      </c>
      <c r="BC66" s="297"/>
      <c r="BD66" s="134">
        <v>1.0</v>
      </c>
      <c r="BE66" s="134">
        <v>1.0</v>
      </c>
      <c r="BF66" s="134">
        <v>1.0</v>
      </c>
      <c r="BG66" s="134">
        <v>1.0</v>
      </c>
      <c r="BH66" s="134">
        <v>2.0</v>
      </c>
      <c r="BI66" s="301" t="str">
        <f t="shared" si="3"/>
        <v>11112</v>
      </c>
      <c r="BJ66" s="134">
        <v>79.0</v>
      </c>
      <c r="BK66" s="134">
        <v>2.0</v>
      </c>
      <c r="BL66" s="134">
        <v>2.0</v>
      </c>
      <c r="BM66" s="134">
        <v>4.0</v>
      </c>
      <c r="BN66" s="134">
        <v>5.0</v>
      </c>
      <c r="BO66" s="134">
        <v>2.0</v>
      </c>
      <c r="BP66" s="134">
        <v>5.0</v>
      </c>
      <c r="BQ66" s="134">
        <v>4.0</v>
      </c>
      <c r="BR66" s="134">
        <v>4.0</v>
      </c>
      <c r="BS66" s="134">
        <v>5.0</v>
      </c>
      <c r="BT66" s="134">
        <v>4.0</v>
      </c>
      <c r="BU66" s="302">
        <f t="shared" si="4"/>
        <v>1</v>
      </c>
      <c r="BV66" s="302">
        <f t="shared" si="90"/>
        <v>2</v>
      </c>
      <c r="BW66" s="302">
        <f t="shared" si="91"/>
        <v>34</v>
      </c>
      <c r="BX66" s="302" t="str">
        <f t="shared" si="7"/>
        <v>FATIGA</v>
      </c>
      <c r="BY66" s="134">
        <v>1.0</v>
      </c>
      <c r="BZ66" s="134">
        <v>6.0</v>
      </c>
      <c r="CA66" s="134">
        <v>0.0</v>
      </c>
      <c r="CB66" s="134">
        <v>0.0</v>
      </c>
      <c r="CC66" s="134">
        <v>0.0</v>
      </c>
      <c r="CD66" s="134">
        <v>0.0</v>
      </c>
      <c r="CE66" s="134">
        <v>3.0</v>
      </c>
      <c r="CG66" s="134">
        <v>0.0</v>
      </c>
      <c r="CH66" s="134">
        <v>8.0</v>
      </c>
      <c r="CI66" s="134">
        <v>0.0</v>
      </c>
      <c r="CJ66" s="302">
        <f t="shared" si="26"/>
        <v>2880</v>
      </c>
      <c r="CK66" s="301">
        <f t="shared" si="9"/>
        <v>4</v>
      </c>
      <c r="CL66" s="301" t="b">
        <f t="shared" si="109"/>
        <v>0</v>
      </c>
      <c r="CM66" s="301" t="b">
        <f t="shared" si="10"/>
        <v>0</v>
      </c>
      <c r="CN66" s="208" t="str">
        <f t="shared" si="11"/>
        <v>Nivel de actividad física bajo</v>
      </c>
      <c r="CO66" s="134">
        <v>1.0</v>
      </c>
      <c r="CP66" s="134">
        <v>40.0</v>
      </c>
      <c r="CQ66" s="223">
        <f t="shared" si="98"/>
        <v>2</v>
      </c>
      <c r="CR66" s="134">
        <v>8.0</v>
      </c>
      <c r="CS66" s="134">
        <v>0.0</v>
      </c>
      <c r="CT66" s="134">
        <v>7.0</v>
      </c>
      <c r="CU66" s="134">
        <v>5.0</v>
      </c>
      <c r="CV66" s="134">
        <v>3.0</v>
      </c>
      <c r="CW66" s="134">
        <v>2.0</v>
      </c>
      <c r="CX66" s="134">
        <v>0.0</v>
      </c>
      <c r="CY66" s="134">
        <v>0.0</v>
      </c>
      <c r="CZ66" s="134">
        <v>0.0</v>
      </c>
      <c r="DA66" s="134">
        <v>3.0</v>
      </c>
      <c r="DB66" s="134">
        <v>3.0</v>
      </c>
      <c r="DC66" s="134">
        <v>0.0</v>
      </c>
      <c r="DD66" s="134">
        <v>0.0</v>
      </c>
      <c r="DE66" s="134">
        <v>1.0</v>
      </c>
      <c r="DF66" s="134" t="s">
        <v>517</v>
      </c>
      <c r="DG66" s="303">
        <f t="shared" si="39"/>
        <v>9</v>
      </c>
      <c r="DH66" s="134">
        <v>2.0</v>
      </c>
      <c r="DI66" s="134">
        <v>0.0</v>
      </c>
      <c r="DJ66" s="134">
        <v>2.0</v>
      </c>
      <c r="DK66" s="134">
        <v>2.0</v>
      </c>
      <c r="DL66" s="302">
        <f t="shared" si="27"/>
        <v>71.42857143</v>
      </c>
      <c r="DM66" s="302">
        <f t="shared" si="28"/>
        <v>2</v>
      </c>
      <c r="DN66" s="302">
        <f t="shared" si="29"/>
        <v>1</v>
      </c>
      <c r="DO66" s="302">
        <f t="shared" si="30"/>
        <v>3</v>
      </c>
      <c r="DP66" s="302">
        <f t="shared" si="31"/>
        <v>2</v>
      </c>
      <c r="DQ66" s="302">
        <f t="shared" si="32"/>
        <v>2</v>
      </c>
      <c r="DR66" s="302">
        <f t="shared" ref="DR66:DS66" si="114">(DH66)</f>
        <v>2</v>
      </c>
      <c r="DS66" s="302">
        <f t="shared" si="114"/>
        <v>0</v>
      </c>
      <c r="DT66" s="304">
        <f t="shared" si="34"/>
        <v>12</v>
      </c>
      <c r="DU66" s="304" t="str">
        <f t="shared" si="35"/>
        <v>poor sleep quality</v>
      </c>
      <c r="DV66" s="134">
        <v>2.0</v>
      </c>
      <c r="DW66" s="132" t="s">
        <v>247</v>
      </c>
      <c r="DX66" s="321" t="s">
        <v>146</v>
      </c>
      <c r="DY66" s="321">
        <v>2.0</v>
      </c>
      <c r="DZ66" s="321" t="s">
        <v>131</v>
      </c>
      <c r="EA66" s="321" t="s">
        <v>157</v>
      </c>
      <c r="EB66" s="321"/>
      <c r="EC66" s="321" t="s">
        <v>139</v>
      </c>
      <c r="ED66" s="305"/>
      <c r="EE66" s="321" t="s">
        <v>131</v>
      </c>
      <c r="EF66" s="321" t="s">
        <v>203</v>
      </c>
      <c r="EG66" s="305">
        <f t="shared" si="93"/>
        <v>927</v>
      </c>
      <c r="EH66" s="305">
        <f t="shared" si="94"/>
        <v>100</v>
      </c>
      <c r="EI66" s="130">
        <f t="shared" si="23"/>
        <v>29.06060712</v>
      </c>
    </row>
    <row r="67" ht="15.75" customHeight="1">
      <c r="A67" s="140" t="s">
        <v>518</v>
      </c>
      <c r="B67" s="54" t="s">
        <v>175</v>
      </c>
      <c r="C67" s="296">
        <v>45479.0</v>
      </c>
      <c r="D67" s="134">
        <v>54.0</v>
      </c>
      <c r="E67" s="132" t="s">
        <v>130</v>
      </c>
      <c r="F67" s="134">
        <v>167.0</v>
      </c>
      <c r="G67" s="134">
        <v>68.0</v>
      </c>
      <c r="H67" s="318" t="s">
        <v>131</v>
      </c>
      <c r="I67" s="134">
        <v>2.0</v>
      </c>
      <c r="J67" s="351">
        <v>44228.0</v>
      </c>
      <c r="K67" s="132" t="s">
        <v>131</v>
      </c>
      <c r="L67" s="134">
        <v>1.0</v>
      </c>
      <c r="M67" s="351">
        <v>44197.0</v>
      </c>
      <c r="N67" s="132"/>
      <c r="O67" s="299"/>
      <c r="P67" s="132" t="s">
        <v>132</v>
      </c>
      <c r="S67" s="327"/>
      <c r="V67" s="121" t="str">
        <f t="shared" si="97"/>
        <v>Paciente ambulatorio</v>
      </c>
      <c r="W67" s="132" t="s">
        <v>176</v>
      </c>
      <c r="X67" s="132" t="s">
        <v>132</v>
      </c>
      <c r="Y67" s="132">
        <v>1.0</v>
      </c>
      <c r="Z67" s="132">
        <v>1.0</v>
      </c>
      <c r="AA67" s="132">
        <v>3.0</v>
      </c>
      <c r="AB67" s="132">
        <v>3.0</v>
      </c>
      <c r="AC67" s="132">
        <v>1.0</v>
      </c>
      <c r="AD67" s="132">
        <v>1.0</v>
      </c>
      <c r="AE67" s="132">
        <v>1.0</v>
      </c>
      <c r="AF67" s="132">
        <v>1.0</v>
      </c>
      <c r="AG67" s="132">
        <v>3.0</v>
      </c>
      <c r="AH67" s="132">
        <v>1.0</v>
      </c>
      <c r="AI67" s="132">
        <v>1.0</v>
      </c>
      <c r="AJ67" s="132">
        <v>1.0</v>
      </c>
      <c r="AK67" s="317" t="s">
        <v>278</v>
      </c>
      <c r="AL67" s="132" t="s">
        <v>132</v>
      </c>
      <c r="AM67" s="132" t="s">
        <v>132</v>
      </c>
      <c r="AN67" s="132" t="s">
        <v>132</v>
      </c>
      <c r="AO67" s="132" t="s">
        <v>132</v>
      </c>
      <c r="AP67" s="132" t="s">
        <v>132</v>
      </c>
      <c r="AQ67" s="132" t="s">
        <v>132</v>
      </c>
      <c r="AR67" s="132" t="s">
        <v>132</v>
      </c>
      <c r="AS67" s="132" t="s">
        <v>132</v>
      </c>
      <c r="AT67" s="132" t="s">
        <v>132</v>
      </c>
      <c r="AU67" s="132" t="s">
        <v>132</v>
      </c>
      <c r="AV67" s="132" t="s">
        <v>132</v>
      </c>
      <c r="AW67" s="132" t="s">
        <v>519</v>
      </c>
      <c r="AX67" s="132" t="s">
        <v>132</v>
      </c>
      <c r="BA67" s="130"/>
      <c r="BB67" s="132" t="s">
        <v>145</v>
      </c>
      <c r="BD67" s="318">
        <v>2.0</v>
      </c>
      <c r="BE67" s="132">
        <v>1.0</v>
      </c>
      <c r="BF67" s="132">
        <v>2.0</v>
      </c>
      <c r="BG67" s="132">
        <v>2.0</v>
      </c>
      <c r="BH67" s="132">
        <v>2.0</v>
      </c>
      <c r="BI67" s="301" t="str">
        <f t="shared" si="3"/>
        <v>21222</v>
      </c>
      <c r="BJ67" s="132">
        <v>50.0</v>
      </c>
      <c r="BK67" s="132">
        <v>2.0</v>
      </c>
      <c r="BL67" s="132">
        <v>3.0</v>
      </c>
      <c r="BM67" s="132">
        <v>2.0</v>
      </c>
      <c r="BN67" s="132">
        <v>2.0</v>
      </c>
      <c r="BO67" s="132">
        <v>3.0</v>
      </c>
      <c r="BP67" s="132">
        <v>3.0</v>
      </c>
      <c r="BQ67" s="132">
        <v>3.0</v>
      </c>
      <c r="BR67" s="132">
        <v>3.0</v>
      </c>
      <c r="BS67" s="132">
        <v>3.0</v>
      </c>
      <c r="BT67" s="132">
        <v>2.0</v>
      </c>
      <c r="BU67" s="302">
        <f t="shared" si="4"/>
        <v>4</v>
      </c>
      <c r="BV67" s="302">
        <f t="shared" si="90"/>
        <v>4</v>
      </c>
      <c r="BW67" s="302">
        <f t="shared" si="91"/>
        <v>28</v>
      </c>
      <c r="BX67" s="302" t="str">
        <f t="shared" si="7"/>
        <v>FATIGA</v>
      </c>
      <c r="BY67" s="132">
        <v>0.0</v>
      </c>
      <c r="BZ67" s="132">
        <v>0.0</v>
      </c>
      <c r="CA67" s="132">
        <v>0.0</v>
      </c>
      <c r="CB67" s="132">
        <v>0.0</v>
      </c>
      <c r="CC67" s="132">
        <v>0.0</v>
      </c>
      <c r="CD67" s="132">
        <v>0.0</v>
      </c>
      <c r="CE67" s="132">
        <v>1.0</v>
      </c>
      <c r="CF67" s="132">
        <v>0.0</v>
      </c>
      <c r="CG67" s="132">
        <v>40.0</v>
      </c>
      <c r="CH67" s="132">
        <v>8.0</v>
      </c>
      <c r="CI67" s="132">
        <v>0.0</v>
      </c>
      <c r="CJ67" s="302">
        <f t="shared" si="26"/>
        <v>132</v>
      </c>
      <c r="CK67" s="301">
        <f t="shared" si="9"/>
        <v>1</v>
      </c>
      <c r="CL67" s="301" t="str">
        <f t="shared" si="109"/>
        <v>Nivel de actividad física alto</v>
      </c>
      <c r="CM67" s="301" t="b">
        <f t="shared" si="10"/>
        <v>0</v>
      </c>
      <c r="CN67" s="208" t="str">
        <f t="shared" si="11"/>
        <v>Nivel de actividad física alto</v>
      </c>
      <c r="CO67" s="348">
        <v>0.020833333333333332</v>
      </c>
      <c r="CP67" s="134">
        <v>60.0</v>
      </c>
      <c r="CQ67" s="223">
        <f t="shared" si="98"/>
        <v>2</v>
      </c>
      <c r="CR67" s="132">
        <v>10.0</v>
      </c>
      <c r="CS67" s="132">
        <v>30.0</v>
      </c>
      <c r="CT67" s="132">
        <v>10.0</v>
      </c>
      <c r="CU67" s="132">
        <v>4.0</v>
      </c>
      <c r="CV67" s="132">
        <v>3.0</v>
      </c>
      <c r="CW67" s="132">
        <v>3.0</v>
      </c>
      <c r="CX67" s="132">
        <v>0.0</v>
      </c>
      <c r="CY67" s="132">
        <v>2.0</v>
      </c>
      <c r="CZ67" s="132">
        <v>2.0</v>
      </c>
      <c r="DA67" s="132">
        <v>3.0</v>
      </c>
      <c r="DB67" s="132">
        <v>0.0</v>
      </c>
      <c r="DC67" s="132">
        <v>2.0</v>
      </c>
      <c r="DD67" s="132">
        <v>1.0</v>
      </c>
      <c r="DE67" s="132">
        <v>0.0</v>
      </c>
      <c r="DG67" s="303">
        <f t="shared" si="39"/>
        <v>13</v>
      </c>
      <c r="DH67" s="132">
        <v>2.0</v>
      </c>
      <c r="DI67" s="132">
        <v>0.0</v>
      </c>
      <c r="DJ67" s="132">
        <v>3.0</v>
      </c>
      <c r="DK67" s="132">
        <v>3.0</v>
      </c>
      <c r="DL67" s="302">
        <f t="shared" si="27"/>
        <v>40</v>
      </c>
      <c r="DM67" s="302">
        <f t="shared" si="28"/>
        <v>3</v>
      </c>
      <c r="DN67" s="302">
        <f t="shared" si="29"/>
        <v>2</v>
      </c>
      <c r="DO67" s="302">
        <f t="shared" si="30"/>
        <v>3</v>
      </c>
      <c r="DP67" s="302">
        <f t="shared" si="31"/>
        <v>3</v>
      </c>
      <c r="DQ67" s="302">
        <f t="shared" si="32"/>
        <v>3</v>
      </c>
      <c r="DR67" s="302">
        <f t="shared" ref="DR67:DS67" si="115">(DH67)</f>
        <v>2</v>
      </c>
      <c r="DS67" s="302">
        <f t="shared" si="115"/>
        <v>0</v>
      </c>
      <c r="DT67" s="304">
        <f t="shared" si="34"/>
        <v>16</v>
      </c>
      <c r="DU67" s="304" t="str">
        <f t="shared" si="35"/>
        <v>poor sleep quality</v>
      </c>
      <c r="DV67" s="132">
        <v>1.0</v>
      </c>
      <c r="DW67" s="134" t="s">
        <v>314</v>
      </c>
      <c r="DX67" s="321" t="s">
        <v>146</v>
      </c>
      <c r="DY67" s="321">
        <v>1.0</v>
      </c>
      <c r="DZ67" s="321" t="s">
        <v>131</v>
      </c>
      <c r="EA67" s="321" t="s">
        <v>147</v>
      </c>
      <c r="EB67" s="321"/>
      <c r="EC67" s="321" t="s">
        <v>139</v>
      </c>
      <c r="ED67" s="305"/>
      <c r="EE67" s="321" t="s">
        <v>131</v>
      </c>
      <c r="EF67" s="321" t="s">
        <v>158</v>
      </c>
      <c r="EG67" s="305">
        <f t="shared" si="93"/>
        <v>1282</v>
      </c>
      <c r="EH67" s="305">
        <f t="shared" si="94"/>
        <v>45479</v>
      </c>
      <c r="EI67" s="130">
        <f t="shared" si="23"/>
        <v>24.38237298</v>
      </c>
    </row>
    <row r="68" ht="15.75" customHeight="1">
      <c r="A68" s="140" t="s">
        <v>520</v>
      </c>
      <c r="B68" s="54" t="s">
        <v>175</v>
      </c>
      <c r="C68" s="296">
        <v>45479.0</v>
      </c>
      <c r="D68" s="134">
        <v>62.0</v>
      </c>
      <c r="E68" s="132" t="s">
        <v>130</v>
      </c>
      <c r="F68" s="134">
        <v>160.0</v>
      </c>
      <c r="G68" s="134">
        <v>58.0</v>
      </c>
      <c r="H68" s="318" t="s">
        <v>131</v>
      </c>
      <c r="I68" s="134">
        <v>3.0</v>
      </c>
      <c r="K68" s="132" t="s">
        <v>131</v>
      </c>
      <c r="L68" s="134">
        <v>1.0</v>
      </c>
      <c r="M68" s="351">
        <v>44044.0</v>
      </c>
      <c r="N68" s="132">
        <v>0.0</v>
      </c>
      <c r="O68" s="299"/>
      <c r="P68" s="132" t="s">
        <v>132</v>
      </c>
      <c r="V68" s="121" t="str">
        <f t="shared" si="97"/>
        <v>Paciente ambulatorio</v>
      </c>
      <c r="W68" s="132" t="s">
        <v>176</v>
      </c>
      <c r="X68" s="132" t="s">
        <v>132</v>
      </c>
      <c r="Y68" s="132">
        <v>1.0</v>
      </c>
      <c r="Z68" s="132">
        <v>1.0</v>
      </c>
      <c r="AA68" s="132">
        <v>3.0</v>
      </c>
      <c r="AB68" s="132">
        <v>2.0</v>
      </c>
      <c r="AC68" s="132">
        <v>2.0</v>
      </c>
      <c r="AD68" s="132">
        <v>1.0</v>
      </c>
      <c r="AE68" s="132">
        <v>1.0</v>
      </c>
      <c r="AF68" s="132">
        <v>1.0</v>
      </c>
      <c r="AG68" s="132">
        <v>3.0</v>
      </c>
      <c r="AH68" s="132">
        <v>1.0</v>
      </c>
      <c r="AI68" s="132">
        <v>1.0</v>
      </c>
      <c r="AJ68" s="132">
        <v>1.0</v>
      </c>
      <c r="AK68" s="317"/>
      <c r="AL68" s="132" t="s">
        <v>132</v>
      </c>
      <c r="AM68" s="132" t="s">
        <v>132</v>
      </c>
      <c r="AN68" s="132" t="s">
        <v>132</v>
      </c>
      <c r="AO68" s="132" t="s">
        <v>132</v>
      </c>
      <c r="AP68" s="132" t="s">
        <v>132</v>
      </c>
      <c r="AQ68" s="132" t="s">
        <v>132</v>
      </c>
      <c r="AR68" s="132" t="s">
        <v>132</v>
      </c>
      <c r="AS68" s="132" t="s">
        <v>132</v>
      </c>
      <c r="AT68" s="132" t="s">
        <v>132</v>
      </c>
      <c r="AU68" s="132" t="s">
        <v>132</v>
      </c>
      <c r="AV68" s="132" t="s">
        <v>132</v>
      </c>
      <c r="AW68" s="130"/>
      <c r="AX68" s="132" t="s">
        <v>165</v>
      </c>
      <c r="AY68" s="130"/>
      <c r="AZ68" s="130"/>
      <c r="BA68" s="132">
        <v>20.0</v>
      </c>
      <c r="BB68" s="132" t="s">
        <v>135</v>
      </c>
      <c r="BC68" s="297"/>
      <c r="BD68" s="318">
        <v>2.0</v>
      </c>
      <c r="BE68" s="132">
        <v>1.0</v>
      </c>
      <c r="BF68" s="132">
        <v>3.0</v>
      </c>
      <c r="BG68" s="132">
        <v>4.0</v>
      </c>
      <c r="BH68" s="132">
        <v>3.0</v>
      </c>
      <c r="BI68" s="301" t="str">
        <f t="shared" si="3"/>
        <v>21343</v>
      </c>
      <c r="BJ68" s="132">
        <v>65.0</v>
      </c>
      <c r="BK68" s="132">
        <v>3.0</v>
      </c>
      <c r="BL68" s="132">
        <v>4.0</v>
      </c>
      <c r="BM68" s="132">
        <v>3.0</v>
      </c>
      <c r="BN68" s="132">
        <v>4.0</v>
      </c>
      <c r="BO68" s="132">
        <v>4.0</v>
      </c>
      <c r="BP68" s="132">
        <v>4.0</v>
      </c>
      <c r="BQ68" s="132">
        <v>4.0</v>
      </c>
      <c r="BR68" s="132">
        <v>4.0</v>
      </c>
      <c r="BS68" s="132">
        <v>4.0</v>
      </c>
      <c r="BT68" s="132">
        <v>2.0</v>
      </c>
      <c r="BU68" s="302">
        <f t="shared" si="4"/>
        <v>2</v>
      </c>
      <c r="BV68" s="302">
        <f t="shared" si="90"/>
        <v>4</v>
      </c>
      <c r="BW68" s="302">
        <f t="shared" si="91"/>
        <v>36</v>
      </c>
      <c r="BX68" s="302" t="str">
        <f t="shared" si="7"/>
        <v>FATIGA EXTREMA</v>
      </c>
      <c r="BY68" s="132">
        <v>2.0</v>
      </c>
      <c r="BZ68" s="132">
        <v>6.0</v>
      </c>
      <c r="CA68" s="132">
        <v>0.0</v>
      </c>
      <c r="CB68" s="132">
        <v>3.0</v>
      </c>
      <c r="CC68" s="132">
        <v>2.0</v>
      </c>
      <c r="CD68" s="132">
        <v>0.0</v>
      </c>
      <c r="CE68" s="132">
        <v>3.0</v>
      </c>
      <c r="CF68" s="132">
        <v>0.0</v>
      </c>
      <c r="CG68" s="132">
        <v>10.0</v>
      </c>
      <c r="CH68" s="132">
        <v>10.0</v>
      </c>
      <c r="CI68" s="132">
        <v>0.0</v>
      </c>
      <c r="CJ68" s="302">
        <f t="shared" si="26"/>
        <v>7299</v>
      </c>
      <c r="CK68" s="301">
        <f t="shared" si="9"/>
        <v>8</v>
      </c>
      <c r="CL68" s="301" t="b">
        <f t="shared" ref="CL68:CL69" si="117">IF(CJ70&gt;3000,IF(CK70&gt;6,"Nivel de actividad física alto"),IF(CJ70&gt;1500,IF(BY70&gt;2,"Nivel de actividad física alto")))</f>
        <v>0</v>
      </c>
      <c r="CM68" s="301" t="str">
        <f t="shared" si="10"/>
        <v>Nivel de actividad física moderado</v>
      </c>
      <c r="CN68" s="208" t="str">
        <f t="shared" si="11"/>
        <v>Nivel de actividad física moderado</v>
      </c>
      <c r="CO68" s="134">
        <v>23.0</v>
      </c>
      <c r="CP68" s="134">
        <v>120.0</v>
      </c>
      <c r="CQ68" s="223">
        <f t="shared" si="98"/>
        <v>3</v>
      </c>
      <c r="CR68" s="132">
        <v>6.0</v>
      </c>
      <c r="CS68" s="132">
        <v>0.0</v>
      </c>
      <c r="CT68" s="132">
        <v>7.0</v>
      </c>
      <c r="CU68" s="132">
        <v>5.0</v>
      </c>
      <c r="CV68" s="132">
        <v>3.0</v>
      </c>
      <c r="CW68" s="132">
        <v>3.0</v>
      </c>
      <c r="CX68" s="132">
        <v>3.0</v>
      </c>
      <c r="CY68" s="132">
        <v>0.0</v>
      </c>
      <c r="CZ68" s="132">
        <v>0.0</v>
      </c>
      <c r="DA68" s="132">
        <v>3.0</v>
      </c>
      <c r="DB68" s="132">
        <v>0.0</v>
      </c>
      <c r="DC68" s="132">
        <v>0.0</v>
      </c>
      <c r="DD68" s="132">
        <v>3.0</v>
      </c>
      <c r="DE68" s="132">
        <v>2.0</v>
      </c>
      <c r="DF68" s="132"/>
      <c r="DG68" s="303">
        <f t="shared" si="39"/>
        <v>14</v>
      </c>
      <c r="DH68" s="132">
        <v>2.0</v>
      </c>
      <c r="DI68" s="132">
        <v>0.0</v>
      </c>
      <c r="DJ68" s="132">
        <v>3.0</v>
      </c>
      <c r="DK68" s="132">
        <v>3.0</v>
      </c>
      <c r="DL68" s="302">
        <f t="shared" si="27"/>
        <v>71.42857143</v>
      </c>
      <c r="DM68" s="302">
        <f t="shared" si="28"/>
        <v>2</v>
      </c>
      <c r="DN68" s="302">
        <f t="shared" si="29"/>
        <v>2</v>
      </c>
      <c r="DO68" s="302">
        <f t="shared" si="30"/>
        <v>3</v>
      </c>
      <c r="DP68" s="302">
        <f t="shared" si="31"/>
        <v>3</v>
      </c>
      <c r="DQ68" s="302">
        <f t="shared" si="32"/>
        <v>2</v>
      </c>
      <c r="DR68" s="302">
        <f t="shared" ref="DR68:DS68" si="116">(DH68)</f>
        <v>2</v>
      </c>
      <c r="DS68" s="302">
        <f t="shared" si="116"/>
        <v>0</v>
      </c>
      <c r="DT68" s="304">
        <f t="shared" si="34"/>
        <v>14</v>
      </c>
      <c r="DU68" s="304" t="str">
        <f t="shared" si="35"/>
        <v>poor sleep quality</v>
      </c>
      <c r="DV68" s="321">
        <v>2.0</v>
      </c>
      <c r="DW68" s="321" t="s">
        <v>155</v>
      </c>
      <c r="DX68" s="321" t="s">
        <v>146</v>
      </c>
      <c r="DY68" s="321" t="s">
        <v>156</v>
      </c>
      <c r="DZ68" s="321" t="s">
        <v>131</v>
      </c>
      <c r="EA68" s="321" t="s">
        <v>157</v>
      </c>
      <c r="EB68" s="321"/>
      <c r="EC68" s="321" t="s">
        <v>139</v>
      </c>
      <c r="ED68" s="305"/>
      <c r="EE68" s="321" t="s">
        <v>131</v>
      </c>
      <c r="EF68" s="321" t="s">
        <v>158</v>
      </c>
      <c r="EG68" s="305">
        <f t="shared" si="93"/>
        <v>1435</v>
      </c>
      <c r="EH68" s="305">
        <f t="shared" si="94"/>
        <v>45479</v>
      </c>
      <c r="EI68" s="130">
        <f t="shared" si="23"/>
        <v>22.65625</v>
      </c>
    </row>
    <row r="69" ht="15.75" customHeight="1">
      <c r="A69" s="140" t="s">
        <v>521</v>
      </c>
      <c r="B69" s="54" t="s">
        <v>175</v>
      </c>
      <c r="C69" s="316">
        <v>45507.0</v>
      </c>
      <c r="D69" s="134">
        <v>56.0</v>
      </c>
      <c r="E69" s="132" t="s">
        <v>130</v>
      </c>
      <c r="F69" s="134">
        <v>167.0</v>
      </c>
      <c r="G69" s="134">
        <v>57.0</v>
      </c>
      <c r="H69" s="318" t="s">
        <v>131</v>
      </c>
      <c r="I69" s="134">
        <v>3.0</v>
      </c>
      <c r="K69" s="132" t="s">
        <v>131</v>
      </c>
      <c r="L69" s="134">
        <v>1.0</v>
      </c>
      <c r="M69" s="351">
        <v>44044.0</v>
      </c>
      <c r="N69" s="132">
        <v>0.0</v>
      </c>
      <c r="O69" s="299"/>
      <c r="P69" s="132" t="s">
        <v>132</v>
      </c>
      <c r="V69" s="121" t="str">
        <f t="shared" si="97"/>
        <v>Paciente ambulatorio</v>
      </c>
      <c r="W69" s="132" t="s">
        <v>183</v>
      </c>
      <c r="X69" s="132"/>
      <c r="Y69" s="132">
        <v>1.0</v>
      </c>
      <c r="Z69" s="132">
        <v>1.0</v>
      </c>
      <c r="AA69" s="132">
        <v>1.0</v>
      </c>
      <c r="AB69" s="132">
        <v>1.0</v>
      </c>
      <c r="AC69" s="132">
        <v>3.0</v>
      </c>
      <c r="AD69" s="132">
        <v>1.0</v>
      </c>
      <c r="AE69" s="132">
        <v>3.0</v>
      </c>
      <c r="AF69" s="132">
        <v>1.0</v>
      </c>
      <c r="AG69" s="132">
        <v>1.0</v>
      </c>
      <c r="AH69" s="132">
        <v>2.0</v>
      </c>
      <c r="AI69" s="132">
        <v>1.0</v>
      </c>
      <c r="AJ69" s="132">
        <v>1.0</v>
      </c>
      <c r="AK69" s="317"/>
      <c r="AL69" s="132" t="s">
        <v>132</v>
      </c>
      <c r="AM69" s="132" t="s">
        <v>132</v>
      </c>
      <c r="AN69" s="132" t="s">
        <v>132</v>
      </c>
      <c r="AO69" s="132" t="s">
        <v>132</v>
      </c>
      <c r="AP69" s="132" t="s">
        <v>132</v>
      </c>
      <c r="AQ69" s="132" t="s">
        <v>132</v>
      </c>
      <c r="AR69" s="132" t="s">
        <v>132</v>
      </c>
      <c r="AS69" s="132" t="s">
        <v>132</v>
      </c>
      <c r="AT69" s="132" t="s">
        <v>132</v>
      </c>
      <c r="AU69" s="132" t="s">
        <v>132</v>
      </c>
      <c r="AV69" s="132" t="s">
        <v>132</v>
      </c>
      <c r="AW69" s="132" t="s">
        <v>522</v>
      </c>
      <c r="AX69" s="132" t="s">
        <v>131</v>
      </c>
      <c r="AY69" s="132">
        <v>15.0</v>
      </c>
      <c r="AZ69" s="132">
        <v>30.0</v>
      </c>
      <c r="BA69" s="132"/>
      <c r="BB69" s="132" t="s">
        <v>145</v>
      </c>
      <c r="BC69" s="297"/>
      <c r="BD69" s="318">
        <v>2.0</v>
      </c>
      <c r="BE69" s="132">
        <v>1.0</v>
      </c>
      <c r="BF69" s="132">
        <v>2.0</v>
      </c>
      <c r="BG69" s="132">
        <v>3.0</v>
      </c>
      <c r="BH69" s="132">
        <v>3.0</v>
      </c>
      <c r="BI69" s="301" t="str">
        <f t="shared" si="3"/>
        <v>21233</v>
      </c>
      <c r="BJ69" s="132">
        <v>65.0</v>
      </c>
      <c r="BK69" s="132">
        <v>5.0</v>
      </c>
      <c r="BL69" s="132">
        <v>5.0</v>
      </c>
      <c r="BM69" s="134">
        <v>1.0</v>
      </c>
      <c r="BN69" s="132">
        <v>3.0</v>
      </c>
      <c r="BO69" s="132">
        <v>4.0</v>
      </c>
      <c r="BP69" s="132">
        <v>5.0</v>
      </c>
      <c r="BQ69" s="132">
        <v>4.0</v>
      </c>
      <c r="BR69" s="132">
        <v>3.0</v>
      </c>
      <c r="BS69" s="132">
        <v>3.0</v>
      </c>
      <c r="BT69" s="132">
        <v>3.0</v>
      </c>
      <c r="BU69" s="302">
        <f t="shared" si="4"/>
        <v>3</v>
      </c>
      <c r="BV69" s="302">
        <f t="shared" si="90"/>
        <v>3</v>
      </c>
      <c r="BW69" s="302">
        <f t="shared" si="91"/>
        <v>36</v>
      </c>
      <c r="BX69" s="302" t="str">
        <f t="shared" si="7"/>
        <v>FATIGA EXTREMA</v>
      </c>
      <c r="BY69" s="132">
        <v>0.0</v>
      </c>
      <c r="BZ69" s="132">
        <v>0.0</v>
      </c>
      <c r="CA69" s="132">
        <v>0.0</v>
      </c>
      <c r="CB69" s="132">
        <v>0.0</v>
      </c>
      <c r="CC69" s="132">
        <v>0.0</v>
      </c>
      <c r="CD69" s="132">
        <v>0.0</v>
      </c>
      <c r="CE69" s="132">
        <v>7.0</v>
      </c>
      <c r="CF69" s="132">
        <v>0.0</v>
      </c>
      <c r="CG69" s="132">
        <v>30.0</v>
      </c>
      <c r="CH69" s="132">
        <v>2.0</v>
      </c>
      <c r="CI69" s="132">
        <v>0.0</v>
      </c>
      <c r="CJ69" s="302">
        <f t="shared" si="26"/>
        <v>693</v>
      </c>
      <c r="CK69" s="301">
        <f t="shared" si="9"/>
        <v>7</v>
      </c>
      <c r="CL69" s="301" t="str">
        <f t="shared" si="117"/>
        <v>Nivel de actividad física alto</v>
      </c>
      <c r="CM69" s="301" t="b">
        <f t="shared" si="10"/>
        <v>0</v>
      </c>
      <c r="CN69" s="208" t="str">
        <f t="shared" si="11"/>
        <v>Nivel de actividad física alto</v>
      </c>
      <c r="CO69" s="134">
        <v>12.0</v>
      </c>
      <c r="CP69" s="134">
        <v>60.0</v>
      </c>
      <c r="CQ69" s="223">
        <f t="shared" si="98"/>
        <v>2</v>
      </c>
      <c r="CR69" s="132">
        <v>8.0</v>
      </c>
      <c r="CS69" s="132">
        <v>0.0</v>
      </c>
      <c r="CT69" s="132"/>
      <c r="CU69" s="132">
        <v>6.0</v>
      </c>
      <c r="CV69" s="132">
        <v>3.0</v>
      </c>
      <c r="CW69" s="132">
        <v>3.0</v>
      </c>
      <c r="CX69" s="132">
        <v>3.0</v>
      </c>
      <c r="CY69" s="132">
        <v>0.0</v>
      </c>
      <c r="CZ69" s="132">
        <v>0.0</v>
      </c>
      <c r="DA69" s="132">
        <v>0.0</v>
      </c>
      <c r="DB69" s="132">
        <v>3.0</v>
      </c>
      <c r="DC69" s="132">
        <v>0.0</v>
      </c>
      <c r="DD69" s="132">
        <v>0.0</v>
      </c>
      <c r="DE69" s="132">
        <v>0.0</v>
      </c>
      <c r="DF69" s="132"/>
      <c r="DG69" s="303">
        <f t="shared" si="39"/>
        <v>9</v>
      </c>
      <c r="DH69" s="132">
        <v>1.0</v>
      </c>
      <c r="DI69" s="132">
        <v>0.0</v>
      </c>
      <c r="DJ69" s="132">
        <v>3.0</v>
      </c>
      <c r="DK69" s="132">
        <v>2.0</v>
      </c>
      <c r="DL69" s="302"/>
      <c r="DM69" s="302">
        <f t="shared" si="28"/>
        <v>1</v>
      </c>
      <c r="DN69" s="302">
        <f t="shared" si="29"/>
        <v>1</v>
      </c>
      <c r="DO69" s="302">
        <f t="shared" si="30"/>
        <v>3</v>
      </c>
      <c r="DP69" s="302">
        <f t="shared" si="31"/>
        <v>3</v>
      </c>
      <c r="DQ69" s="302">
        <f t="shared" si="32"/>
        <v>3</v>
      </c>
      <c r="DR69" s="302">
        <f t="shared" ref="DR69:DS69" si="118">(DH69)</f>
        <v>1</v>
      </c>
      <c r="DS69" s="302">
        <f t="shared" si="118"/>
        <v>0</v>
      </c>
      <c r="DT69" s="304">
        <f t="shared" si="34"/>
        <v>12</v>
      </c>
      <c r="DU69" s="304" t="str">
        <f t="shared" si="35"/>
        <v>poor sleep quality</v>
      </c>
      <c r="DV69" s="321">
        <v>3.0</v>
      </c>
      <c r="DW69" s="321" t="s">
        <v>489</v>
      </c>
      <c r="DX69" s="321" t="s">
        <v>146</v>
      </c>
      <c r="DY69" s="321">
        <v>1.0</v>
      </c>
      <c r="DZ69" s="321" t="s">
        <v>131</v>
      </c>
      <c r="EA69" s="321" t="s">
        <v>178</v>
      </c>
      <c r="EB69" s="321"/>
      <c r="EC69" s="321" t="s">
        <v>139</v>
      </c>
      <c r="ED69" s="321"/>
      <c r="EE69" s="321" t="s">
        <v>131</v>
      </c>
      <c r="EF69" s="321" t="s">
        <v>141</v>
      </c>
      <c r="EG69" s="305"/>
      <c r="EH69" s="305"/>
      <c r="EI69" s="130"/>
    </row>
    <row r="70" ht="15.75" customHeight="1">
      <c r="A70" s="140" t="s">
        <v>523</v>
      </c>
      <c r="B70" s="54" t="s">
        <v>175</v>
      </c>
      <c r="C70" s="296">
        <v>45479.0</v>
      </c>
      <c r="D70" s="134">
        <v>64.0</v>
      </c>
      <c r="E70" s="132" t="s">
        <v>153</v>
      </c>
      <c r="F70" s="134">
        <v>177.0</v>
      </c>
      <c r="G70" s="134">
        <v>80.0</v>
      </c>
      <c r="H70" s="318" t="s">
        <v>131</v>
      </c>
      <c r="I70" s="134">
        <v>2.0</v>
      </c>
      <c r="J70" s="349">
        <v>44531.0</v>
      </c>
      <c r="K70" s="132" t="s">
        <v>131</v>
      </c>
      <c r="L70" s="134">
        <v>3.0</v>
      </c>
      <c r="M70" s="347">
        <v>44531.0</v>
      </c>
      <c r="N70" s="132">
        <v>2.0</v>
      </c>
      <c r="O70" s="319">
        <v>45352.0</v>
      </c>
      <c r="P70" s="132" t="s">
        <v>132</v>
      </c>
      <c r="V70" s="121" t="str">
        <f t="shared" si="97"/>
        <v>Paciente ambulatorio</v>
      </c>
      <c r="W70" s="132" t="s">
        <v>176</v>
      </c>
      <c r="X70" s="132" t="s">
        <v>132</v>
      </c>
      <c r="Y70" s="132">
        <v>2.0</v>
      </c>
      <c r="Z70" s="132">
        <v>1.0</v>
      </c>
      <c r="AA70" s="132">
        <v>3.0</v>
      </c>
      <c r="AB70" s="132">
        <v>3.0</v>
      </c>
      <c r="AC70" s="132">
        <v>1.0</v>
      </c>
      <c r="AD70" s="132">
        <v>2.0</v>
      </c>
      <c r="AE70" s="132">
        <v>2.0</v>
      </c>
      <c r="AF70" s="132">
        <v>3.0</v>
      </c>
      <c r="AG70" s="132">
        <v>3.0</v>
      </c>
      <c r="AH70" s="132">
        <v>3.0</v>
      </c>
      <c r="AI70" s="132">
        <v>1.0</v>
      </c>
      <c r="AJ70" s="132">
        <v>3.0</v>
      </c>
      <c r="AK70" s="317"/>
      <c r="AL70" s="132" t="s">
        <v>132</v>
      </c>
      <c r="AM70" s="132" t="s">
        <v>132</v>
      </c>
      <c r="AN70" s="132" t="s">
        <v>132</v>
      </c>
      <c r="AO70" s="132" t="s">
        <v>132</v>
      </c>
      <c r="AP70" s="132" t="s">
        <v>132</v>
      </c>
      <c r="AQ70" s="132" t="s">
        <v>132</v>
      </c>
      <c r="AR70" s="132" t="s">
        <v>132</v>
      </c>
      <c r="AS70" s="132" t="s">
        <v>132</v>
      </c>
      <c r="AT70" s="132" t="s">
        <v>132</v>
      </c>
      <c r="AU70" s="132" t="s">
        <v>132</v>
      </c>
      <c r="AV70" s="132" t="s">
        <v>132</v>
      </c>
      <c r="AW70" s="132" t="s">
        <v>524</v>
      </c>
      <c r="AX70" s="132" t="s">
        <v>132</v>
      </c>
      <c r="AY70" s="130"/>
      <c r="AZ70" s="130"/>
      <c r="BA70" s="130"/>
      <c r="BB70" s="132" t="s">
        <v>145</v>
      </c>
      <c r="BC70" s="297"/>
      <c r="BD70" s="318">
        <v>2.0</v>
      </c>
      <c r="BE70" s="132">
        <v>1.0</v>
      </c>
      <c r="BF70" s="132">
        <v>1.0</v>
      </c>
      <c r="BG70" s="132">
        <v>2.0</v>
      </c>
      <c r="BH70" s="132">
        <v>2.0</v>
      </c>
      <c r="BI70" s="301" t="str">
        <f t="shared" si="3"/>
        <v>21122</v>
      </c>
      <c r="BJ70" s="132">
        <v>65.0</v>
      </c>
      <c r="BK70" s="132">
        <v>3.0</v>
      </c>
      <c r="BL70" s="132">
        <v>3.0</v>
      </c>
      <c r="BM70" s="132">
        <v>5.0</v>
      </c>
      <c r="BN70" s="132">
        <v>3.0</v>
      </c>
      <c r="BO70" s="132">
        <v>3.0</v>
      </c>
      <c r="BP70" s="132">
        <v>2.0</v>
      </c>
      <c r="BQ70" s="132">
        <v>2.0</v>
      </c>
      <c r="BR70" s="132">
        <v>2.0</v>
      </c>
      <c r="BS70" s="132">
        <v>2.0</v>
      </c>
      <c r="BT70" s="132">
        <v>2.0</v>
      </c>
      <c r="BU70" s="302">
        <f t="shared" si="4"/>
        <v>3</v>
      </c>
      <c r="BV70" s="302">
        <f t="shared" si="90"/>
        <v>4</v>
      </c>
      <c r="BW70" s="302">
        <f t="shared" si="91"/>
        <v>28</v>
      </c>
      <c r="BX70" s="302" t="str">
        <f t="shared" si="7"/>
        <v>FATIGA</v>
      </c>
      <c r="BY70" s="132">
        <v>0.0</v>
      </c>
      <c r="BZ70" s="132">
        <v>0.0</v>
      </c>
      <c r="CA70" s="132">
        <v>0.0</v>
      </c>
      <c r="CB70" s="132">
        <v>0.0</v>
      </c>
      <c r="CC70" s="132">
        <v>0.0</v>
      </c>
      <c r="CD70" s="132">
        <v>0.0</v>
      </c>
      <c r="CE70" s="132">
        <v>6.0</v>
      </c>
      <c r="CF70" s="132">
        <v>0.0</v>
      </c>
      <c r="CG70" s="132">
        <v>12.0</v>
      </c>
      <c r="CH70" s="132">
        <v>8.0</v>
      </c>
      <c r="CI70" s="132">
        <v>0.0</v>
      </c>
      <c r="CJ70" s="302">
        <f t="shared" si="26"/>
        <v>237.6</v>
      </c>
      <c r="CK70" s="301">
        <f t="shared" si="9"/>
        <v>6</v>
      </c>
      <c r="CL70" s="301" t="str">
        <f t="shared" ref="CL70:CL71" si="120">IF(CJ71&gt;3000,IF(CK71&gt;6,"Nivel de actividad física alto"),IF(CJ71&gt;1500,IF(BY71&gt;2,"Nivel de actividad física alto")))</f>
        <v>Nivel de actividad física alto</v>
      </c>
      <c r="CM70" s="301" t="b">
        <f t="shared" si="10"/>
        <v>0</v>
      </c>
      <c r="CN70" s="208" t="str">
        <f t="shared" si="11"/>
        <v>Nivel de actividad física alto</v>
      </c>
      <c r="CO70" s="132">
        <v>0.0</v>
      </c>
      <c r="CP70" s="132">
        <v>15.0</v>
      </c>
      <c r="CQ70" s="223">
        <f t="shared" si="98"/>
        <v>0</v>
      </c>
      <c r="CR70" s="132">
        <v>8.0</v>
      </c>
      <c r="CS70" s="132">
        <v>0.0</v>
      </c>
      <c r="CT70" s="132">
        <v>8.0</v>
      </c>
      <c r="CU70" s="132">
        <v>7.0</v>
      </c>
      <c r="CV70" s="132">
        <v>1.0</v>
      </c>
      <c r="CW70" s="132">
        <v>3.0</v>
      </c>
      <c r="CX70" s="132">
        <v>3.0</v>
      </c>
      <c r="CY70" s="132">
        <v>0.0</v>
      </c>
      <c r="CZ70" s="132">
        <v>0.0</v>
      </c>
      <c r="DA70" s="132">
        <v>0.0</v>
      </c>
      <c r="DB70" s="132">
        <v>0.0</v>
      </c>
      <c r="DC70" s="132">
        <v>0.0</v>
      </c>
      <c r="DD70" s="132">
        <v>0.0</v>
      </c>
      <c r="DE70" s="132">
        <v>1.0</v>
      </c>
      <c r="DF70" s="132" t="s">
        <v>525</v>
      </c>
      <c r="DG70" s="303">
        <f t="shared" si="39"/>
        <v>7</v>
      </c>
      <c r="DH70" s="132">
        <v>1.0</v>
      </c>
      <c r="DI70" s="132">
        <v>3.0</v>
      </c>
      <c r="DJ70" s="132">
        <v>3.0</v>
      </c>
      <c r="DK70" s="132">
        <v>0.0</v>
      </c>
      <c r="DL70" s="302">
        <f t="shared" ref="DL70:DL79" si="121">((CU70/CT70)*100)</f>
        <v>87.5</v>
      </c>
      <c r="DM70" s="302">
        <f t="shared" si="28"/>
        <v>0</v>
      </c>
      <c r="DN70" s="302">
        <f t="shared" si="29"/>
        <v>1</v>
      </c>
      <c r="DO70" s="302">
        <f t="shared" si="30"/>
        <v>1</v>
      </c>
      <c r="DP70" s="302">
        <f t="shared" si="31"/>
        <v>2</v>
      </c>
      <c r="DQ70" s="302">
        <f t="shared" si="32"/>
        <v>0</v>
      </c>
      <c r="DR70" s="302">
        <f t="shared" ref="DR70:DS70" si="119">(DH70)</f>
        <v>1</v>
      </c>
      <c r="DS70" s="302">
        <f t="shared" si="119"/>
        <v>3</v>
      </c>
      <c r="DT70" s="304">
        <f t="shared" si="34"/>
        <v>8</v>
      </c>
      <c r="DU70" s="304" t="str">
        <f t="shared" si="35"/>
        <v>poor sleep quality</v>
      </c>
      <c r="DV70" s="321">
        <v>1.0</v>
      </c>
      <c r="DW70" s="134" t="s">
        <v>314</v>
      </c>
      <c r="DX70" s="321" t="s">
        <v>146</v>
      </c>
      <c r="DY70" s="321">
        <v>2.0</v>
      </c>
      <c r="DZ70" s="321" t="s">
        <v>131</v>
      </c>
      <c r="EA70" s="321" t="s">
        <v>138</v>
      </c>
      <c r="EB70" s="321"/>
      <c r="EC70" s="321" t="s">
        <v>219</v>
      </c>
      <c r="ED70" s="305"/>
      <c r="EE70" s="321" t="s">
        <v>131</v>
      </c>
      <c r="EF70" s="321" t="s">
        <v>141</v>
      </c>
      <c r="EG70" s="305">
        <f t="shared" ref="EG70:EG74" si="123">C70-M70</f>
        <v>948</v>
      </c>
      <c r="EH70" s="305">
        <f t="shared" ref="EH70:EH139" si="124">C70-O70</f>
        <v>127</v>
      </c>
      <c r="EI70" s="130">
        <f t="shared" ref="EI70:EI79" si="125">(10000*G70/(F70*F70))</f>
        <v>25.53544639</v>
      </c>
    </row>
    <row r="71" ht="15.75" customHeight="1">
      <c r="A71" s="140" t="s">
        <v>526</v>
      </c>
      <c r="B71" s="54" t="s">
        <v>175</v>
      </c>
      <c r="C71" s="296">
        <v>45479.0</v>
      </c>
      <c r="D71" s="134">
        <v>51.0</v>
      </c>
      <c r="E71" s="132" t="s">
        <v>130</v>
      </c>
      <c r="F71" s="134">
        <v>150.0</v>
      </c>
      <c r="G71" s="134">
        <v>62.0</v>
      </c>
      <c r="H71" s="318" t="s">
        <v>131</v>
      </c>
      <c r="I71" s="134">
        <v>4.0</v>
      </c>
      <c r="J71" s="352">
        <v>44589.0</v>
      </c>
      <c r="K71" s="132" t="s">
        <v>131</v>
      </c>
      <c r="L71" s="134">
        <v>4.0</v>
      </c>
      <c r="M71" s="349">
        <v>43891.0</v>
      </c>
      <c r="N71" s="132">
        <v>0.0</v>
      </c>
      <c r="O71" s="319">
        <v>45292.0</v>
      </c>
      <c r="P71" s="132" t="s">
        <v>132</v>
      </c>
      <c r="V71" s="121" t="str">
        <f t="shared" si="97"/>
        <v>Paciente ambulatorio</v>
      </c>
      <c r="W71" s="132" t="s">
        <v>176</v>
      </c>
      <c r="X71" s="132" t="s">
        <v>132</v>
      </c>
      <c r="Y71" s="132">
        <v>1.0</v>
      </c>
      <c r="Z71" s="132">
        <v>1.0</v>
      </c>
      <c r="AA71" s="132">
        <v>1.0</v>
      </c>
      <c r="AB71" s="132">
        <v>1.0</v>
      </c>
      <c r="AC71" s="132">
        <v>2.0</v>
      </c>
      <c r="AD71" s="132">
        <v>1.0</v>
      </c>
      <c r="AE71" s="132">
        <v>1.0</v>
      </c>
      <c r="AF71" s="132">
        <v>1.0</v>
      </c>
      <c r="AG71" s="132">
        <v>1.0</v>
      </c>
      <c r="AH71" s="132">
        <v>1.0</v>
      </c>
      <c r="AI71" s="132">
        <v>1.0</v>
      </c>
      <c r="AJ71" s="132">
        <v>1.0</v>
      </c>
      <c r="AK71" s="317"/>
      <c r="AL71" s="132" t="s">
        <v>131</v>
      </c>
      <c r="AM71" s="132" t="s">
        <v>132</v>
      </c>
      <c r="AN71" s="132" t="s">
        <v>132</v>
      </c>
      <c r="AO71" s="132" t="s">
        <v>132</v>
      </c>
      <c r="AP71" s="132" t="s">
        <v>132</v>
      </c>
      <c r="AQ71" s="132" t="s">
        <v>132</v>
      </c>
      <c r="AR71" s="132" t="s">
        <v>132</v>
      </c>
      <c r="AS71" s="132" t="s">
        <v>131</v>
      </c>
      <c r="AT71" s="132" t="s">
        <v>131</v>
      </c>
      <c r="AU71" s="132" t="s">
        <v>132</v>
      </c>
      <c r="AV71" s="132" t="s">
        <v>131</v>
      </c>
      <c r="AW71" s="132" t="s">
        <v>522</v>
      </c>
      <c r="AX71" s="132" t="s">
        <v>132</v>
      </c>
      <c r="AY71" s="130"/>
      <c r="AZ71" s="130"/>
      <c r="BA71" s="130"/>
      <c r="BB71" s="132" t="s">
        <v>145</v>
      </c>
      <c r="BC71" s="297"/>
      <c r="BD71" s="318">
        <v>2.0</v>
      </c>
      <c r="BE71" s="132">
        <v>2.0</v>
      </c>
      <c r="BF71" s="132">
        <v>3.0</v>
      </c>
      <c r="BG71" s="132">
        <v>3.0</v>
      </c>
      <c r="BH71" s="132">
        <v>3.0</v>
      </c>
      <c r="BI71" s="301" t="str">
        <f t="shared" si="3"/>
        <v>22333</v>
      </c>
      <c r="BJ71" s="132">
        <v>60.0</v>
      </c>
      <c r="BK71" s="132">
        <v>5.0</v>
      </c>
      <c r="BL71" s="132">
        <v>5.0</v>
      </c>
      <c r="BM71" s="132">
        <v>2.0</v>
      </c>
      <c r="BN71" s="132">
        <v>3.0</v>
      </c>
      <c r="BO71" s="132">
        <v>4.0</v>
      </c>
      <c r="BP71" s="132">
        <v>2.0</v>
      </c>
      <c r="BQ71" s="132">
        <v>4.0</v>
      </c>
      <c r="BR71" s="132">
        <v>2.0</v>
      </c>
      <c r="BS71" s="132">
        <v>4.0</v>
      </c>
      <c r="BT71" s="132">
        <v>3.0</v>
      </c>
      <c r="BU71" s="302">
        <f t="shared" si="4"/>
        <v>3</v>
      </c>
      <c r="BV71" s="302">
        <f t="shared" si="90"/>
        <v>3</v>
      </c>
      <c r="BW71" s="302">
        <f t="shared" si="91"/>
        <v>34</v>
      </c>
      <c r="BX71" s="302" t="str">
        <f t="shared" si="7"/>
        <v>FATIGA</v>
      </c>
      <c r="BY71" s="132">
        <v>1.0</v>
      </c>
      <c r="BZ71" s="132">
        <v>2.0</v>
      </c>
      <c r="CA71" s="132">
        <v>0.0</v>
      </c>
      <c r="CB71" s="132">
        <v>3.0</v>
      </c>
      <c r="CC71" s="132">
        <v>3.0</v>
      </c>
      <c r="CD71" s="132">
        <v>0.0</v>
      </c>
      <c r="CE71" s="132">
        <v>3.0</v>
      </c>
      <c r="CF71" s="132">
        <v>0.0</v>
      </c>
      <c r="CG71" s="132">
        <v>0.0</v>
      </c>
      <c r="CH71" s="132">
        <v>1.0</v>
      </c>
      <c r="CI71" s="132">
        <v>0.0</v>
      </c>
      <c r="CJ71" s="302">
        <f t="shared" si="26"/>
        <v>3120</v>
      </c>
      <c r="CK71" s="301">
        <f t="shared" si="9"/>
        <v>7</v>
      </c>
      <c r="CL71" s="301" t="b">
        <f t="shared" si="120"/>
        <v>0</v>
      </c>
      <c r="CM71" s="301" t="str">
        <f t="shared" si="10"/>
        <v>Nivel de actividad física moderado</v>
      </c>
      <c r="CN71" s="208" t="str">
        <f t="shared" si="11"/>
        <v>Nivel de actividad física moderado</v>
      </c>
      <c r="CO71" s="132">
        <v>1.0</v>
      </c>
      <c r="CP71" s="132">
        <v>120.0</v>
      </c>
      <c r="CQ71" s="223">
        <f t="shared" si="98"/>
        <v>3</v>
      </c>
      <c r="CR71" s="132">
        <v>10.0</v>
      </c>
      <c r="CS71" s="132">
        <v>20.0</v>
      </c>
      <c r="CT71" s="132">
        <v>10.2</v>
      </c>
      <c r="CU71" s="132">
        <v>1.5</v>
      </c>
      <c r="CV71" s="132">
        <v>3.0</v>
      </c>
      <c r="CW71" s="132">
        <v>3.0</v>
      </c>
      <c r="CX71" s="132">
        <v>3.0</v>
      </c>
      <c r="CY71" s="132">
        <v>2.0</v>
      </c>
      <c r="CZ71" s="132">
        <v>0.0</v>
      </c>
      <c r="DA71" s="132">
        <v>2.0</v>
      </c>
      <c r="DB71" s="132">
        <v>3.0</v>
      </c>
      <c r="DC71" s="132">
        <v>1.0</v>
      </c>
      <c r="DD71" s="132">
        <v>3.0</v>
      </c>
      <c r="DE71" s="132">
        <v>3.0</v>
      </c>
      <c r="DF71" s="132" t="s">
        <v>279</v>
      </c>
      <c r="DG71" s="303">
        <f t="shared" si="39"/>
        <v>20</v>
      </c>
      <c r="DH71" s="132">
        <v>3.0</v>
      </c>
      <c r="DI71" s="132">
        <v>0.0</v>
      </c>
      <c r="DJ71" s="132">
        <v>0.0</v>
      </c>
      <c r="DK71" s="132">
        <v>0.0</v>
      </c>
      <c r="DL71" s="302">
        <f t="shared" si="121"/>
        <v>14.70588235</v>
      </c>
      <c r="DM71" s="302">
        <f t="shared" si="28"/>
        <v>3</v>
      </c>
      <c r="DN71" s="302">
        <f t="shared" si="29"/>
        <v>3</v>
      </c>
      <c r="DO71" s="302">
        <f t="shared" si="30"/>
        <v>3</v>
      </c>
      <c r="DP71" s="302">
        <f t="shared" si="31"/>
        <v>0</v>
      </c>
      <c r="DQ71" s="302">
        <f t="shared" si="32"/>
        <v>3</v>
      </c>
      <c r="DR71" s="302">
        <f t="shared" ref="DR71:DS71" si="122">(DH71)</f>
        <v>3</v>
      </c>
      <c r="DS71" s="302">
        <f t="shared" si="122"/>
        <v>0</v>
      </c>
      <c r="DT71" s="304">
        <f t="shared" si="34"/>
        <v>15</v>
      </c>
      <c r="DU71" s="304" t="str">
        <f t="shared" si="35"/>
        <v>poor sleep quality</v>
      </c>
      <c r="DV71" s="321">
        <v>3.0</v>
      </c>
      <c r="DW71" s="130" t="s">
        <v>489</v>
      </c>
      <c r="DX71" s="321" t="s">
        <v>146</v>
      </c>
      <c r="DY71" s="321">
        <v>1.0</v>
      </c>
      <c r="DZ71" s="321" t="s">
        <v>131</v>
      </c>
      <c r="EA71" s="321" t="s">
        <v>202</v>
      </c>
      <c r="EB71" s="321"/>
      <c r="EC71" s="321" t="s">
        <v>248</v>
      </c>
      <c r="ED71" s="321" t="s">
        <v>131</v>
      </c>
      <c r="EE71" s="321" t="s">
        <v>132</v>
      </c>
      <c r="EF71" s="321" t="s">
        <v>151</v>
      </c>
      <c r="EG71" s="305">
        <f t="shared" si="123"/>
        <v>1588</v>
      </c>
      <c r="EH71" s="305">
        <f t="shared" si="124"/>
        <v>187</v>
      </c>
      <c r="EI71" s="130">
        <f t="shared" si="125"/>
        <v>27.55555556</v>
      </c>
    </row>
    <row r="72" ht="15.75" customHeight="1">
      <c r="A72" s="140" t="s">
        <v>527</v>
      </c>
      <c r="B72" s="54" t="s">
        <v>175</v>
      </c>
      <c r="C72" s="296">
        <v>45479.0</v>
      </c>
      <c r="D72" s="134">
        <v>42.0</v>
      </c>
      <c r="E72" s="132" t="s">
        <v>153</v>
      </c>
      <c r="F72" s="134">
        <v>180.0</v>
      </c>
      <c r="G72" s="134">
        <v>100.0</v>
      </c>
      <c r="H72" s="318" t="s">
        <v>131</v>
      </c>
      <c r="I72" s="134">
        <v>2.0</v>
      </c>
      <c r="K72" s="132" t="s">
        <v>131</v>
      </c>
      <c r="L72" s="134">
        <v>2.0</v>
      </c>
      <c r="M72" s="349">
        <v>44228.0</v>
      </c>
      <c r="N72" s="132">
        <v>0.0</v>
      </c>
      <c r="O72" s="319">
        <v>44896.0</v>
      </c>
      <c r="P72" s="132" t="s">
        <v>132</v>
      </c>
      <c r="V72" s="121" t="str">
        <f t="shared" si="97"/>
        <v>Paciente ambulatorio</v>
      </c>
      <c r="W72" s="132" t="s">
        <v>176</v>
      </c>
      <c r="X72" s="132" t="s">
        <v>132</v>
      </c>
      <c r="Y72" s="132">
        <v>2.0</v>
      </c>
      <c r="Z72" s="132">
        <v>1.0</v>
      </c>
      <c r="AA72" s="132">
        <v>3.0</v>
      </c>
      <c r="AB72" s="132">
        <v>3.0</v>
      </c>
      <c r="AC72" s="132">
        <v>3.0</v>
      </c>
      <c r="AD72" s="132">
        <v>1.0</v>
      </c>
      <c r="AE72" s="132">
        <v>1.0</v>
      </c>
      <c r="AF72" s="132">
        <v>1.0</v>
      </c>
      <c r="AG72" s="132">
        <v>3.0</v>
      </c>
      <c r="AH72" s="132">
        <v>1.0</v>
      </c>
      <c r="AI72" s="132">
        <v>1.0</v>
      </c>
      <c r="AJ72" s="132">
        <v>1.0</v>
      </c>
      <c r="AK72" s="317" t="s">
        <v>278</v>
      </c>
      <c r="AL72" s="132" t="s">
        <v>132</v>
      </c>
      <c r="AM72" s="132" t="s">
        <v>132</v>
      </c>
      <c r="AN72" s="132" t="s">
        <v>132</v>
      </c>
      <c r="AO72" s="132" t="s">
        <v>132</v>
      </c>
      <c r="AP72" s="132" t="s">
        <v>132</v>
      </c>
      <c r="AQ72" s="132" t="s">
        <v>132</v>
      </c>
      <c r="AR72" s="132" t="s">
        <v>132</v>
      </c>
      <c r="AS72" s="132" t="s">
        <v>132</v>
      </c>
      <c r="AT72" s="132" t="s">
        <v>132</v>
      </c>
      <c r="AU72" s="132" t="s">
        <v>132</v>
      </c>
      <c r="AV72" s="132" t="s">
        <v>132</v>
      </c>
      <c r="AW72" s="130"/>
      <c r="AX72" s="132" t="s">
        <v>132</v>
      </c>
      <c r="AY72" s="130"/>
      <c r="AZ72" s="130"/>
      <c r="BA72" s="130"/>
      <c r="BB72" s="132" t="s">
        <v>135</v>
      </c>
      <c r="BC72" s="317">
        <v>1.0</v>
      </c>
      <c r="BD72" s="318">
        <v>1.0</v>
      </c>
      <c r="BE72" s="132">
        <v>1.0</v>
      </c>
      <c r="BF72" s="132">
        <v>1.0</v>
      </c>
      <c r="BG72" s="132">
        <v>3.0</v>
      </c>
      <c r="BH72" s="132">
        <v>3.0</v>
      </c>
      <c r="BI72" s="301" t="str">
        <f t="shared" si="3"/>
        <v>11133</v>
      </c>
      <c r="BJ72" s="132">
        <v>70.0</v>
      </c>
      <c r="BK72" s="132">
        <v>4.0</v>
      </c>
      <c r="BL72" s="132">
        <v>3.0</v>
      </c>
      <c r="BM72" s="132">
        <v>3.0</v>
      </c>
      <c r="BN72" s="132">
        <v>2.0</v>
      </c>
      <c r="BO72" s="132">
        <v>3.0</v>
      </c>
      <c r="BP72" s="132">
        <v>4.0</v>
      </c>
      <c r="BQ72" s="132">
        <v>2.0</v>
      </c>
      <c r="BR72" s="132">
        <v>4.0</v>
      </c>
      <c r="BS72" s="132">
        <v>2.0</v>
      </c>
      <c r="BT72" s="132">
        <v>3.0</v>
      </c>
      <c r="BU72" s="302">
        <f t="shared" si="4"/>
        <v>4</v>
      </c>
      <c r="BV72" s="302">
        <f t="shared" si="90"/>
        <v>3</v>
      </c>
      <c r="BW72" s="302">
        <f t="shared" si="91"/>
        <v>31</v>
      </c>
      <c r="BX72" s="302" t="str">
        <f t="shared" si="7"/>
        <v>FATIGA</v>
      </c>
      <c r="BY72" s="132">
        <v>0.0</v>
      </c>
      <c r="BZ72" s="132">
        <v>0.0</v>
      </c>
      <c r="CA72" s="132">
        <v>0.0</v>
      </c>
      <c r="CB72" s="132">
        <v>1.0</v>
      </c>
      <c r="CC72" s="132">
        <v>1.0</v>
      </c>
      <c r="CD72" s="132">
        <v>0.0</v>
      </c>
      <c r="CE72" s="132">
        <v>4.0</v>
      </c>
      <c r="CF72" s="132">
        <v>0.0</v>
      </c>
      <c r="CG72" s="132">
        <v>30.0</v>
      </c>
      <c r="CH72" s="132">
        <v>4.0</v>
      </c>
      <c r="CI72" s="132">
        <v>0.0</v>
      </c>
      <c r="CJ72" s="302">
        <f t="shared" si="26"/>
        <v>636</v>
      </c>
      <c r="CK72" s="301">
        <f t="shared" si="9"/>
        <v>5</v>
      </c>
      <c r="CL72" s="301" t="b">
        <f>IF(CJ74&gt;3000,IF(CK74&gt;6,"Nivel de actividad física alto"),IF(CJ74&gt;1500,IF(BY74&gt;2,"Nivel de actividad física alto")))</f>
        <v>0</v>
      </c>
      <c r="CM72" s="301" t="b">
        <f t="shared" si="10"/>
        <v>0</v>
      </c>
      <c r="CN72" s="208" t="str">
        <f t="shared" si="11"/>
        <v>Nivel de actividad física bajo</v>
      </c>
      <c r="CO72" s="132">
        <v>23.0</v>
      </c>
      <c r="CP72" s="132">
        <v>30.0</v>
      </c>
      <c r="CQ72" s="223">
        <f t="shared" si="98"/>
        <v>1</v>
      </c>
      <c r="CR72" s="132">
        <v>8.0</v>
      </c>
      <c r="CS72" s="132">
        <v>30.0</v>
      </c>
      <c r="CT72" s="132">
        <v>9.0</v>
      </c>
      <c r="CU72" s="132">
        <v>5.0</v>
      </c>
      <c r="CV72" s="132">
        <v>3.0</v>
      </c>
      <c r="CW72" s="132">
        <v>3.0</v>
      </c>
      <c r="CX72" s="132">
        <v>3.0</v>
      </c>
      <c r="CY72" s="132">
        <v>2.0</v>
      </c>
      <c r="CZ72" s="132">
        <v>0.0</v>
      </c>
      <c r="DA72" s="132">
        <v>0.0</v>
      </c>
      <c r="DB72" s="132">
        <v>3.0</v>
      </c>
      <c r="DC72" s="132">
        <v>3.0</v>
      </c>
      <c r="DD72" s="132">
        <v>2.0</v>
      </c>
      <c r="DE72" s="132">
        <v>3.0</v>
      </c>
      <c r="DF72" s="132" t="s">
        <v>528</v>
      </c>
      <c r="DG72" s="303">
        <f t="shared" si="39"/>
        <v>19</v>
      </c>
      <c r="DH72" s="132">
        <v>2.0</v>
      </c>
      <c r="DI72" s="132">
        <v>0.0</v>
      </c>
      <c r="DJ72" s="132">
        <v>3.0</v>
      </c>
      <c r="DK72" s="132">
        <v>3.0</v>
      </c>
      <c r="DL72" s="302">
        <f t="shared" si="121"/>
        <v>55.55555556</v>
      </c>
      <c r="DM72" s="302">
        <f t="shared" si="28"/>
        <v>2</v>
      </c>
      <c r="DN72" s="302">
        <f t="shared" si="29"/>
        <v>3</v>
      </c>
      <c r="DO72" s="302">
        <f t="shared" si="30"/>
        <v>2</v>
      </c>
      <c r="DP72" s="302">
        <f t="shared" si="31"/>
        <v>3</v>
      </c>
      <c r="DQ72" s="302">
        <f t="shared" si="32"/>
        <v>3</v>
      </c>
      <c r="DR72" s="302">
        <f t="shared" ref="DR72:DS72" si="126">(DH72)</f>
        <v>2</v>
      </c>
      <c r="DS72" s="302">
        <f t="shared" si="126"/>
        <v>0</v>
      </c>
      <c r="DT72" s="304">
        <f t="shared" si="34"/>
        <v>15</v>
      </c>
      <c r="DU72" s="304" t="str">
        <f t="shared" si="35"/>
        <v>poor sleep quality</v>
      </c>
      <c r="DV72" s="321">
        <v>2.0</v>
      </c>
      <c r="DW72" s="130" t="s">
        <v>489</v>
      </c>
      <c r="DX72" s="321" t="s">
        <v>213</v>
      </c>
      <c r="DY72" s="321">
        <v>1.0</v>
      </c>
      <c r="DZ72" s="321" t="s">
        <v>131</v>
      </c>
      <c r="EA72" s="321" t="s">
        <v>178</v>
      </c>
      <c r="EB72" s="321"/>
      <c r="EC72" s="321" t="s">
        <v>230</v>
      </c>
      <c r="ED72" s="321" t="s">
        <v>131</v>
      </c>
      <c r="EE72" s="321" t="s">
        <v>132</v>
      </c>
      <c r="EF72" s="321" t="s">
        <v>141</v>
      </c>
      <c r="EG72" s="305">
        <f t="shared" si="123"/>
        <v>1251</v>
      </c>
      <c r="EH72" s="305">
        <f t="shared" si="124"/>
        <v>583</v>
      </c>
      <c r="EI72" s="130">
        <f t="shared" si="125"/>
        <v>30.86419753</v>
      </c>
    </row>
    <row r="73" ht="15.75" customHeight="1">
      <c r="A73" s="142" t="s">
        <v>529</v>
      </c>
      <c r="B73" s="54" t="s">
        <v>175</v>
      </c>
      <c r="C73" s="316">
        <v>45507.0</v>
      </c>
      <c r="D73" s="132">
        <v>66.0</v>
      </c>
      <c r="E73" s="130" t="s">
        <v>130</v>
      </c>
      <c r="F73" s="132">
        <v>150.0</v>
      </c>
      <c r="G73" s="132">
        <v>80.0</v>
      </c>
      <c r="H73" s="298" t="s">
        <v>131</v>
      </c>
      <c r="I73" s="132">
        <v>4.0</v>
      </c>
      <c r="J73" s="319">
        <v>45453.0</v>
      </c>
      <c r="K73" s="130" t="s">
        <v>131</v>
      </c>
      <c r="L73" s="130">
        <v>1.0</v>
      </c>
      <c r="M73" s="319">
        <v>44782.0</v>
      </c>
      <c r="N73" s="132">
        <v>3.0</v>
      </c>
      <c r="O73" s="299"/>
      <c r="P73" s="130" t="s">
        <v>132</v>
      </c>
      <c r="S73" s="327"/>
      <c r="V73" s="121" t="str">
        <f t="shared" si="97"/>
        <v>Paciente ambulatorio</v>
      </c>
      <c r="W73" s="130" t="s">
        <v>183</v>
      </c>
      <c r="X73" s="130" t="s">
        <v>132</v>
      </c>
      <c r="Y73" s="130">
        <v>2.0</v>
      </c>
      <c r="Z73" s="130">
        <v>1.0</v>
      </c>
      <c r="AA73" s="132">
        <v>1.0</v>
      </c>
      <c r="AB73" s="132">
        <v>3.0</v>
      </c>
      <c r="AC73" s="132">
        <v>3.0</v>
      </c>
      <c r="AD73" s="132">
        <v>3.0</v>
      </c>
      <c r="AE73" s="132">
        <v>3.0</v>
      </c>
      <c r="AF73" s="130">
        <v>1.0</v>
      </c>
      <c r="AG73" s="132">
        <v>1.0</v>
      </c>
      <c r="AH73" s="130">
        <v>1.0</v>
      </c>
      <c r="AI73" s="130">
        <v>1.0</v>
      </c>
      <c r="AJ73" s="130">
        <v>1.0</v>
      </c>
      <c r="AK73" s="134" t="s">
        <v>530</v>
      </c>
      <c r="AL73" s="298" t="s">
        <v>131</v>
      </c>
      <c r="AM73" s="130" t="s">
        <v>132</v>
      </c>
      <c r="AN73" s="130" t="s">
        <v>132</v>
      </c>
      <c r="AO73" s="130" t="s">
        <v>131</v>
      </c>
      <c r="AP73" s="130" t="s">
        <v>132</v>
      </c>
      <c r="AQ73" s="130" t="s">
        <v>132</v>
      </c>
      <c r="AR73" s="130" t="s">
        <v>132</v>
      </c>
      <c r="AS73" s="132" t="s">
        <v>131</v>
      </c>
      <c r="AT73" s="132" t="s">
        <v>131</v>
      </c>
      <c r="AU73" s="130" t="s">
        <v>132</v>
      </c>
      <c r="AV73" s="130" t="s">
        <v>131</v>
      </c>
      <c r="AW73" s="132" t="s">
        <v>531</v>
      </c>
      <c r="AX73" s="130" t="s">
        <v>165</v>
      </c>
      <c r="AY73" s="327"/>
      <c r="AZ73" s="327"/>
      <c r="BA73" s="132">
        <v>36.0</v>
      </c>
      <c r="BB73" s="130" t="s">
        <v>145</v>
      </c>
      <c r="BC73" s="327"/>
      <c r="BD73" s="298">
        <v>2.0</v>
      </c>
      <c r="BE73" s="132">
        <v>3.0</v>
      </c>
      <c r="BF73" s="132">
        <v>3.0</v>
      </c>
      <c r="BG73" s="132">
        <v>3.0</v>
      </c>
      <c r="BH73" s="130">
        <v>2.0</v>
      </c>
      <c r="BI73" s="301" t="str">
        <f t="shared" si="3"/>
        <v>23332</v>
      </c>
      <c r="BJ73" s="132">
        <v>70.0</v>
      </c>
      <c r="BK73" s="132">
        <v>3.0</v>
      </c>
      <c r="BL73" s="132">
        <v>2.0</v>
      </c>
      <c r="BM73" s="132">
        <v>3.0</v>
      </c>
      <c r="BN73" s="130">
        <v>2.0</v>
      </c>
      <c r="BO73" s="132">
        <v>2.0</v>
      </c>
      <c r="BP73" s="132">
        <v>3.0</v>
      </c>
      <c r="BQ73" s="132">
        <v>2.0</v>
      </c>
      <c r="BR73" s="132">
        <v>2.0</v>
      </c>
      <c r="BS73" s="132">
        <v>2.0</v>
      </c>
      <c r="BT73" s="132">
        <v>4.0</v>
      </c>
      <c r="BU73" s="302">
        <f t="shared" si="4"/>
        <v>4</v>
      </c>
      <c r="BV73" s="302">
        <f t="shared" si="90"/>
        <v>2</v>
      </c>
      <c r="BW73" s="302">
        <f t="shared" si="91"/>
        <v>25</v>
      </c>
      <c r="BX73" s="302" t="str">
        <f t="shared" si="7"/>
        <v>FATIGA</v>
      </c>
      <c r="BY73" s="132">
        <v>2.0</v>
      </c>
      <c r="BZ73" s="130">
        <v>1.0</v>
      </c>
      <c r="CA73" s="130">
        <v>0.0</v>
      </c>
      <c r="CB73" s="130">
        <v>0.0</v>
      </c>
      <c r="CC73" s="132">
        <v>0.0</v>
      </c>
      <c r="CD73" s="130">
        <v>0.0</v>
      </c>
      <c r="CE73" s="132">
        <v>1.0</v>
      </c>
      <c r="CF73" s="132">
        <v>0.0</v>
      </c>
      <c r="CG73" s="132">
        <v>20.0</v>
      </c>
      <c r="CH73" s="132">
        <v>8.0</v>
      </c>
      <c r="CI73" s="130">
        <v>0.0</v>
      </c>
      <c r="CJ73" s="302">
        <f t="shared" si="26"/>
        <v>1026</v>
      </c>
      <c r="CK73" s="301">
        <f t="shared" si="9"/>
        <v>3</v>
      </c>
      <c r="CL73" s="301" t="b">
        <f>IF(CJ74&gt;3000,IF(CK74&gt;6,"Nivel de actividad física alto"),IF(CJ74&gt;1500,IF(BY74&gt;2,"Nivel de actividad física alto")))</f>
        <v>0</v>
      </c>
      <c r="CM73" s="301" t="b">
        <f t="shared" si="10"/>
        <v>0</v>
      </c>
      <c r="CN73" s="208" t="str">
        <f t="shared" si="11"/>
        <v>Nivel de actividad física bajo</v>
      </c>
      <c r="CO73" s="132">
        <v>12.0</v>
      </c>
      <c r="CP73" s="132">
        <v>60.0</v>
      </c>
      <c r="CQ73" s="223">
        <f t="shared" si="98"/>
        <v>2</v>
      </c>
      <c r="CR73" s="132">
        <v>6.0</v>
      </c>
      <c r="CS73" s="132">
        <v>15.0</v>
      </c>
      <c r="CT73" s="130"/>
      <c r="CU73" s="132">
        <v>6.0</v>
      </c>
      <c r="CV73" s="132">
        <v>3.0</v>
      </c>
      <c r="CW73" s="130">
        <v>3.0</v>
      </c>
      <c r="CX73" s="130">
        <v>3.0</v>
      </c>
      <c r="CY73" s="130">
        <v>0.0</v>
      </c>
      <c r="CZ73" s="130">
        <v>0.0</v>
      </c>
      <c r="DA73" s="132">
        <v>0.0</v>
      </c>
      <c r="DB73" s="132">
        <v>0.0</v>
      </c>
      <c r="DC73" s="132">
        <v>3.0</v>
      </c>
      <c r="DD73" s="130">
        <v>3.0</v>
      </c>
      <c r="DE73" s="132">
        <v>3.0</v>
      </c>
      <c r="DF73" s="132" t="s">
        <v>279</v>
      </c>
      <c r="DG73" s="303">
        <f t="shared" si="39"/>
        <v>15</v>
      </c>
      <c r="DH73" s="132">
        <v>1.0</v>
      </c>
      <c r="DI73" s="132">
        <v>3.0</v>
      </c>
      <c r="DJ73" s="130">
        <v>3.0</v>
      </c>
      <c r="DK73" s="132">
        <v>0.0</v>
      </c>
      <c r="DL73" s="302" t="str">
        <f t="shared" si="121"/>
        <v>#DIV/0!</v>
      </c>
      <c r="DM73" s="302">
        <f t="shared" si="28"/>
        <v>1</v>
      </c>
      <c r="DN73" s="302">
        <f t="shared" si="29"/>
        <v>2</v>
      </c>
      <c r="DO73" s="302">
        <f t="shared" si="30"/>
        <v>3</v>
      </c>
      <c r="DP73" s="302">
        <f t="shared" si="31"/>
        <v>2</v>
      </c>
      <c r="DQ73" s="302" t="str">
        <f t="shared" si="32"/>
        <v>#DIV/0!</v>
      </c>
      <c r="DR73" s="302">
        <f t="shared" ref="DR73:DS73" si="127">(DH73)</f>
        <v>1</v>
      </c>
      <c r="DS73" s="302">
        <f t="shared" si="127"/>
        <v>3</v>
      </c>
      <c r="DT73" s="304" t="str">
        <f t="shared" si="34"/>
        <v>#DIV/0!</v>
      </c>
      <c r="DU73" s="304" t="str">
        <f t="shared" si="35"/>
        <v>#DIV/0!</v>
      </c>
      <c r="DV73" s="132">
        <v>0.0</v>
      </c>
      <c r="DW73" s="130"/>
      <c r="DX73" s="321" t="s">
        <v>146</v>
      </c>
      <c r="DY73" s="305">
        <v>1.0</v>
      </c>
      <c r="DZ73" s="305" t="s">
        <v>131</v>
      </c>
      <c r="EA73" s="321" t="s">
        <v>167</v>
      </c>
      <c r="EB73" s="305"/>
      <c r="EC73" s="321" t="s">
        <v>261</v>
      </c>
      <c r="ED73" s="321" t="s">
        <v>131</v>
      </c>
      <c r="EE73" s="305" t="s">
        <v>132</v>
      </c>
      <c r="EF73" s="321" t="s">
        <v>151</v>
      </c>
      <c r="EG73" s="305">
        <f t="shared" si="123"/>
        <v>725</v>
      </c>
      <c r="EH73" s="305">
        <f t="shared" si="124"/>
        <v>45507</v>
      </c>
      <c r="EI73" s="130">
        <f t="shared" si="125"/>
        <v>35.55555556</v>
      </c>
    </row>
    <row r="74" ht="15.75" customHeight="1">
      <c r="A74" s="142" t="s">
        <v>532</v>
      </c>
      <c r="B74" s="54" t="s">
        <v>175</v>
      </c>
      <c r="C74" s="296">
        <v>45486.0</v>
      </c>
      <c r="D74" s="134">
        <v>62.0</v>
      </c>
      <c r="E74" s="132" t="s">
        <v>130</v>
      </c>
      <c r="F74" s="134">
        <v>162.0</v>
      </c>
      <c r="G74" s="134">
        <v>52.0</v>
      </c>
      <c r="H74" s="318" t="s">
        <v>131</v>
      </c>
      <c r="I74" s="134">
        <v>3.0</v>
      </c>
      <c r="J74" s="347">
        <v>44531.0</v>
      </c>
      <c r="K74" s="132" t="s">
        <v>131</v>
      </c>
      <c r="L74" s="134">
        <v>3.0</v>
      </c>
      <c r="M74" s="349">
        <v>44256.0</v>
      </c>
      <c r="N74" s="132">
        <v>0.0</v>
      </c>
      <c r="O74" s="319">
        <v>44562.0</v>
      </c>
      <c r="P74" s="132" t="s">
        <v>132</v>
      </c>
      <c r="V74" s="121" t="str">
        <f t="shared" si="97"/>
        <v>Paciente ambulatorio</v>
      </c>
      <c r="W74" s="132" t="s">
        <v>176</v>
      </c>
      <c r="X74" s="132" t="s">
        <v>132</v>
      </c>
      <c r="Y74" s="132">
        <v>3.0</v>
      </c>
      <c r="Z74" s="132">
        <v>1.0</v>
      </c>
      <c r="AA74" s="132">
        <v>2.0</v>
      </c>
      <c r="AB74" s="132">
        <v>2.0</v>
      </c>
      <c r="AC74" s="132">
        <v>3.0</v>
      </c>
      <c r="AD74" s="132">
        <v>2.0</v>
      </c>
      <c r="AE74" s="132">
        <v>2.0</v>
      </c>
      <c r="AF74" s="132">
        <v>3.0</v>
      </c>
      <c r="AG74" s="132">
        <v>3.0</v>
      </c>
      <c r="AH74" s="132">
        <v>1.0</v>
      </c>
      <c r="AI74" s="132">
        <v>1.0</v>
      </c>
      <c r="AJ74" s="132">
        <v>1.0</v>
      </c>
      <c r="AK74" s="317"/>
      <c r="AL74" s="132"/>
      <c r="AM74" s="130"/>
      <c r="AN74" s="130"/>
      <c r="AO74" s="130"/>
      <c r="AP74" s="130"/>
      <c r="AQ74" s="130"/>
      <c r="AR74" s="130"/>
      <c r="AS74" s="130"/>
      <c r="AT74" s="130"/>
      <c r="AU74" s="130"/>
      <c r="AV74" s="130"/>
      <c r="AW74" s="130"/>
      <c r="AX74" s="130"/>
      <c r="AY74" s="130"/>
      <c r="AZ74" s="130"/>
      <c r="BA74" s="130"/>
      <c r="BB74" s="130"/>
      <c r="BC74" s="297"/>
      <c r="BD74" s="318">
        <v>3.0</v>
      </c>
      <c r="BE74" s="132">
        <v>1.0</v>
      </c>
      <c r="BF74" s="132">
        <v>3.0</v>
      </c>
      <c r="BG74" s="132">
        <v>4.0</v>
      </c>
      <c r="BH74" s="132">
        <v>3.0</v>
      </c>
      <c r="BI74" s="301" t="str">
        <f t="shared" si="3"/>
        <v>31343</v>
      </c>
      <c r="BJ74" s="132">
        <v>50.0</v>
      </c>
      <c r="BK74" s="132">
        <v>4.0</v>
      </c>
      <c r="BL74" s="132">
        <v>4.0</v>
      </c>
      <c r="BM74" s="132">
        <v>3.0</v>
      </c>
      <c r="BN74" s="132">
        <v>3.0</v>
      </c>
      <c r="BO74" s="132">
        <v>4.0</v>
      </c>
      <c r="BP74" s="132">
        <v>3.0</v>
      </c>
      <c r="BQ74" s="132">
        <v>2.0</v>
      </c>
      <c r="BR74" s="132">
        <v>3.0</v>
      </c>
      <c r="BS74" s="132">
        <v>4.0</v>
      </c>
      <c r="BT74" s="132">
        <v>3.0</v>
      </c>
      <c r="BU74" s="302">
        <f t="shared" si="4"/>
        <v>3</v>
      </c>
      <c r="BV74" s="302">
        <f t="shared" si="90"/>
        <v>3</v>
      </c>
      <c r="BW74" s="302">
        <f t="shared" si="91"/>
        <v>33</v>
      </c>
      <c r="BX74" s="302" t="str">
        <f t="shared" si="7"/>
        <v>FATIGA</v>
      </c>
      <c r="BY74" s="132">
        <v>0.0</v>
      </c>
      <c r="BZ74" s="132">
        <v>0.0</v>
      </c>
      <c r="CA74" s="132">
        <v>0.0</v>
      </c>
      <c r="CB74" s="132">
        <v>3.0</v>
      </c>
      <c r="CC74" s="132">
        <v>1.0</v>
      </c>
      <c r="CD74" s="132">
        <v>0.0</v>
      </c>
      <c r="CE74" s="132">
        <v>3.0</v>
      </c>
      <c r="CF74" s="132">
        <v>1.0</v>
      </c>
      <c r="CG74" s="132">
        <v>0.0</v>
      </c>
      <c r="CH74" s="132">
        <v>10.0</v>
      </c>
      <c r="CI74" s="132">
        <v>0.0</v>
      </c>
      <c r="CJ74" s="302">
        <f t="shared" si="26"/>
        <v>1314</v>
      </c>
      <c r="CK74" s="301">
        <f t="shared" si="9"/>
        <v>6</v>
      </c>
      <c r="CL74" s="301" t="b">
        <f t="shared" ref="CL74:CL75" si="129">IF(CJ76&gt;3000,IF(CK76&gt;6,"Nivel de actividad física alto"),IF(CJ76&gt;1500,IF(BY76&gt;2,"Nivel de actividad física alto")))</f>
        <v>0</v>
      </c>
      <c r="CM74" s="301" t="str">
        <f t="shared" si="10"/>
        <v>Nivel de actividad física moderado</v>
      </c>
      <c r="CN74" s="208" t="str">
        <f t="shared" si="11"/>
        <v>Nivel de actividad física moderado</v>
      </c>
      <c r="CO74" s="325">
        <v>0.9791666666666666</v>
      </c>
      <c r="CP74" s="132">
        <v>30.0</v>
      </c>
      <c r="CQ74" s="223">
        <f t="shared" si="98"/>
        <v>1</v>
      </c>
      <c r="CR74" s="132">
        <v>7.0</v>
      </c>
      <c r="CS74" s="132">
        <v>0.0</v>
      </c>
      <c r="CT74" s="132">
        <v>7.5</v>
      </c>
      <c r="CU74" s="132">
        <v>3.0</v>
      </c>
      <c r="CV74" s="132">
        <v>3.0</v>
      </c>
      <c r="CW74" s="132">
        <v>3.0</v>
      </c>
      <c r="CX74" s="132">
        <v>3.0</v>
      </c>
      <c r="CY74" s="132">
        <v>0.0</v>
      </c>
      <c r="CZ74" s="132">
        <v>0.0</v>
      </c>
      <c r="DA74" s="132">
        <v>3.0</v>
      </c>
      <c r="DB74" s="132">
        <v>0.0</v>
      </c>
      <c r="DC74" s="132">
        <v>0.0</v>
      </c>
      <c r="DD74" s="132">
        <v>1.0</v>
      </c>
      <c r="DE74" s="132">
        <v>2.0</v>
      </c>
      <c r="DF74" s="132" t="s">
        <v>279</v>
      </c>
      <c r="DG74" s="303">
        <f t="shared" si="39"/>
        <v>12</v>
      </c>
      <c r="DH74" s="132">
        <v>3.0</v>
      </c>
      <c r="DI74" s="132">
        <v>0.0</v>
      </c>
      <c r="DJ74" s="132">
        <v>0.0</v>
      </c>
      <c r="DK74" s="132">
        <v>0.0</v>
      </c>
      <c r="DL74" s="302">
        <f t="shared" si="121"/>
        <v>40</v>
      </c>
      <c r="DM74" s="302">
        <f t="shared" si="28"/>
        <v>3</v>
      </c>
      <c r="DN74" s="302">
        <f t="shared" si="29"/>
        <v>2</v>
      </c>
      <c r="DO74" s="302">
        <f t="shared" si="30"/>
        <v>2</v>
      </c>
      <c r="DP74" s="302">
        <f t="shared" si="31"/>
        <v>0</v>
      </c>
      <c r="DQ74" s="302">
        <f t="shared" si="32"/>
        <v>3</v>
      </c>
      <c r="DR74" s="302">
        <f t="shared" ref="DR74:DS74" si="128">(DH74)</f>
        <v>3</v>
      </c>
      <c r="DS74" s="302">
        <f t="shared" si="128"/>
        <v>0</v>
      </c>
      <c r="DT74" s="304">
        <f t="shared" si="34"/>
        <v>13</v>
      </c>
      <c r="DU74" s="304" t="str">
        <f t="shared" si="35"/>
        <v>poor sleep quality</v>
      </c>
      <c r="DV74" s="321">
        <v>1.0</v>
      </c>
      <c r="DW74" s="134" t="s">
        <v>314</v>
      </c>
      <c r="DX74" s="321" t="s">
        <v>146</v>
      </c>
      <c r="DY74" s="321">
        <v>2.0</v>
      </c>
      <c r="DZ74" s="321" t="s">
        <v>131</v>
      </c>
      <c r="EA74" s="321" t="s">
        <v>147</v>
      </c>
      <c r="EB74" s="321"/>
      <c r="EC74" s="321" t="s">
        <v>287</v>
      </c>
      <c r="ED74" s="321" t="s">
        <v>131</v>
      </c>
      <c r="EE74" s="321" t="s">
        <v>132</v>
      </c>
      <c r="EF74" s="321" t="s">
        <v>141</v>
      </c>
      <c r="EG74" s="305">
        <f t="shared" si="123"/>
        <v>1230</v>
      </c>
      <c r="EH74" s="305">
        <f t="shared" si="124"/>
        <v>924</v>
      </c>
      <c r="EI74" s="130">
        <f t="shared" si="125"/>
        <v>19.81405274</v>
      </c>
    </row>
    <row r="75" ht="15.75" customHeight="1">
      <c r="A75" s="142" t="s">
        <v>533</v>
      </c>
      <c r="B75" s="54" t="s">
        <v>175</v>
      </c>
      <c r="C75" s="316">
        <v>45542.0</v>
      </c>
      <c r="D75" s="134">
        <v>55.0</v>
      </c>
      <c r="E75" s="132" t="s">
        <v>130</v>
      </c>
      <c r="F75" s="134">
        <v>165.0</v>
      </c>
      <c r="G75" s="134">
        <v>69.0</v>
      </c>
      <c r="H75" s="318" t="s">
        <v>131</v>
      </c>
      <c r="I75" s="134">
        <v>4.0</v>
      </c>
      <c r="J75" s="347">
        <v>45139.0</v>
      </c>
      <c r="K75" s="132" t="s">
        <v>131</v>
      </c>
      <c r="L75" s="134">
        <v>2.0</v>
      </c>
      <c r="M75" s="134" t="s">
        <v>764</v>
      </c>
      <c r="N75" s="132">
        <v>0.0</v>
      </c>
      <c r="O75" s="319">
        <v>44593.0</v>
      </c>
      <c r="P75" s="132" t="s">
        <v>132</v>
      </c>
      <c r="V75" s="121" t="str">
        <f t="shared" si="97"/>
        <v>Paciente ambulatorio</v>
      </c>
      <c r="W75" s="132" t="s">
        <v>183</v>
      </c>
      <c r="X75" s="132" t="s">
        <v>132</v>
      </c>
      <c r="Y75" s="132">
        <v>2.0</v>
      </c>
      <c r="Z75" s="132">
        <v>3.0</v>
      </c>
      <c r="AA75" s="132">
        <v>3.0</v>
      </c>
      <c r="AB75" s="132">
        <v>3.0</v>
      </c>
      <c r="AC75" s="132">
        <v>3.0</v>
      </c>
      <c r="AD75" s="132">
        <v>1.0</v>
      </c>
      <c r="AE75" s="132">
        <v>3.0</v>
      </c>
      <c r="AF75" s="132">
        <v>1.0</v>
      </c>
      <c r="AG75" s="132">
        <v>3.0</v>
      </c>
      <c r="AH75" s="132">
        <v>1.0</v>
      </c>
      <c r="AI75" s="132">
        <v>1.0</v>
      </c>
      <c r="AJ75" s="132">
        <v>1.0</v>
      </c>
      <c r="AK75" s="317" t="s">
        <v>534</v>
      </c>
      <c r="AL75" s="132" t="s">
        <v>132</v>
      </c>
      <c r="AM75" s="132" t="s">
        <v>132</v>
      </c>
      <c r="AN75" s="132" t="s">
        <v>132</v>
      </c>
      <c r="AO75" s="132" t="s">
        <v>132</v>
      </c>
      <c r="AP75" s="132" t="s">
        <v>132</v>
      </c>
      <c r="AQ75" s="132" t="s">
        <v>132</v>
      </c>
      <c r="AR75" s="132" t="s">
        <v>132</v>
      </c>
      <c r="AS75" s="132" t="s">
        <v>132</v>
      </c>
      <c r="AT75" s="132" t="s">
        <v>132</v>
      </c>
      <c r="AU75" s="132" t="s">
        <v>132</v>
      </c>
      <c r="AV75" s="132" t="s">
        <v>131</v>
      </c>
      <c r="AW75" s="132" t="s">
        <v>535</v>
      </c>
      <c r="AX75" s="132" t="s">
        <v>132</v>
      </c>
      <c r="AY75" s="130"/>
      <c r="AZ75" s="130"/>
      <c r="BA75" s="130"/>
      <c r="BB75" s="132" t="s">
        <v>145</v>
      </c>
      <c r="BC75" s="297"/>
      <c r="BD75" s="318">
        <v>1.0</v>
      </c>
      <c r="BE75" s="132">
        <v>1.0</v>
      </c>
      <c r="BF75" s="132">
        <v>1.0</v>
      </c>
      <c r="BG75" s="132">
        <v>2.0</v>
      </c>
      <c r="BH75" s="132">
        <v>4.0</v>
      </c>
      <c r="BI75" s="301" t="str">
        <f t="shared" si="3"/>
        <v>11124</v>
      </c>
      <c r="BJ75" s="132">
        <v>90.0</v>
      </c>
      <c r="BK75" s="132">
        <v>2.0</v>
      </c>
      <c r="BL75" s="132">
        <v>2.0</v>
      </c>
      <c r="BM75" s="132">
        <v>2.0</v>
      </c>
      <c r="BN75" s="132">
        <v>3.0</v>
      </c>
      <c r="BO75" s="132">
        <v>2.0</v>
      </c>
      <c r="BP75" s="132">
        <v>2.0</v>
      </c>
      <c r="BQ75" s="132">
        <v>2.0</v>
      </c>
      <c r="BR75" s="132">
        <v>2.0</v>
      </c>
      <c r="BS75" s="132">
        <v>3.0</v>
      </c>
      <c r="BT75" s="132">
        <v>2.0</v>
      </c>
      <c r="BU75" s="302">
        <f t="shared" si="4"/>
        <v>3</v>
      </c>
      <c r="BV75" s="302">
        <f t="shared" si="90"/>
        <v>4</v>
      </c>
      <c r="BW75" s="302">
        <f t="shared" si="91"/>
        <v>23</v>
      </c>
      <c r="BX75" s="302" t="str">
        <f t="shared" si="7"/>
        <v>FATIGA</v>
      </c>
      <c r="BY75" s="132">
        <v>0.0</v>
      </c>
      <c r="BZ75" s="132">
        <v>0.0</v>
      </c>
      <c r="CA75" s="132">
        <v>0.0</v>
      </c>
      <c r="CB75" s="132">
        <v>0.0</v>
      </c>
      <c r="CC75" s="132">
        <v>0.0</v>
      </c>
      <c r="CD75" s="132">
        <v>0.0</v>
      </c>
      <c r="CE75" s="132">
        <v>1.0</v>
      </c>
      <c r="CF75" s="132">
        <v>0.0</v>
      </c>
      <c r="CG75" s="132">
        <v>12.0</v>
      </c>
      <c r="CH75" s="132">
        <v>12.0</v>
      </c>
      <c r="CI75" s="132">
        <v>0.0</v>
      </c>
      <c r="CJ75" s="302">
        <f t="shared" si="26"/>
        <v>39.6</v>
      </c>
      <c r="CK75" s="301">
        <f t="shared" si="9"/>
        <v>1</v>
      </c>
      <c r="CL75" s="301" t="b">
        <f t="shared" si="129"/>
        <v>0</v>
      </c>
      <c r="CM75" s="301" t="b">
        <f t="shared" si="10"/>
        <v>0</v>
      </c>
      <c r="CN75" s="208" t="str">
        <f t="shared" si="11"/>
        <v>Nivel de actividad física bajo</v>
      </c>
      <c r="CO75" s="132">
        <v>0.0</v>
      </c>
      <c r="CP75" s="132">
        <v>30.0</v>
      </c>
      <c r="CQ75" s="223">
        <f t="shared" si="98"/>
        <v>1</v>
      </c>
      <c r="CR75" s="132">
        <v>6.0</v>
      </c>
      <c r="CS75" s="132">
        <v>0.0</v>
      </c>
      <c r="CT75" s="132">
        <v>6.0</v>
      </c>
      <c r="CU75" s="132">
        <v>6.0</v>
      </c>
      <c r="CV75" s="132">
        <v>0.0</v>
      </c>
      <c r="CW75" s="132">
        <v>3.0</v>
      </c>
      <c r="CX75" s="132">
        <v>3.0</v>
      </c>
      <c r="CY75" s="132">
        <v>0.0</v>
      </c>
      <c r="CZ75" s="132">
        <v>0.0</v>
      </c>
      <c r="DA75" s="132">
        <v>0.0</v>
      </c>
      <c r="DB75" s="132">
        <v>3.0</v>
      </c>
      <c r="DC75" s="132">
        <v>0.0</v>
      </c>
      <c r="DD75" s="132">
        <v>0.0</v>
      </c>
      <c r="DE75" s="132">
        <v>3.0</v>
      </c>
      <c r="DF75" s="132" t="s">
        <v>536</v>
      </c>
      <c r="DG75" s="303">
        <f t="shared" si="39"/>
        <v>12</v>
      </c>
      <c r="DH75" s="132">
        <v>1.0</v>
      </c>
      <c r="DI75" s="132">
        <v>0.0</v>
      </c>
      <c r="DJ75" s="132">
        <v>3.0</v>
      </c>
      <c r="DK75" s="132">
        <v>2.0</v>
      </c>
      <c r="DL75" s="302">
        <f t="shared" si="121"/>
        <v>100</v>
      </c>
      <c r="DM75" s="302">
        <f t="shared" si="28"/>
        <v>1</v>
      </c>
      <c r="DN75" s="302">
        <f t="shared" si="29"/>
        <v>2</v>
      </c>
      <c r="DO75" s="302">
        <f t="shared" si="30"/>
        <v>1</v>
      </c>
      <c r="DP75" s="302">
        <f t="shared" si="31"/>
        <v>3</v>
      </c>
      <c r="DQ75" s="302">
        <f t="shared" si="32"/>
        <v>0</v>
      </c>
      <c r="DR75" s="302">
        <f t="shared" ref="DR75:DS75" si="130">(DH75)</f>
        <v>1</v>
      </c>
      <c r="DS75" s="302">
        <f t="shared" si="130"/>
        <v>0</v>
      </c>
      <c r="DT75" s="304">
        <f t="shared" si="34"/>
        <v>8</v>
      </c>
      <c r="DU75" s="304" t="str">
        <f t="shared" si="35"/>
        <v>poor sleep quality</v>
      </c>
      <c r="DV75" s="321">
        <v>4.0</v>
      </c>
      <c r="DW75" s="132" t="s">
        <v>537</v>
      </c>
      <c r="DX75" s="321" t="s">
        <v>146</v>
      </c>
      <c r="DY75" s="321">
        <v>2.0</v>
      </c>
      <c r="DZ75" s="321" t="s">
        <v>131</v>
      </c>
      <c r="EA75" s="321" t="s">
        <v>202</v>
      </c>
      <c r="EB75" s="321"/>
      <c r="EC75" s="321" t="s">
        <v>139</v>
      </c>
      <c r="ED75" s="321"/>
      <c r="EE75" s="321" t="s">
        <v>131</v>
      </c>
      <c r="EF75" s="321" t="s">
        <v>151</v>
      </c>
      <c r="EG75" s="305"/>
      <c r="EH75" s="305">
        <f t="shared" si="124"/>
        <v>949</v>
      </c>
      <c r="EI75" s="130">
        <f t="shared" si="125"/>
        <v>25.34435262</v>
      </c>
    </row>
    <row r="76" ht="15.75" customHeight="1">
      <c r="A76" s="142" t="s">
        <v>538</v>
      </c>
      <c r="B76" s="54" t="s">
        <v>175</v>
      </c>
      <c r="C76" s="296">
        <v>45486.0</v>
      </c>
      <c r="D76" s="134">
        <v>64.0</v>
      </c>
      <c r="E76" s="132" t="s">
        <v>153</v>
      </c>
      <c r="F76" s="134">
        <v>170.0</v>
      </c>
      <c r="G76" s="134">
        <v>107.0</v>
      </c>
      <c r="H76" s="318" t="s">
        <v>131</v>
      </c>
      <c r="I76" s="134">
        <v>6.0</v>
      </c>
      <c r="J76" s="351">
        <v>45413.0</v>
      </c>
      <c r="K76" s="132" t="s">
        <v>131</v>
      </c>
      <c r="L76" s="134">
        <v>1.0</v>
      </c>
      <c r="M76" s="349">
        <v>44197.0</v>
      </c>
      <c r="N76" s="132">
        <v>0.0</v>
      </c>
      <c r="O76" s="299"/>
      <c r="P76" s="132" t="s">
        <v>132</v>
      </c>
      <c r="V76" s="121" t="str">
        <f t="shared" si="97"/>
        <v>Paciente ambulatorio</v>
      </c>
      <c r="W76" s="132" t="s">
        <v>176</v>
      </c>
      <c r="X76" s="132" t="s">
        <v>132</v>
      </c>
      <c r="Y76" s="132">
        <v>3.0</v>
      </c>
      <c r="Z76" s="132">
        <v>2.0</v>
      </c>
      <c r="AA76" s="132">
        <v>3.0</v>
      </c>
      <c r="AB76" s="132">
        <v>2.0</v>
      </c>
      <c r="AC76" s="132">
        <v>1.0</v>
      </c>
      <c r="AD76" s="132">
        <v>2.0</v>
      </c>
      <c r="AE76" s="132">
        <v>3.0</v>
      </c>
      <c r="AF76" s="132">
        <v>1.0</v>
      </c>
      <c r="AG76" s="132">
        <v>1.0</v>
      </c>
      <c r="AH76" s="132">
        <v>1.0</v>
      </c>
      <c r="AI76" s="132">
        <v>3.0</v>
      </c>
      <c r="AJ76" s="132">
        <v>3.0</v>
      </c>
      <c r="AK76" s="317" t="s">
        <v>539</v>
      </c>
      <c r="AL76" s="132" t="s">
        <v>132</v>
      </c>
      <c r="AM76" s="132" t="s">
        <v>132</v>
      </c>
      <c r="AN76" s="132" t="s">
        <v>132</v>
      </c>
      <c r="AO76" s="132" t="s">
        <v>132</v>
      </c>
      <c r="AP76" s="132" t="s">
        <v>132</v>
      </c>
      <c r="AQ76" s="132" t="s">
        <v>132</v>
      </c>
      <c r="AR76" s="132" t="s">
        <v>132</v>
      </c>
      <c r="AS76" s="132" t="s">
        <v>132</v>
      </c>
      <c r="AT76" s="132" t="s">
        <v>132</v>
      </c>
      <c r="AU76" s="132" t="s">
        <v>132</v>
      </c>
      <c r="AV76" s="132" t="s">
        <v>132</v>
      </c>
      <c r="AW76" s="130"/>
      <c r="AX76" s="132" t="s">
        <v>165</v>
      </c>
      <c r="AY76" s="130"/>
      <c r="AZ76" s="130"/>
      <c r="BA76" s="132">
        <v>5.0</v>
      </c>
      <c r="BB76" s="132" t="s">
        <v>135</v>
      </c>
      <c r="BC76" s="317">
        <v>5.0</v>
      </c>
      <c r="BD76" s="318">
        <v>1.0</v>
      </c>
      <c r="BE76" s="132">
        <v>1.0</v>
      </c>
      <c r="BF76" s="132">
        <v>1.0</v>
      </c>
      <c r="BG76" s="132">
        <v>1.0</v>
      </c>
      <c r="BH76" s="132">
        <v>1.0</v>
      </c>
      <c r="BI76" s="301" t="str">
        <f t="shared" si="3"/>
        <v>11111</v>
      </c>
      <c r="BJ76" s="132">
        <v>95.0</v>
      </c>
      <c r="BK76" s="132">
        <v>2.0</v>
      </c>
      <c r="BL76" s="132">
        <v>2.0</v>
      </c>
      <c r="BM76" s="132">
        <v>4.0</v>
      </c>
      <c r="BN76" s="132">
        <v>5.0</v>
      </c>
      <c r="BO76" s="132">
        <v>2.0</v>
      </c>
      <c r="BP76" s="132">
        <v>2.0</v>
      </c>
      <c r="BQ76" s="132">
        <v>3.0</v>
      </c>
      <c r="BR76" s="132">
        <v>2.0</v>
      </c>
      <c r="BS76" s="132">
        <v>2.0</v>
      </c>
      <c r="BT76" s="132">
        <v>4.0</v>
      </c>
      <c r="BU76" s="302">
        <f t="shared" si="4"/>
        <v>1</v>
      </c>
      <c r="BV76" s="302">
        <f t="shared" si="90"/>
        <v>2</v>
      </c>
      <c r="BW76" s="302">
        <f t="shared" si="91"/>
        <v>25</v>
      </c>
      <c r="BX76" s="302" t="str">
        <f t="shared" si="7"/>
        <v>FATIGA</v>
      </c>
      <c r="BY76" s="132">
        <v>0.0</v>
      </c>
      <c r="BZ76" s="132">
        <v>0.0</v>
      </c>
      <c r="CA76" s="132">
        <v>0.0</v>
      </c>
      <c r="CB76" s="132">
        <v>0.0</v>
      </c>
      <c r="CC76" s="132">
        <v>0.0</v>
      </c>
      <c r="CD76" s="132">
        <v>0.0</v>
      </c>
      <c r="CE76" s="132">
        <v>7.0</v>
      </c>
      <c r="CF76" s="132">
        <v>0.0</v>
      </c>
      <c r="CG76" s="132">
        <v>15.0</v>
      </c>
      <c r="CH76" s="132">
        <v>8.0</v>
      </c>
      <c r="CI76" s="132">
        <v>0.0</v>
      </c>
      <c r="CJ76" s="302">
        <f t="shared" si="26"/>
        <v>346.5</v>
      </c>
      <c r="CK76" s="301">
        <f t="shared" si="9"/>
        <v>7</v>
      </c>
      <c r="CL76" s="301" t="b">
        <f t="shared" ref="CL76:CL79" si="132">IF(CJ77&gt;3000,IF(CK77&gt;6,"Nivel de actividad física alto"),IF(CJ77&gt;1500,IF(BY77&gt;2,"Nivel de actividad física alto")))</f>
        <v>0</v>
      </c>
      <c r="CM76" s="301" t="b">
        <f t="shared" si="10"/>
        <v>0</v>
      </c>
      <c r="CN76" s="208" t="str">
        <f t="shared" si="11"/>
        <v>Nivel de actividad física bajo</v>
      </c>
      <c r="CO76" s="325">
        <v>0.9375</v>
      </c>
      <c r="CP76" s="132">
        <v>5.0</v>
      </c>
      <c r="CQ76" s="223">
        <f t="shared" si="98"/>
        <v>0</v>
      </c>
      <c r="CR76" s="132">
        <v>5.0</v>
      </c>
      <c r="CS76" s="132">
        <v>30.0</v>
      </c>
      <c r="CT76" s="132">
        <v>7.0</v>
      </c>
      <c r="CU76" s="132">
        <v>6.0</v>
      </c>
      <c r="CV76" s="132">
        <v>0.0</v>
      </c>
      <c r="CW76" s="132">
        <v>0.0</v>
      </c>
      <c r="CX76" s="132">
        <v>3.0</v>
      </c>
      <c r="CY76" s="132">
        <v>0.0</v>
      </c>
      <c r="CZ76" s="132">
        <v>0.0</v>
      </c>
      <c r="DA76" s="132">
        <v>0.0</v>
      </c>
      <c r="DB76" s="132">
        <v>1.0</v>
      </c>
      <c r="DC76" s="132">
        <v>0.0</v>
      </c>
      <c r="DD76" s="132">
        <v>0.0</v>
      </c>
      <c r="DE76" s="132">
        <v>0.0</v>
      </c>
      <c r="DF76" s="132"/>
      <c r="DG76" s="303">
        <f t="shared" si="39"/>
        <v>4</v>
      </c>
      <c r="DH76" s="132">
        <v>1.0</v>
      </c>
      <c r="DI76" s="132">
        <v>0.0</v>
      </c>
      <c r="DJ76" s="132">
        <v>2.0</v>
      </c>
      <c r="DK76" s="132">
        <v>0.0</v>
      </c>
      <c r="DL76" s="302">
        <f t="shared" si="121"/>
        <v>85.71428571</v>
      </c>
      <c r="DM76" s="302">
        <f t="shared" si="28"/>
        <v>1</v>
      </c>
      <c r="DN76" s="302">
        <f t="shared" si="29"/>
        <v>1</v>
      </c>
      <c r="DO76" s="302">
        <f t="shared" si="30"/>
        <v>0</v>
      </c>
      <c r="DP76" s="302">
        <f t="shared" si="31"/>
        <v>1</v>
      </c>
      <c r="DQ76" s="302">
        <f t="shared" si="32"/>
        <v>0</v>
      </c>
      <c r="DR76" s="302">
        <f t="shared" ref="DR76:DS76" si="131">(DH76)</f>
        <v>1</v>
      </c>
      <c r="DS76" s="302">
        <f t="shared" si="131"/>
        <v>0</v>
      </c>
      <c r="DT76" s="304">
        <f t="shared" si="34"/>
        <v>4</v>
      </c>
      <c r="DU76" s="304" t="str">
        <f t="shared" si="35"/>
        <v>good sleep quality</v>
      </c>
      <c r="DV76" s="321">
        <v>2.0</v>
      </c>
      <c r="DW76" s="130" t="s">
        <v>489</v>
      </c>
      <c r="DX76" s="321" t="s">
        <v>146</v>
      </c>
      <c r="DY76" s="321">
        <v>1.0</v>
      </c>
      <c r="DZ76" s="321" t="s">
        <v>131</v>
      </c>
      <c r="EA76" s="321" t="s">
        <v>202</v>
      </c>
      <c r="EB76" s="321"/>
      <c r="EC76" s="321" t="s">
        <v>139</v>
      </c>
      <c r="ED76" s="305"/>
      <c r="EE76" s="321" t="s">
        <v>131</v>
      </c>
      <c r="EF76" s="321" t="s">
        <v>151</v>
      </c>
      <c r="EG76" s="305">
        <f t="shared" ref="EG76:EG136" si="134">C76-M76</f>
        <v>1289</v>
      </c>
      <c r="EH76" s="305">
        <f t="shared" si="124"/>
        <v>45486</v>
      </c>
      <c r="EI76" s="130">
        <f t="shared" si="125"/>
        <v>37.02422145</v>
      </c>
    </row>
    <row r="77" ht="15.75" customHeight="1">
      <c r="A77" s="140" t="s">
        <v>540</v>
      </c>
      <c r="B77" s="54" t="s">
        <v>175</v>
      </c>
      <c r="C77" s="296">
        <v>45486.0</v>
      </c>
      <c r="D77" s="134">
        <v>51.0</v>
      </c>
      <c r="E77" s="132" t="s">
        <v>130</v>
      </c>
      <c r="F77" s="134">
        <v>160.0</v>
      </c>
      <c r="G77" s="134">
        <v>77.0</v>
      </c>
      <c r="H77" s="318" t="s">
        <v>131</v>
      </c>
      <c r="I77" s="134">
        <v>2.0</v>
      </c>
      <c r="K77" s="132" t="s">
        <v>131</v>
      </c>
      <c r="L77" s="134">
        <v>1.0</v>
      </c>
      <c r="M77" s="350">
        <v>44196.0</v>
      </c>
      <c r="N77" s="132">
        <v>0.0</v>
      </c>
      <c r="O77" s="299"/>
      <c r="P77" s="132" t="s">
        <v>132</v>
      </c>
      <c r="V77" s="121" t="str">
        <f t="shared" si="97"/>
        <v>Paciente ambulatorio</v>
      </c>
      <c r="W77" s="132" t="s">
        <v>190</v>
      </c>
      <c r="X77" s="132" t="s">
        <v>132</v>
      </c>
      <c r="Y77" s="132">
        <v>1.0</v>
      </c>
      <c r="Z77" s="132">
        <v>1.0</v>
      </c>
      <c r="AA77" s="132">
        <v>1.0</v>
      </c>
      <c r="AB77" s="132">
        <v>1.0</v>
      </c>
      <c r="AC77" s="132">
        <v>3.0</v>
      </c>
      <c r="AD77" s="132">
        <v>1.0</v>
      </c>
      <c r="AE77" s="132">
        <v>1.0</v>
      </c>
      <c r="AF77" s="132">
        <v>1.0</v>
      </c>
      <c r="AG77" s="132">
        <v>1.0</v>
      </c>
      <c r="AH77" s="132">
        <v>1.0</v>
      </c>
      <c r="AI77" s="132">
        <v>1.0</v>
      </c>
      <c r="AJ77" s="132">
        <v>1.0</v>
      </c>
      <c r="AK77" s="317"/>
      <c r="AL77" s="132" t="s">
        <v>132</v>
      </c>
      <c r="AM77" s="132" t="s">
        <v>132</v>
      </c>
      <c r="AN77" s="132" t="s">
        <v>132</v>
      </c>
      <c r="AO77" s="132" t="s">
        <v>132</v>
      </c>
      <c r="AP77" s="132" t="s">
        <v>132</v>
      </c>
      <c r="AQ77" s="132" t="s">
        <v>132</v>
      </c>
      <c r="AR77" s="132" t="s">
        <v>132</v>
      </c>
      <c r="AS77" s="132" t="s">
        <v>132</v>
      </c>
      <c r="AT77" s="132" t="s">
        <v>132</v>
      </c>
      <c r="AU77" s="132" t="s">
        <v>132</v>
      </c>
      <c r="AV77" s="132" t="s">
        <v>131</v>
      </c>
      <c r="AW77" s="132" t="s">
        <v>541</v>
      </c>
      <c r="AX77" s="132" t="s">
        <v>132</v>
      </c>
      <c r="AY77" s="130"/>
      <c r="AZ77" s="130"/>
      <c r="BA77" s="130"/>
      <c r="BB77" s="132" t="s">
        <v>192</v>
      </c>
      <c r="BC77" s="317">
        <v>0.5</v>
      </c>
      <c r="BD77" s="318">
        <v>2.0</v>
      </c>
      <c r="BE77" s="132">
        <v>1.0</v>
      </c>
      <c r="BF77" s="132">
        <v>3.0</v>
      </c>
      <c r="BG77" s="132">
        <v>3.0</v>
      </c>
      <c r="BH77" s="132">
        <v>5.0</v>
      </c>
      <c r="BI77" s="301" t="str">
        <f t="shared" si="3"/>
        <v>21335</v>
      </c>
      <c r="BJ77" s="132">
        <v>40.0</v>
      </c>
      <c r="BK77" s="132">
        <v>4.0</v>
      </c>
      <c r="BL77" s="132">
        <v>5.0</v>
      </c>
      <c r="BM77" s="132">
        <v>3.0</v>
      </c>
      <c r="BN77" s="132">
        <v>3.0</v>
      </c>
      <c r="BO77" s="132">
        <v>4.0</v>
      </c>
      <c r="BP77" s="132">
        <v>3.0</v>
      </c>
      <c r="BQ77" s="132">
        <v>5.0</v>
      </c>
      <c r="BR77" s="132">
        <v>3.0</v>
      </c>
      <c r="BS77" s="132">
        <v>5.0</v>
      </c>
      <c r="BT77" s="132">
        <v>1.0</v>
      </c>
      <c r="BU77" s="302">
        <f t="shared" si="4"/>
        <v>3</v>
      </c>
      <c r="BV77" s="302">
        <f t="shared" si="90"/>
        <v>5</v>
      </c>
      <c r="BW77" s="302">
        <f t="shared" si="91"/>
        <v>38</v>
      </c>
      <c r="BX77" s="302" t="str">
        <f t="shared" si="7"/>
        <v>FATIGA EXTREMA</v>
      </c>
      <c r="BY77" s="132">
        <v>2.0</v>
      </c>
      <c r="BZ77" s="132">
        <v>1.0</v>
      </c>
      <c r="CA77" s="132">
        <v>0.0</v>
      </c>
      <c r="CB77" s="132">
        <v>2.0</v>
      </c>
      <c r="CC77" s="132">
        <v>1.0</v>
      </c>
      <c r="CD77" s="132">
        <v>0.0</v>
      </c>
      <c r="CE77" s="132">
        <v>0.0</v>
      </c>
      <c r="CF77" s="132">
        <v>0.0</v>
      </c>
      <c r="CG77" s="132">
        <v>0.0</v>
      </c>
      <c r="CH77" s="132">
        <v>6.0</v>
      </c>
      <c r="CI77" s="132">
        <v>0.0</v>
      </c>
      <c r="CJ77" s="302">
        <f t="shared" si="26"/>
        <v>1440</v>
      </c>
      <c r="CK77" s="301">
        <f t="shared" si="9"/>
        <v>4</v>
      </c>
      <c r="CL77" s="301" t="b">
        <f t="shared" si="132"/>
        <v>0</v>
      </c>
      <c r="CM77" s="301" t="b">
        <f t="shared" si="10"/>
        <v>0</v>
      </c>
      <c r="CN77" s="208" t="str">
        <f t="shared" si="11"/>
        <v>Nivel de actividad física bajo</v>
      </c>
      <c r="CO77" s="132">
        <v>22.0</v>
      </c>
      <c r="CP77" s="132">
        <v>15.0</v>
      </c>
      <c r="CQ77" s="223">
        <f t="shared" si="98"/>
        <v>0</v>
      </c>
      <c r="CR77" s="132">
        <v>6.0</v>
      </c>
      <c r="CS77" s="132">
        <v>0.0</v>
      </c>
      <c r="CT77" s="132">
        <v>8.0</v>
      </c>
      <c r="CU77" s="132">
        <v>4.0</v>
      </c>
      <c r="CV77" s="132">
        <v>0.0</v>
      </c>
      <c r="CW77" s="132">
        <v>3.0</v>
      </c>
      <c r="CX77" s="132">
        <v>0.0</v>
      </c>
      <c r="CY77" s="132">
        <v>0.0</v>
      </c>
      <c r="CZ77" s="132">
        <v>0.0</v>
      </c>
      <c r="DA77" s="132">
        <v>0.0</v>
      </c>
      <c r="DB77" s="132">
        <v>3.0</v>
      </c>
      <c r="DC77" s="132">
        <v>3.0</v>
      </c>
      <c r="DD77" s="132">
        <v>3.0</v>
      </c>
      <c r="DE77" s="132">
        <v>0.0</v>
      </c>
      <c r="DF77" s="132"/>
      <c r="DG77" s="303">
        <f t="shared" si="39"/>
        <v>12</v>
      </c>
      <c r="DH77" s="132">
        <v>2.0</v>
      </c>
      <c r="DI77" s="132">
        <v>3.0</v>
      </c>
      <c r="DJ77" s="132">
        <v>2.0</v>
      </c>
      <c r="DK77" s="132">
        <v>3.0</v>
      </c>
      <c r="DL77" s="302">
        <f t="shared" si="121"/>
        <v>50</v>
      </c>
      <c r="DM77" s="302">
        <f t="shared" si="28"/>
        <v>3</v>
      </c>
      <c r="DN77" s="302">
        <f t="shared" si="29"/>
        <v>2</v>
      </c>
      <c r="DO77" s="302">
        <f t="shared" si="30"/>
        <v>0</v>
      </c>
      <c r="DP77" s="302">
        <f t="shared" si="31"/>
        <v>3</v>
      </c>
      <c r="DQ77" s="302">
        <f t="shared" si="32"/>
        <v>3</v>
      </c>
      <c r="DR77" s="302">
        <f t="shared" ref="DR77:DS77" si="133">(DH77)</f>
        <v>2</v>
      </c>
      <c r="DS77" s="302">
        <f t="shared" si="133"/>
        <v>3</v>
      </c>
      <c r="DT77" s="304">
        <f t="shared" si="34"/>
        <v>16</v>
      </c>
      <c r="DU77" s="304" t="str">
        <f t="shared" si="35"/>
        <v>poor sleep quality</v>
      </c>
      <c r="DV77" s="321">
        <v>0.0</v>
      </c>
      <c r="DW77" s="130" t="s">
        <v>161</v>
      </c>
      <c r="DX77" s="321" t="s">
        <v>146</v>
      </c>
      <c r="DY77" s="321">
        <v>1.0</v>
      </c>
      <c r="DZ77" s="321" t="s">
        <v>131</v>
      </c>
      <c r="EA77" s="321" t="s">
        <v>167</v>
      </c>
      <c r="EB77" s="321"/>
      <c r="EC77" s="321" t="s">
        <v>139</v>
      </c>
      <c r="ED77" s="305"/>
      <c r="EE77" s="321" t="s">
        <v>131</v>
      </c>
      <c r="EF77" s="321" t="s">
        <v>141</v>
      </c>
      <c r="EG77" s="305">
        <f t="shared" si="134"/>
        <v>1290</v>
      </c>
      <c r="EH77" s="305">
        <f t="shared" si="124"/>
        <v>45486</v>
      </c>
      <c r="EI77" s="130">
        <f t="shared" si="125"/>
        <v>30.078125</v>
      </c>
    </row>
    <row r="78" ht="15.75" customHeight="1">
      <c r="A78" s="140" t="s">
        <v>542</v>
      </c>
      <c r="B78" s="54" t="s">
        <v>175</v>
      </c>
      <c r="C78" s="296">
        <v>45486.0</v>
      </c>
      <c r="D78" s="134">
        <v>45.0</v>
      </c>
      <c r="E78" s="132" t="s">
        <v>130</v>
      </c>
      <c r="F78" s="134">
        <v>158.0</v>
      </c>
      <c r="G78" s="134">
        <v>58.0</v>
      </c>
      <c r="H78" s="318" t="s">
        <v>131</v>
      </c>
      <c r="I78" s="134">
        <v>6.0</v>
      </c>
      <c r="J78" s="351">
        <v>45292.0</v>
      </c>
      <c r="K78" s="132" t="s">
        <v>131</v>
      </c>
      <c r="L78" s="134">
        <v>4.0</v>
      </c>
      <c r="M78" s="351">
        <v>44075.0</v>
      </c>
      <c r="N78" s="132">
        <v>0.0</v>
      </c>
      <c r="O78" s="299"/>
      <c r="P78" s="132" t="s">
        <v>132</v>
      </c>
      <c r="V78" s="121" t="str">
        <f t="shared" si="97"/>
        <v>Paciente ambulatorio</v>
      </c>
      <c r="W78" s="132" t="s">
        <v>183</v>
      </c>
      <c r="X78" s="132" t="s">
        <v>132</v>
      </c>
      <c r="Y78" s="132">
        <v>1.0</v>
      </c>
      <c r="Z78" s="132">
        <v>1.0</v>
      </c>
      <c r="AA78" s="132">
        <v>2.0</v>
      </c>
      <c r="AB78" s="132">
        <v>3.0</v>
      </c>
      <c r="AC78" s="132">
        <v>1.0</v>
      </c>
      <c r="AD78" s="132">
        <v>3.0</v>
      </c>
      <c r="AE78" s="132">
        <v>2.0</v>
      </c>
      <c r="AF78" s="132">
        <v>1.0</v>
      </c>
      <c r="AG78" s="132">
        <v>1.0</v>
      </c>
      <c r="AH78" s="132">
        <v>3.0</v>
      </c>
      <c r="AI78" s="132">
        <v>1.0</v>
      </c>
      <c r="AJ78" s="132">
        <v>1.0</v>
      </c>
      <c r="AK78" s="317"/>
      <c r="AL78" s="132" t="s">
        <v>132</v>
      </c>
      <c r="AM78" s="132" t="s">
        <v>132</v>
      </c>
      <c r="AN78" s="132" t="s">
        <v>132</v>
      </c>
      <c r="AO78" s="132" t="s">
        <v>132</v>
      </c>
      <c r="AP78" s="132" t="s">
        <v>132</v>
      </c>
      <c r="AQ78" s="132" t="s">
        <v>132</v>
      </c>
      <c r="AR78" s="132" t="s">
        <v>132</v>
      </c>
      <c r="AS78" s="132" t="s">
        <v>132</v>
      </c>
      <c r="AT78" s="132" t="s">
        <v>132</v>
      </c>
      <c r="AU78" s="132" t="s">
        <v>132</v>
      </c>
      <c r="AV78" s="132" t="s">
        <v>132</v>
      </c>
      <c r="AW78" s="130"/>
      <c r="AX78" s="132" t="s">
        <v>132</v>
      </c>
      <c r="AY78" s="130"/>
      <c r="AZ78" s="130"/>
      <c r="BA78" s="130"/>
      <c r="BB78" s="132" t="s">
        <v>145</v>
      </c>
      <c r="BC78" s="297"/>
      <c r="BD78" s="318">
        <v>1.0</v>
      </c>
      <c r="BE78" s="132">
        <v>1.0</v>
      </c>
      <c r="BF78" s="132">
        <v>1.0</v>
      </c>
      <c r="BG78" s="132">
        <v>1.0</v>
      </c>
      <c r="BH78" s="132">
        <v>2.0</v>
      </c>
      <c r="BI78" s="301" t="str">
        <f t="shared" si="3"/>
        <v>11112</v>
      </c>
      <c r="BJ78" s="132">
        <v>85.0</v>
      </c>
      <c r="BK78" s="132">
        <v>3.0</v>
      </c>
      <c r="BL78" s="132">
        <v>4.0</v>
      </c>
      <c r="BM78" s="132">
        <v>1.0</v>
      </c>
      <c r="BN78" s="132">
        <v>3.0</v>
      </c>
      <c r="BO78" s="132">
        <v>2.0</v>
      </c>
      <c r="BP78" s="132">
        <v>2.0</v>
      </c>
      <c r="BQ78" s="132">
        <v>2.0</v>
      </c>
      <c r="BR78" s="132">
        <v>1.0</v>
      </c>
      <c r="BS78" s="132">
        <v>2.0</v>
      </c>
      <c r="BT78" s="132">
        <v>2.0</v>
      </c>
      <c r="BU78" s="302">
        <f t="shared" si="4"/>
        <v>3</v>
      </c>
      <c r="BV78" s="302">
        <f t="shared" si="90"/>
        <v>4</v>
      </c>
      <c r="BW78" s="302">
        <f t="shared" si="91"/>
        <v>23</v>
      </c>
      <c r="BX78" s="302" t="str">
        <f t="shared" si="7"/>
        <v>FATIGA</v>
      </c>
      <c r="BY78" s="132">
        <v>1.0</v>
      </c>
      <c r="BZ78" s="132">
        <v>0.0</v>
      </c>
      <c r="CA78" s="132">
        <v>30.0</v>
      </c>
      <c r="CB78" s="132">
        <v>0.0</v>
      </c>
      <c r="CC78" s="132">
        <v>0.0</v>
      </c>
      <c r="CD78" s="132">
        <v>0.0</v>
      </c>
      <c r="CE78" s="132">
        <v>2.0</v>
      </c>
      <c r="CF78" s="132">
        <v>0.0</v>
      </c>
      <c r="CG78" s="132">
        <v>30.0</v>
      </c>
      <c r="CH78" s="132">
        <v>5.0</v>
      </c>
      <c r="CI78" s="132">
        <v>0.0</v>
      </c>
      <c r="CJ78" s="302">
        <f t="shared" si="26"/>
        <v>438</v>
      </c>
      <c r="CK78" s="301">
        <f t="shared" si="9"/>
        <v>3</v>
      </c>
      <c r="CL78" s="301" t="str">
        <f t="shared" si="132"/>
        <v>Nivel de actividad física alto</v>
      </c>
      <c r="CM78" s="301" t="b">
        <f t="shared" si="10"/>
        <v>0</v>
      </c>
      <c r="CN78" s="208" t="str">
        <f t="shared" si="11"/>
        <v>Nivel de actividad física alto</v>
      </c>
      <c r="CO78" s="132">
        <v>0.0</v>
      </c>
      <c r="CP78" s="132">
        <v>5.0</v>
      </c>
      <c r="CQ78" s="223">
        <f t="shared" si="98"/>
        <v>0</v>
      </c>
      <c r="CR78" s="132">
        <v>4.0</v>
      </c>
      <c r="CS78" s="132">
        <v>30.0</v>
      </c>
      <c r="CT78" s="132">
        <v>4.5</v>
      </c>
      <c r="CU78" s="132">
        <v>4.0</v>
      </c>
      <c r="CV78" s="132">
        <v>0.0</v>
      </c>
      <c r="CW78" s="132">
        <v>0.0</v>
      </c>
      <c r="CX78" s="132">
        <v>0.0</v>
      </c>
      <c r="CY78" s="132">
        <v>0.0</v>
      </c>
      <c r="CZ78" s="132">
        <v>0.0</v>
      </c>
      <c r="DA78" s="132">
        <v>0.0</v>
      </c>
      <c r="DB78" s="132">
        <v>0.0</v>
      </c>
      <c r="DC78" s="132">
        <v>0.0</v>
      </c>
      <c r="DD78" s="132">
        <v>0.0</v>
      </c>
      <c r="DE78" s="132">
        <v>0.0</v>
      </c>
      <c r="DF78" s="132"/>
      <c r="DG78" s="303">
        <f t="shared" si="39"/>
        <v>0</v>
      </c>
      <c r="DH78" s="132">
        <v>1.0</v>
      </c>
      <c r="DI78" s="132">
        <v>0.0</v>
      </c>
      <c r="DJ78" s="132">
        <v>2.0</v>
      </c>
      <c r="DK78" s="132">
        <v>0.0</v>
      </c>
      <c r="DL78" s="302">
        <f t="shared" si="121"/>
        <v>88.88888889</v>
      </c>
      <c r="DM78" s="302">
        <f t="shared" si="28"/>
        <v>3</v>
      </c>
      <c r="DN78" s="302">
        <f t="shared" si="29"/>
        <v>0</v>
      </c>
      <c r="DO78" s="302">
        <f t="shared" si="30"/>
        <v>0</v>
      </c>
      <c r="DP78" s="302">
        <f t="shared" si="31"/>
        <v>1</v>
      </c>
      <c r="DQ78" s="302">
        <f t="shared" si="32"/>
        <v>0</v>
      </c>
      <c r="DR78" s="302">
        <f t="shared" ref="DR78:DS78" si="135">(DH78)</f>
        <v>1</v>
      </c>
      <c r="DS78" s="302">
        <f t="shared" si="135"/>
        <v>0</v>
      </c>
      <c r="DT78" s="304">
        <f t="shared" si="34"/>
        <v>5</v>
      </c>
      <c r="DU78" s="304" t="str">
        <f t="shared" si="35"/>
        <v>good sleep quality</v>
      </c>
      <c r="DV78" s="321">
        <v>1.0</v>
      </c>
      <c r="DW78" s="134" t="s">
        <v>314</v>
      </c>
      <c r="DX78" s="321" t="s">
        <v>137</v>
      </c>
      <c r="DY78" s="321">
        <v>1.0</v>
      </c>
      <c r="DZ78" s="321" t="s">
        <v>131</v>
      </c>
      <c r="EA78" s="321" t="s">
        <v>138</v>
      </c>
      <c r="EB78" s="321"/>
      <c r="EC78" s="321" t="s">
        <v>139</v>
      </c>
      <c r="ED78" s="305"/>
      <c r="EE78" s="321" t="s">
        <v>131</v>
      </c>
      <c r="EF78" s="321" t="s">
        <v>141</v>
      </c>
      <c r="EG78" s="305">
        <f t="shared" si="134"/>
        <v>1411</v>
      </c>
      <c r="EH78" s="305">
        <f t="shared" si="124"/>
        <v>45486</v>
      </c>
      <c r="EI78" s="130">
        <f t="shared" si="125"/>
        <v>23.23345618</v>
      </c>
    </row>
    <row r="79" ht="15.75" customHeight="1">
      <c r="A79" s="130" t="s">
        <v>543</v>
      </c>
      <c r="B79" s="54" t="s">
        <v>175</v>
      </c>
      <c r="C79" s="296">
        <v>45514.0</v>
      </c>
      <c r="D79" s="326">
        <v>47.0</v>
      </c>
      <c r="E79" s="130" t="s">
        <v>153</v>
      </c>
      <c r="F79" s="130">
        <v>175.0</v>
      </c>
      <c r="G79" s="297">
        <v>90.0</v>
      </c>
      <c r="H79" s="298" t="s">
        <v>131</v>
      </c>
      <c r="I79" s="130">
        <v>2.0</v>
      </c>
      <c r="J79" s="299"/>
      <c r="K79" s="130" t="s">
        <v>131</v>
      </c>
      <c r="L79" s="130">
        <v>2.0</v>
      </c>
      <c r="M79" s="299">
        <v>43922.0</v>
      </c>
      <c r="N79" s="137">
        <v>0.0</v>
      </c>
      <c r="O79" s="307">
        <v>44105.0</v>
      </c>
      <c r="P79" s="130" t="s">
        <v>131</v>
      </c>
      <c r="Q79" s="130" t="s">
        <v>468</v>
      </c>
      <c r="R79" s="130" t="s">
        <v>469</v>
      </c>
      <c r="S79" s="130" t="s">
        <v>131</v>
      </c>
      <c r="T79" s="130" t="s">
        <v>470</v>
      </c>
      <c r="U79" s="130" t="s">
        <v>132</v>
      </c>
      <c r="V79" s="121" t="str">
        <f t="shared" si="97"/>
        <v>Internación moderada</v>
      </c>
      <c r="W79" s="130" t="s">
        <v>190</v>
      </c>
      <c r="X79" s="130" t="s">
        <v>132</v>
      </c>
      <c r="Y79" s="130">
        <v>1.0</v>
      </c>
      <c r="Z79" s="130">
        <v>1.0</v>
      </c>
      <c r="AA79" s="130">
        <v>1.0</v>
      </c>
      <c r="AB79" s="130">
        <v>1.0</v>
      </c>
      <c r="AC79" s="130">
        <v>1.0</v>
      </c>
      <c r="AD79" s="130">
        <v>1.0</v>
      </c>
      <c r="AE79" s="130">
        <v>1.0</v>
      </c>
      <c r="AF79" s="130">
        <v>1.0</v>
      </c>
      <c r="AG79" s="130">
        <v>1.0</v>
      </c>
      <c r="AH79" s="130">
        <v>1.0</v>
      </c>
      <c r="AI79" s="130">
        <v>1.0</v>
      </c>
      <c r="AJ79" s="130">
        <v>1.0</v>
      </c>
      <c r="AK79" s="297"/>
      <c r="AL79" s="298" t="s">
        <v>132</v>
      </c>
      <c r="AM79" s="130" t="s">
        <v>132</v>
      </c>
      <c r="AN79" s="130" t="s">
        <v>132</v>
      </c>
      <c r="AO79" s="130" t="s">
        <v>132</v>
      </c>
      <c r="AP79" s="130" t="s">
        <v>132</v>
      </c>
      <c r="AQ79" s="130" t="s">
        <v>132</v>
      </c>
      <c r="AR79" s="130" t="s">
        <v>132</v>
      </c>
      <c r="AS79" s="130" t="s">
        <v>132</v>
      </c>
      <c r="AT79" s="130" t="s">
        <v>132</v>
      </c>
      <c r="AU79" s="130" t="s">
        <v>132</v>
      </c>
      <c r="AV79" s="130" t="s">
        <v>132</v>
      </c>
      <c r="AW79" s="130"/>
      <c r="AX79" s="130" t="s">
        <v>132</v>
      </c>
      <c r="AY79" s="130"/>
      <c r="AZ79" s="130"/>
      <c r="BA79" s="130"/>
      <c r="BB79" s="130" t="s">
        <v>145</v>
      </c>
      <c r="BC79" s="297"/>
      <c r="BD79" s="298">
        <v>1.0</v>
      </c>
      <c r="BE79" s="130">
        <v>1.0</v>
      </c>
      <c r="BF79" s="130">
        <v>2.0</v>
      </c>
      <c r="BG79" s="130">
        <v>1.0</v>
      </c>
      <c r="BH79" s="130">
        <v>2.0</v>
      </c>
      <c r="BI79" s="301" t="str">
        <f t="shared" si="3"/>
        <v>11212</v>
      </c>
      <c r="BJ79" s="130">
        <v>60.0</v>
      </c>
      <c r="BK79" s="130">
        <v>2.0</v>
      </c>
      <c r="BL79" s="130">
        <v>1.0</v>
      </c>
      <c r="BM79" s="130">
        <v>1.0</v>
      </c>
      <c r="BN79" s="130">
        <v>1.0</v>
      </c>
      <c r="BO79" s="130">
        <v>4.0</v>
      </c>
      <c r="BP79" s="130">
        <v>2.0</v>
      </c>
      <c r="BQ79" s="130">
        <v>3.0</v>
      </c>
      <c r="BR79" s="130">
        <v>2.0</v>
      </c>
      <c r="BS79" s="130">
        <v>3.0</v>
      </c>
      <c r="BT79" s="130">
        <v>2.0</v>
      </c>
      <c r="BU79" s="302">
        <f t="shared" si="4"/>
        <v>5</v>
      </c>
      <c r="BV79" s="302">
        <f t="shared" si="90"/>
        <v>4</v>
      </c>
      <c r="BW79" s="302">
        <f t="shared" si="91"/>
        <v>24</v>
      </c>
      <c r="BX79" s="302" t="str">
        <f t="shared" si="7"/>
        <v>FATIGA</v>
      </c>
      <c r="BY79" s="130">
        <v>7.0</v>
      </c>
      <c r="BZ79" s="130">
        <v>1.0</v>
      </c>
      <c r="CA79" s="130">
        <v>0.0</v>
      </c>
      <c r="CB79" s="130">
        <v>7.0</v>
      </c>
      <c r="CC79" s="130">
        <v>7.0</v>
      </c>
      <c r="CD79" s="130">
        <v>0.0</v>
      </c>
      <c r="CE79" s="130">
        <v>7.0</v>
      </c>
      <c r="CF79" s="130">
        <v>0.0</v>
      </c>
      <c r="CG79" s="130">
        <v>30.0</v>
      </c>
      <c r="CH79" s="130">
        <v>0.0</v>
      </c>
      <c r="CI79" s="130">
        <v>30.0</v>
      </c>
      <c r="CJ79" s="302">
        <f t="shared" si="26"/>
        <v>15813</v>
      </c>
      <c r="CK79" s="301">
        <f t="shared" si="9"/>
        <v>21</v>
      </c>
      <c r="CL79" s="301" t="b">
        <f t="shared" si="132"/>
        <v>0</v>
      </c>
      <c r="CM79" s="301" t="str">
        <f t="shared" si="10"/>
        <v>Nivel de actividad física moderado</v>
      </c>
      <c r="CN79" s="208" t="str">
        <f t="shared" si="11"/>
        <v>Nivel de actividad física moderado</v>
      </c>
      <c r="CO79" s="130">
        <v>23.0</v>
      </c>
      <c r="CP79" s="130">
        <v>0.0</v>
      </c>
      <c r="CQ79" s="223">
        <f t="shared" si="98"/>
        <v>0</v>
      </c>
      <c r="CR79" s="130">
        <v>6.0</v>
      </c>
      <c r="CS79" s="130">
        <v>0.0</v>
      </c>
      <c r="CT79" s="130">
        <v>7.0</v>
      </c>
      <c r="CU79" s="130">
        <v>6.0</v>
      </c>
      <c r="CV79" s="130">
        <v>0.0</v>
      </c>
      <c r="CW79" s="130">
        <v>2.0</v>
      </c>
      <c r="CX79" s="130">
        <v>3.0</v>
      </c>
      <c r="CY79" s="130">
        <v>3.0</v>
      </c>
      <c r="CZ79" s="130">
        <v>3.0</v>
      </c>
      <c r="DA79" s="130">
        <v>2.0</v>
      </c>
      <c r="DB79" s="130">
        <v>1.0</v>
      </c>
      <c r="DC79" s="130">
        <v>1.0</v>
      </c>
      <c r="DD79" s="130">
        <v>0.0</v>
      </c>
      <c r="DE79" s="130">
        <v>0.0</v>
      </c>
      <c r="DF79" s="130"/>
      <c r="DG79" s="303">
        <f t="shared" si="39"/>
        <v>15</v>
      </c>
      <c r="DH79" s="130">
        <v>1.0</v>
      </c>
      <c r="DI79" s="130">
        <v>0.0</v>
      </c>
      <c r="DJ79" s="130">
        <v>3.0</v>
      </c>
      <c r="DK79" s="130">
        <v>3.0</v>
      </c>
      <c r="DL79" s="302">
        <f t="shared" si="121"/>
        <v>85.71428571</v>
      </c>
      <c r="DM79" s="302">
        <f t="shared" si="28"/>
        <v>1</v>
      </c>
      <c r="DN79" s="302">
        <f t="shared" si="29"/>
        <v>2</v>
      </c>
      <c r="DO79" s="302">
        <f t="shared" si="30"/>
        <v>0</v>
      </c>
      <c r="DP79" s="302">
        <f t="shared" si="31"/>
        <v>3</v>
      </c>
      <c r="DQ79" s="302">
        <f t="shared" si="32"/>
        <v>0</v>
      </c>
      <c r="DR79" s="302">
        <f t="shared" ref="DR79:DS79" si="136">(DH79)</f>
        <v>1</v>
      </c>
      <c r="DS79" s="302">
        <f t="shared" si="136"/>
        <v>0</v>
      </c>
      <c r="DT79" s="304">
        <f t="shared" si="34"/>
        <v>7</v>
      </c>
      <c r="DU79" s="304" t="str">
        <f t="shared" si="35"/>
        <v>poor sleep quality</v>
      </c>
      <c r="DV79" s="305">
        <v>4.0</v>
      </c>
      <c r="DW79" s="305" t="s">
        <v>149</v>
      </c>
      <c r="DX79" s="305" t="s">
        <v>207</v>
      </c>
      <c r="DY79" s="305">
        <v>2.0</v>
      </c>
      <c r="DZ79" s="305" t="s">
        <v>131</v>
      </c>
      <c r="EA79" s="305" t="s">
        <v>162</v>
      </c>
      <c r="EB79" s="305"/>
      <c r="EC79" s="305" t="s">
        <v>139</v>
      </c>
      <c r="ED79" s="305"/>
      <c r="EE79" s="305" t="s">
        <v>132</v>
      </c>
      <c r="EF79" s="305" t="s">
        <v>141</v>
      </c>
      <c r="EG79" s="305">
        <f t="shared" si="134"/>
        <v>1592</v>
      </c>
      <c r="EH79" s="305">
        <f t="shared" si="124"/>
        <v>1409</v>
      </c>
      <c r="EI79" s="130">
        <f t="shared" si="125"/>
        <v>29.3877551</v>
      </c>
    </row>
    <row r="80" ht="15.75" customHeight="1">
      <c r="A80" s="140" t="s">
        <v>546</v>
      </c>
      <c r="B80" s="54" t="s">
        <v>175</v>
      </c>
      <c r="C80" s="316">
        <v>45507.0</v>
      </c>
      <c r="D80" s="145">
        <v>44.0</v>
      </c>
      <c r="E80" s="122" t="s">
        <v>153</v>
      </c>
      <c r="F80" s="145">
        <v>165.0</v>
      </c>
      <c r="G80" s="145">
        <v>79.0</v>
      </c>
      <c r="H80" s="353" t="s">
        <v>131</v>
      </c>
      <c r="I80" s="119">
        <v>3.0</v>
      </c>
      <c r="J80" s="354">
        <v>44534.0</v>
      </c>
      <c r="K80" s="54" t="s">
        <v>131</v>
      </c>
      <c r="L80" s="145">
        <v>2.0</v>
      </c>
      <c r="M80" s="355"/>
      <c r="N80" s="145" t="s">
        <v>131</v>
      </c>
      <c r="O80" s="354">
        <v>44580.0</v>
      </c>
      <c r="P80" s="122" t="s">
        <v>132</v>
      </c>
      <c r="Q80" s="356"/>
      <c r="R80" s="356"/>
      <c r="S80" s="54"/>
      <c r="T80" s="54"/>
      <c r="U80" s="54"/>
      <c r="V80" s="121" t="str">
        <f t="shared" si="97"/>
        <v>Paciente ambulatorio</v>
      </c>
      <c r="W80" s="122" t="s">
        <v>183</v>
      </c>
      <c r="X80" s="54" t="s">
        <v>132</v>
      </c>
      <c r="Y80" s="145">
        <v>2.0</v>
      </c>
      <c r="Z80" s="145">
        <v>2.0</v>
      </c>
      <c r="AA80" s="145">
        <v>2.0</v>
      </c>
      <c r="AB80" s="119">
        <v>2.0</v>
      </c>
      <c r="AC80" s="145">
        <v>3.0</v>
      </c>
      <c r="AD80" s="145">
        <v>2.0</v>
      </c>
      <c r="AE80" s="145">
        <v>2.0</v>
      </c>
      <c r="AF80" s="145">
        <v>3.0</v>
      </c>
      <c r="AG80" s="119">
        <v>3.0</v>
      </c>
      <c r="AH80" s="145">
        <v>3.0</v>
      </c>
      <c r="AI80" s="119">
        <v>1.0</v>
      </c>
      <c r="AJ80" s="145">
        <v>3.0</v>
      </c>
      <c r="AK80" s="357"/>
      <c r="AL80" s="54" t="s">
        <v>132</v>
      </c>
      <c r="AM80" s="54" t="s">
        <v>132</v>
      </c>
      <c r="AN80" s="54" t="s">
        <v>132</v>
      </c>
      <c r="AO80" s="54" t="s">
        <v>132</v>
      </c>
      <c r="AP80" s="54" t="s">
        <v>132</v>
      </c>
      <c r="AQ80" s="54" t="s">
        <v>132</v>
      </c>
      <c r="AR80" s="54" t="s">
        <v>132</v>
      </c>
      <c r="AS80" s="54" t="s">
        <v>132</v>
      </c>
      <c r="AT80" s="54" t="s">
        <v>132</v>
      </c>
      <c r="AU80" s="54" t="s">
        <v>132</v>
      </c>
      <c r="AV80" s="54" t="s">
        <v>132</v>
      </c>
      <c r="AW80" s="358" t="s">
        <v>547</v>
      </c>
      <c r="AX80" s="54" t="s">
        <v>165</v>
      </c>
      <c r="AY80" s="359"/>
      <c r="AZ80" s="359"/>
      <c r="BA80" s="119"/>
      <c r="BB80" s="122" t="s">
        <v>145</v>
      </c>
      <c r="BC80" s="357"/>
      <c r="BD80" s="360">
        <v>2.0</v>
      </c>
      <c r="BE80" s="119">
        <v>1.0</v>
      </c>
      <c r="BF80" s="145">
        <v>1.0</v>
      </c>
      <c r="BG80" s="145">
        <v>2.0</v>
      </c>
      <c r="BH80" s="145">
        <v>1.0</v>
      </c>
      <c r="BI80" s="361" t="str">
        <f t="shared" si="3"/>
        <v>21121</v>
      </c>
      <c r="BJ80" s="145">
        <v>80.0</v>
      </c>
      <c r="BK80" s="145">
        <v>1.0</v>
      </c>
      <c r="BL80" s="145">
        <v>2.0</v>
      </c>
      <c r="BM80" s="145">
        <v>2.0</v>
      </c>
      <c r="BN80" s="145">
        <v>5.0</v>
      </c>
      <c r="BO80" s="145">
        <v>1.0</v>
      </c>
      <c r="BP80" s="145">
        <v>1.0</v>
      </c>
      <c r="BQ80" s="145">
        <v>1.0</v>
      </c>
      <c r="BR80" s="145">
        <v>2.0</v>
      </c>
      <c r="BS80" s="145">
        <v>1.0</v>
      </c>
      <c r="BT80" s="145">
        <v>3.0</v>
      </c>
      <c r="BU80" s="303">
        <f t="shared" ref="BU80:BU83" si="138">IF(BN80=1,5,IF(BN80=2,4,IF(BN80=3,3,IF(BN80=4,2,IF(BN80=5,1)))))</f>
        <v>1</v>
      </c>
      <c r="BV80" s="303">
        <f t="shared" ref="BV80:BV83" si="139">IF(BT80=1,5,IF(BT80=2,4,IF(BT80=3,3,IF(BT80=4,2,IF(BT80=5,1)))))</f>
        <v>3</v>
      </c>
      <c r="BW80" s="303">
        <f t="shared" si="91"/>
        <v>17</v>
      </c>
      <c r="BX80" s="362" t="str">
        <f t="shared" ref="BX80:BX83" si="140">IF(BW80&lt;22,"NO HAY FATIGA",IF(BW80&lt;35,"FATIGA","FATIGA EXTREMA"))</f>
        <v>NO HAY FATIGA</v>
      </c>
      <c r="BY80" s="145">
        <v>0.0</v>
      </c>
      <c r="BZ80" s="145">
        <v>0.0</v>
      </c>
      <c r="CA80" s="119">
        <v>0.0</v>
      </c>
      <c r="CB80" s="145">
        <v>1.0</v>
      </c>
      <c r="CC80" s="145">
        <v>3.0</v>
      </c>
      <c r="CD80" s="145">
        <v>30.0</v>
      </c>
      <c r="CE80" s="145">
        <v>0.0</v>
      </c>
      <c r="CF80" s="119">
        <v>0.0</v>
      </c>
      <c r="CG80" s="145">
        <v>0.0</v>
      </c>
      <c r="CH80" s="145">
        <v>2.0</v>
      </c>
      <c r="CI80" s="119">
        <v>0.0</v>
      </c>
      <c r="CJ80" s="303">
        <f t="shared" ref="CJ80:CJ83" si="141">(8*BY80*(BZ80*60+CA80)+4*CB80*(CC80*60+CD80)+3.3*CE80*(CF80*60+CG80))</f>
        <v>840</v>
      </c>
      <c r="CK80" s="361">
        <f t="shared" si="9"/>
        <v>1</v>
      </c>
      <c r="CL80" s="361" t="b">
        <f t="shared" ref="CL80:CL83" si="142">IF(CJ81&gt;3000,IF(CK81&gt;6,"Nivel de actividad física alto"),IF(CJ81&gt;1500,IF(BY81&gt;2,"Nivel de actividad física alto")))</f>
        <v>0</v>
      </c>
      <c r="CM80" s="361" t="b">
        <f t="shared" ref="CM80:CM83" si="143">IF(BY80&gt;2,(IF(BZ80*60+CA80&gt;25,"Nivel de actividad física moderado")),IF(CB80+CE80&gt;5,IF(CC80*60+CD80+CF80*60+CG80&gt;30,"Nivel de actividad física moderado"),IF(CJ80&gt;600,(IF(CK80&gt;5,"Nivel de actividad física moderado")))))</f>
        <v>0</v>
      </c>
      <c r="CN80" s="363" t="str">
        <f t="shared" si="11"/>
        <v>Nivel de actividad física bajo</v>
      </c>
      <c r="CO80" s="364">
        <v>0.5208333333333334</v>
      </c>
      <c r="CP80" s="145">
        <v>20.0</v>
      </c>
      <c r="CQ80" s="365">
        <f t="shared" ref="CQ80:CQ83" si="144">IF(CP80&gt;60,3,IF(CP80&gt;30,2,IF(CP80&gt;15,1,0)))</f>
        <v>1</v>
      </c>
      <c r="CR80" s="119">
        <v>6.0</v>
      </c>
      <c r="CS80" s="145">
        <v>20.0</v>
      </c>
      <c r="CT80" s="119"/>
      <c r="CU80" s="119">
        <v>5.0</v>
      </c>
      <c r="CV80" s="145">
        <v>0.0</v>
      </c>
      <c r="CW80" s="145">
        <v>0.0</v>
      </c>
      <c r="CX80" s="145">
        <v>0.0</v>
      </c>
      <c r="CY80" s="145">
        <v>0.0</v>
      </c>
      <c r="CZ80" s="145">
        <v>0.0</v>
      </c>
      <c r="DA80" s="145">
        <v>1.0</v>
      </c>
      <c r="DB80" s="119">
        <v>0.0</v>
      </c>
      <c r="DC80" s="119">
        <v>0.0</v>
      </c>
      <c r="DD80" s="145">
        <v>0.0</v>
      </c>
      <c r="DE80" s="145">
        <v>0.0</v>
      </c>
      <c r="DF80" s="359"/>
      <c r="DG80" s="303">
        <f t="shared" si="39"/>
        <v>1</v>
      </c>
      <c r="DH80" s="119">
        <v>2.0</v>
      </c>
      <c r="DI80" s="119">
        <v>0.0</v>
      </c>
      <c r="DJ80" s="119">
        <v>3.0</v>
      </c>
      <c r="DK80" s="145">
        <v>0.0</v>
      </c>
      <c r="DL80" s="303" t="str">
        <f t="shared" ref="DL80:DL83" si="145">((CU80/CT80)*100)</f>
        <v>#DIV/0!</v>
      </c>
      <c r="DM80" s="303">
        <f t="shared" ref="DM80:DM83" si="146">IF(CU80&gt;=7,0,IF(CU80&gt;=6,1,IF(CU80&gt;=5,2,IF(CU80&lt;5,3))))</f>
        <v>2</v>
      </c>
      <c r="DN80" s="303">
        <f t="shared" ref="DN80:DN83" si="147">IF(DG80&gt;18,3,IF(DG80&gt;9,2,IF(DG80&gt;=1,1,0)))</f>
        <v>1</v>
      </c>
      <c r="DO80" s="303">
        <f t="shared" ref="DO80:DO83" si="148">IF(CV80+CQ80&gt;=5,3,IF(CQ80+CV80&gt;=3,2,IF(CQ80+CV80&gt;=1,1,0)))</f>
        <v>1</v>
      </c>
      <c r="DP80" s="303">
        <f t="shared" ref="DP80:DP83" si="149">IF(DJ80+DK80&gt;=5,3,IF(DJ80+DK80&gt;=3,2,IF(DJ80+DK80&gt;=1,1,0)))</f>
        <v>2</v>
      </c>
      <c r="DQ80" s="303" t="str">
        <f t="shared" ref="DQ80:DQ83" si="150">IF(DL80&gt;85,0,IF(DL80&gt;75,1,IF(DL80&gt;65,2,3)))</f>
        <v>#DIV/0!</v>
      </c>
      <c r="DR80" s="303">
        <f t="shared" ref="DR80:DS80" si="137">(DH80)</f>
        <v>2</v>
      </c>
      <c r="DS80" s="303">
        <f t="shared" si="137"/>
        <v>0</v>
      </c>
      <c r="DT80" s="366" t="str">
        <f t="shared" si="34"/>
        <v>#DIV/0!</v>
      </c>
      <c r="DU80" s="367" t="str">
        <f t="shared" ref="DU80:DU83" si="152">IF(DT80&gt;5,"poor sleep quality","good sleep quality")</f>
        <v>#DIV/0!</v>
      </c>
      <c r="DV80" s="368">
        <v>3.0</v>
      </c>
      <c r="DW80" s="322" t="s">
        <v>149</v>
      </c>
      <c r="DX80" s="369" t="s">
        <v>146</v>
      </c>
      <c r="DY80" s="322">
        <v>2.0</v>
      </c>
      <c r="DZ80" s="369" t="s">
        <v>131</v>
      </c>
      <c r="EA80" s="322" t="s">
        <v>167</v>
      </c>
      <c r="EB80" s="359"/>
      <c r="EC80" s="322" t="s">
        <v>139</v>
      </c>
      <c r="ED80" s="359"/>
      <c r="EE80" s="369" t="s">
        <v>131</v>
      </c>
      <c r="EF80" s="322" t="s">
        <v>141</v>
      </c>
      <c r="EG80" s="370">
        <f t="shared" si="134"/>
        <v>45507</v>
      </c>
      <c r="EH80" s="370">
        <f t="shared" si="124"/>
        <v>927</v>
      </c>
      <c r="EI80" s="119">
        <f t="shared" ref="EI80:EI139" si="153">(10000*G80/(F80*F80))</f>
        <v>29.0174472</v>
      </c>
    </row>
    <row r="81" ht="15.75" customHeight="1">
      <c r="A81" s="140" t="s">
        <v>548</v>
      </c>
      <c r="B81" s="54" t="s">
        <v>175</v>
      </c>
      <c r="C81" s="296">
        <v>45535.0</v>
      </c>
      <c r="D81" s="119">
        <v>64.0</v>
      </c>
      <c r="E81" s="54" t="s">
        <v>153</v>
      </c>
      <c r="F81" s="119">
        <v>177.0</v>
      </c>
      <c r="G81" s="119">
        <v>80.0</v>
      </c>
      <c r="H81" s="353" t="s">
        <v>131</v>
      </c>
      <c r="I81" s="119">
        <v>2.0</v>
      </c>
      <c r="J81" s="371">
        <v>44531.0</v>
      </c>
      <c r="K81" s="54" t="s">
        <v>131</v>
      </c>
      <c r="L81" s="119">
        <v>3.0</v>
      </c>
      <c r="M81" s="372">
        <v>44531.0</v>
      </c>
      <c r="N81" s="119">
        <v>2.0</v>
      </c>
      <c r="O81" s="373">
        <v>45352.0</v>
      </c>
      <c r="P81" s="54" t="s">
        <v>132</v>
      </c>
      <c r="Q81" s="374"/>
      <c r="R81" s="374"/>
      <c r="S81" s="54"/>
      <c r="T81" s="54"/>
      <c r="U81" s="54"/>
      <c r="V81" s="121" t="str">
        <f t="shared" si="97"/>
        <v>Paciente ambulatorio</v>
      </c>
      <c r="W81" s="54" t="s">
        <v>176</v>
      </c>
      <c r="X81" s="54" t="s">
        <v>132</v>
      </c>
      <c r="Y81" s="119">
        <v>2.0</v>
      </c>
      <c r="Z81" s="119">
        <v>1.0</v>
      </c>
      <c r="AA81" s="119">
        <v>3.0</v>
      </c>
      <c r="AB81" s="119">
        <v>3.0</v>
      </c>
      <c r="AC81" s="119">
        <v>1.0</v>
      </c>
      <c r="AD81" s="119">
        <v>2.0</v>
      </c>
      <c r="AE81" s="119">
        <v>2.0</v>
      </c>
      <c r="AF81" s="119">
        <v>3.0</v>
      </c>
      <c r="AG81" s="119">
        <v>3.0</v>
      </c>
      <c r="AH81" s="119">
        <v>3.0</v>
      </c>
      <c r="AI81" s="119">
        <v>1.0</v>
      </c>
      <c r="AJ81" s="119">
        <v>3.0</v>
      </c>
      <c r="AK81" s="357"/>
      <c r="AL81" s="54" t="s">
        <v>132</v>
      </c>
      <c r="AM81" s="54" t="s">
        <v>132</v>
      </c>
      <c r="AN81" s="54" t="s">
        <v>132</v>
      </c>
      <c r="AO81" s="54" t="s">
        <v>132</v>
      </c>
      <c r="AP81" s="54" t="s">
        <v>132</v>
      </c>
      <c r="AQ81" s="54" t="s">
        <v>132</v>
      </c>
      <c r="AR81" s="54" t="s">
        <v>132</v>
      </c>
      <c r="AS81" s="54" t="s">
        <v>132</v>
      </c>
      <c r="AT81" s="54" t="s">
        <v>132</v>
      </c>
      <c r="AU81" s="54" t="s">
        <v>132</v>
      </c>
      <c r="AV81" s="54" t="s">
        <v>132</v>
      </c>
      <c r="AW81" s="54" t="s">
        <v>524</v>
      </c>
      <c r="AX81" s="54" t="s">
        <v>132</v>
      </c>
      <c r="AY81" s="359"/>
      <c r="AZ81" s="359"/>
      <c r="BA81" s="359"/>
      <c r="BB81" s="54" t="s">
        <v>145</v>
      </c>
      <c r="BC81" s="357"/>
      <c r="BD81" s="360">
        <v>2.0</v>
      </c>
      <c r="BE81" s="119">
        <v>1.0</v>
      </c>
      <c r="BF81" s="119">
        <v>1.0</v>
      </c>
      <c r="BG81" s="119">
        <v>2.0</v>
      </c>
      <c r="BH81" s="119">
        <v>2.0</v>
      </c>
      <c r="BI81" s="361" t="str">
        <f t="shared" si="3"/>
        <v>21122</v>
      </c>
      <c r="BJ81" s="119">
        <v>65.0</v>
      </c>
      <c r="BK81" s="119">
        <v>3.0</v>
      </c>
      <c r="BL81" s="119">
        <v>3.0</v>
      </c>
      <c r="BM81" s="119">
        <v>5.0</v>
      </c>
      <c r="BN81" s="119">
        <v>3.0</v>
      </c>
      <c r="BO81" s="119">
        <v>3.0</v>
      </c>
      <c r="BP81" s="119">
        <v>2.0</v>
      </c>
      <c r="BQ81" s="119">
        <v>2.0</v>
      </c>
      <c r="BR81" s="119">
        <v>2.0</v>
      </c>
      <c r="BS81" s="119">
        <v>2.0</v>
      </c>
      <c r="BT81" s="119">
        <v>2.0</v>
      </c>
      <c r="BU81" s="303">
        <f t="shared" si="138"/>
        <v>3</v>
      </c>
      <c r="BV81" s="303">
        <f t="shared" si="139"/>
        <v>4</v>
      </c>
      <c r="BW81" s="303">
        <f t="shared" si="91"/>
        <v>28</v>
      </c>
      <c r="BX81" s="362" t="str">
        <f t="shared" si="140"/>
        <v>FATIGA</v>
      </c>
      <c r="BY81" s="119">
        <v>0.0</v>
      </c>
      <c r="BZ81" s="119">
        <v>0.0</v>
      </c>
      <c r="CA81" s="119">
        <v>0.0</v>
      </c>
      <c r="CB81" s="119">
        <v>0.0</v>
      </c>
      <c r="CC81" s="119">
        <v>0.0</v>
      </c>
      <c r="CD81" s="119">
        <v>0.0</v>
      </c>
      <c r="CE81" s="119">
        <v>6.0</v>
      </c>
      <c r="CF81" s="119">
        <v>0.0</v>
      </c>
      <c r="CG81" s="119">
        <v>12.0</v>
      </c>
      <c r="CH81" s="119">
        <v>8.0</v>
      </c>
      <c r="CI81" s="119">
        <v>0.0</v>
      </c>
      <c r="CJ81" s="303">
        <f t="shared" si="141"/>
        <v>237.6</v>
      </c>
      <c r="CK81" s="361">
        <f t="shared" si="9"/>
        <v>6</v>
      </c>
      <c r="CL81" s="361" t="str">
        <f t="shared" si="142"/>
        <v>Nivel de actividad física alto</v>
      </c>
      <c r="CM81" s="361" t="b">
        <f t="shared" si="143"/>
        <v>0</v>
      </c>
      <c r="CN81" s="363" t="str">
        <f t="shared" si="11"/>
        <v>Nivel de actividad física alto</v>
      </c>
      <c r="CO81" s="119">
        <v>0.0</v>
      </c>
      <c r="CP81" s="119">
        <v>15.0</v>
      </c>
      <c r="CQ81" s="365">
        <f t="shared" si="144"/>
        <v>0</v>
      </c>
      <c r="CR81" s="119">
        <v>8.0</v>
      </c>
      <c r="CS81" s="119">
        <v>0.0</v>
      </c>
      <c r="CT81" s="119">
        <v>8.0</v>
      </c>
      <c r="CU81" s="119">
        <v>7.0</v>
      </c>
      <c r="CV81" s="119">
        <v>1.0</v>
      </c>
      <c r="CW81" s="119">
        <v>3.0</v>
      </c>
      <c r="CX81" s="119">
        <v>3.0</v>
      </c>
      <c r="CY81" s="119">
        <v>0.0</v>
      </c>
      <c r="CZ81" s="119">
        <v>0.0</v>
      </c>
      <c r="DA81" s="119">
        <v>0.0</v>
      </c>
      <c r="DB81" s="119">
        <v>0.0</v>
      </c>
      <c r="DC81" s="119">
        <v>0.0</v>
      </c>
      <c r="DD81" s="119">
        <v>0.0</v>
      </c>
      <c r="DE81" s="119">
        <v>1.0</v>
      </c>
      <c r="DF81" s="54" t="s">
        <v>525</v>
      </c>
      <c r="DG81" s="303">
        <f t="shared" si="39"/>
        <v>7</v>
      </c>
      <c r="DH81" s="119">
        <v>1.0</v>
      </c>
      <c r="DI81" s="119">
        <v>3.0</v>
      </c>
      <c r="DJ81" s="119">
        <v>3.0</v>
      </c>
      <c r="DK81" s="119">
        <v>0.0</v>
      </c>
      <c r="DL81" s="303">
        <f t="shared" si="145"/>
        <v>87.5</v>
      </c>
      <c r="DM81" s="303">
        <f t="shared" si="146"/>
        <v>0</v>
      </c>
      <c r="DN81" s="303">
        <f t="shared" si="147"/>
        <v>1</v>
      </c>
      <c r="DO81" s="303">
        <f t="shared" si="148"/>
        <v>1</v>
      </c>
      <c r="DP81" s="303">
        <f t="shared" si="149"/>
        <v>2</v>
      </c>
      <c r="DQ81" s="303">
        <f t="shared" si="150"/>
        <v>0</v>
      </c>
      <c r="DR81" s="303">
        <f t="shared" ref="DR81:DS81" si="151">(DH81)</f>
        <v>1</v>
      </c>
      <c r="DS81" s="303">
        <f t="shared" si="151"/>
        <v>3</v>
      </c>
      <c r="DT81" s="366">
        <f t="shared" si="34"/>
        <v>8</v>
      </c>
      <c r="DU81" s="367" t="str">
        <f t="shared" si="152"/>
        <v>poor sleep quality</v>
      </c>
      <c r="DV81" s="370">
        <v>1.0</v>
      </c>
      <c r="DW81" s="54" t="s">
        <v>314</v>
      </c>
      <c r="DX81" s="369" t="s">
        <v>146</v>
      </c>
      <c r="DY81" s="370">
        <v>2.0</v>
      </c>
      <c r="DZ81" s="369" t="s">
        <v>131</v>
      </c>
      <c r="EA81" s="369" t="s">
        <v>138</v>
      </c>
      <c r="EB81" s="359"/>
      <c r="EC81" s="369" t="s">
        <v>219</v>
      </c>
      <c r="ED81" s="359"/>
      <c r="EE81" s="369" t="s">
        <v>131</v>
      </c>
      <c r="EF81" s="369" t="s">
        <v>141</v>
      </c>
      <c r="EG81" s="370">
        <f t="shared" si="134"/>
        <v>1004</v>
      </c>
      <c r="EH81" s="370">
        <f t="shared" si="124"/>
        <v>183</v>
      </c>
      <c r="EI81" s="119">
        <f t="shared" si="153"/>
        <v>25.53544639</v>
      </c>
    </row>
    <row r="82" ht="15.75" customHeight="1">
      <c r="A82" s="140" t="s">
        <v>550</v>
      </c>
      <c r="B82" s="54" t="s">
        <v>175</v>
      </c>
      <c r="C82" s="316">
        <v>45528.0</v>
      </c>
      <c r="D82" s="119">
        <v>51.0</v>
      </c>
      <c r="E82" s="54" t="s">
        <v>130</v>
      </c>
      <c r="F82" s="119">
        <v>150.0</v>
      </c>
      <c r="G82" s="119">
        <v>62.0</v>
      </c>
      <c r="H82" s="353" t="s">
        <v>131</v>
      </c>
      <c r="I82" s="119">
        <v>4.0</v>
      </c>
      <c r="J82" s="375">
        <v>44589.0</v>
      </c>
      <c r="K82" s="54" t="s">
        <v>131</v>
      </c>
      <c r="L82" s="119">
        <v>4.0</v>
      </c>
      <c r="M82" s="371">
        <v>43891.0</v>
      </c>
      <c r="N82" s="119">
        <v>0.0</v>
      </c>
      <c r="O82" s="373">
        <v>45292.0</v>
      </c>
      <c r="P82" s="54" t="s">
        <v>132</v>
      </c>
      <c r="Q82" s="374"/>
      <c r="R82" s="374"/>
      <c r="S82" s="54"/>
      <c r="T82" s="54"/>
      <c r="U82" s="54"/>
      <c r="V82" s="121" t="str">
        <f t="shared" si="97"/>
        <v>Paciente ambulatorio</v>
      </c>
      <c r="W82" s="54" t="s">
        <v>176</v>
      </c>
      <c r="X82" s="54" t="s">
        <v>132</v>
      </c>
      <c r="Y82" s="119">
        <v>1.0</v>
      </c>
      <c r="Z82" s="119">
        <v>1.0</v>
      </c>
      <c r="AA82" s="119">
        <v>1.0</v>
      </c>
      <c r="AB82" s="119">
        <v>1.0</v>
      </c>
      <c r="AC82" s="119">
        <v>2.0</v>
      </c>
      <c r="AD82" s="119">
        <v>1.0</v>
      </c>
      <c r="AE82" s="119">
        <v>1.0</v>
      </c>
      <c r="AF82" s="119">
        <v>1.0</v>
      </c>
      <c r="AG82" s="119">
        <v>1.0</v>
      </c>
      <c r="AH82" s="119">
        <v>1.0</v>
      </c>
      <c r="AI82" s="119">
        <v>1.0</v>
      </c>
      <c r="AJ82" s="119">
        <v>1.0</v>
      </c>
      <c r="AK82" s="357"/>
      <c r="AL82" s="54" t="s">
        <v>131</v>
      </c>
      <c r="AM82" s="54" t="s">
        <v>132</v>
      </c>
      <c r="AN82" s="54" t="s">
        <v>132</v>
      </c>
      <c r="AO82" s="54" t="s">
        <v>132</v>
      </c>
      <c r="AP82" s="54" t="s">
        <v>132</v>
      </c>
      <c r="AQ82" s="54" t="s">
        <v>132</v>
      </c>
      <c r="AR82" s="54" t="s">
        <v>132</v>
      </c>
      <c r="AS82" s="54" t="s">
        <v>131</v>
      </c>
      <c r="AT82" s="54" t="s">
        <v>131</v>
      </c>
      <c r="AU82" s="54" t="s">
        <v>132</v>
      </c>
      <c r="AV82" s="54" t="s">
        <v>131</v>
      </c>
      <c r="AW82" s="54" t="s">
        <v>522</v>
      </c>
      <c r="AX82" s="54" t="s">
        <v>132</v>
      </c>
      <c r="AY82" s="359"/>
      <c r="AZ82" s="359"/>
      <c r="BA82" s="359"/>
      <c r="BB82" s="54" t="s">
        <v>145</v>
      </c>
      <c r="BC82" s="357"/>
      <c r="BD82" s="360">
        <v>2.0</v>
      </c>
      <c r="BE82" s="119">
        <v>2.0</v>
      </c>
      <c r="BF82" s="119">
        <v>3.0</v>
      </c>
      <c r="BG82" s="119">
        <v>3.0</v>
      </c>
      <c r="BH82" s="119">
        <v>3.0</v>
      </c>
      <c r="BI82" s="361" t="str">
        <f t="shared" si="3"/>
        <v>22333</v>
      </c>
      <c r="BJ82" s="119">
        <v>60.0</v>
      </c>
      <c r="BK82" s="119">
        <v>5.0</v>
      </c>
      <c r="BL82" s="119">
        <v>5.0</v>
      </c>
      <c r="BM82" s="119">
        <v>2.0</v>
      </c>
      <c r="BN82" s="119">
        <v>3.0</v>
      </c>
      <c r="BO82" s="119">
        <v>4.0</v>
      </c>
      <c r="BP82" s="119">
        <v>2.0</v>
      </c>
      <c r="BQ82" s="119">
        <v>4.0</v>
      </c>
      <c r="BR82" s="119">
        <v>2.0</v>
      </c>
      <c r="BS82" s="119">
        <v>4.0</v>
      </c>
      <c r="BT82" s="119">
        <v>3.0</v>
      </c>
      <c r="BU82" s="303">
        <f t="shared" si="138"/>
        <v>3</v>
      </c>
      <c r="BV82" s="303">
        <f t="shared" si="139"/>
        <v>3</v>
      </c>
      <c r="BW82" s="303">
        <f t="shared" si="91"/>
        <v>34</v>
      </c>
      <c r="BX82" s="362" t="str">
        <f t="shared" si="140"/>
        <v>FATIGA</v>
      </c>
      <c r="BY82" s="119">
        <v>1.0</v>
      </c>
      <c r="BZ82" s="119">
        <v>2.0</v>
      </c>
      <c r="CA82" s="119">
        <v>0.0</v>
      </c>
      <c r="CB82" s="119">
        <v>3.0</v>
      </c>
      <c r="CC82" s="119">
        <v>3.0</v>
      </c>
      <c r="CD82" s="119">
        <v>0.0</v>
      </c>
      <c r="CE82" s="119">
        <v>3.0</v>
      </c>
      <c r="CF82" s="119">
        <v>0.0</v>
      </c>
      <c r="CG82" s="119">
        <v>0.0</v>
      </c>
      <c r="CH82" s="119">
        <v>1.0</v>
      </c>
      <c r="CI82" s="119">
        <v>0.0</v>
      </c>
      <c r="CJ82" s="303">
        <f t="shared" si="141"/>
        <v>3120</v>
      </c>
      <c r="CK82" s="361">
        <f t="shared" si="9"/>
        <v>7</v>
      </c>
      <c r="CL82" s="361" t="b">
        <f t="shared" si="142"/>
        <v>0</v>
      </c>
      <c r="CM82" s="361" t="str">
        <f t="shared" si="143"/>
        <v>Nivel de actividad física moderado</v>
      </c>
      <c r="CN82" s="363" t="str">
        <f t="shared" si="11"/>
        <v>Nivel de actividad física moderado</v>
      </c>
      <c r="CO82" s="119">
        <v>1.0</v>
      </c>
      <c r="CP82" s="119">
        <v>120.0</v>
      </c>
      <c r="CQ82" s="365">
        <f t="shared" si="144"/>
        <v>3</v>
      </c>
      <c r="CR82" s="119">
        <v>10.0</v>
      </c>
      <c r="CS82" s="119">
        <v>20.0</v>
      </c>
      <c r="CT82" s="119">
        <v>10.2</v>
      </c>
      <c r="CU82" s="119">
        <v>1.5</v>
      </c>
      <c r="CV82" s="119">
        <v>3.0</v>
      </c>
      <c r="CW82" s="119">
        <v>3.0</v>
      </c>
      <c r="CX82" s="119">
        <v>3.0</v>
      </c>
      <c r="CY82" s="119">
        <v>2.0</v>
      </c>
      <c r="CZ82" s="119">
        <v>0.0</v>
      </c>
      <c r="DA82" s="119">
        <v>2.0</v>
      </c>
      <c r="DB82" s="119">
        <v>3.0</v>
      </c>
      <c r="DC82" s="119">
        <v>1.0</v>
      </c>
      <c r="DD82" s="119">
        <v>3.0</v>
      </c>
      <c r="DE82" s="119">
        <v>3.0</v>
      </c>
      <c r="DF82" s="54" t="s">
        <v>279</v>
      </c>
      <c r="DG82" s="303">
        <f t="shared" si="39"/>
        <v>20</v>
      </c>
      <c r="DH82" s="119">
        <v>3.0</v>
      </c>
      <c r="DI82" s="119">
        <v>0.0</v>
      </c>
      <c r="DJ82" s="119">
        <v>0.0</v>
      </c>
      <c r="DK82" s="119">
        <v>0.0</v>
      </c>
      <c r="DL82" s="303">
        <f t="shared" si="145"/>
        <v>14.70588235</v>
      </c>
      <c r="DM82" s="303">
        <f t="shared" si="146"/>
        <v>3</v>
      </c>
      <c r="DN82" s="303">
        <f t="shared" si="147"/>
        <v>3</v>
      </c>
      <c r="DO82" s="303">
        <f t="shared" si="148"/>
        <v>3</v>
      </c>
      <c r="DP82" s="303">
        <f t="shared" si="149"/>
        <v>0</v>
      </c>
      <c r="DQ82" s="303">
        <f t="shared" si="150"/>
        <v>3</v>
      </c>
      <c r="DR82" s="303">
        <f t="shared" ref="DR82:DS82" si="154">(DH82)</f>
        <v>3</v>
      </c>
      <c r="DS82" s="303">
        <f t="shared" si="154"/>
        <v>0</v>
      </c>
      <c r="DT82" s="366">
        <f t="shared" si="34"/>
        <v>15</v>
      </c>
      <c r="DU82" s="367" t="str">
        <f t="shared" si="152"/>
        <v>poor sleep quality</v>
      </c>
      <c r="DV82" s="370">
        <v>3.0</v>
      </c>
      <c r="DW82" s="54" t="s">
        <v>489</v>
      </c>
      <c r="DX82" s="369" t="s">
        <v>146</v>
      </c>
      <c r="DY82" s="370">
        <v>1.0</v>
      </c>
      <c r="DZ82" s="369" t="s">
        <v>131</v>
      </c>
      <c r="EA82" s="369" t="s">
        <v>202</v>
      </c>
      <c r="EB82" s="359"/>
      <c r="EC82" s="369" t="s">
        <v>248</v>
      </c>
      <c r="ED82" s="369" t="s">
        <v>131</v>
      </c>
      <c r="EE82" s="369" t="s">
        <v>132</v>
      </c>
      <c r="EF82" s="369" t="s">
        <v>151</v>
      </c>
      <c r="EG82" s="370">
        <f t="shared" si="134"/>
        <v>1637</v>
      </c>
      <c r="EH82" s="370">
        <f t="shared" si="124"/>
        <v>236</v>
      </c>
      <c r="EI82" s="119">
        <f t="shared" si="153"/>
        <v>27.55555556</v>
      </c>
    </row>
    <row r="83" ht="15.75" customHeight="1">
      <c r="A83" s="140" t="s">
        <v>553</v>
      </c>
      <c r="B83" s="54" t="s">
        <v>175</v>
      </c>
      <c r="C83" s="316">
        <v>45528.0</v>
      </c>
      <c r="D83" s="119">
        <v>42.0</v>
      </c>
      <c r="E83" s="54" t="s">
        <v>153</v>
      </c>
      <c r="F83" s="119">
        <v>180.0</v>
      </c>
      <c r="G83" s="119">
        <v>100.0</v>
      </c>
      <c r="H83" s="353" t="s">
        <v>131</v>
      </c>
      <c r="I83" s="119">
        <v>2.0</v>
      </c>
      <c r="J83" s="376"/>
      <c r="K83" s="54" t="s">
        <v>131</v>
      </c>
      <c r="L83" s="119">
        <v>2.0</v>
      </c>
      <c r="M83" s="371">
        <v>44228.0</v>
      </c>
      <c r="N83" s="119">
        <v>0.0</v>
      </c>
      <c r="O83" s="373">
        <v>44896.0</v>
      </c>
      <c r="P83" s="54" t="s">
        <v>132</v>
      </c>
      <c r="Q83" s="54"/>
      <c r="R83" s="54"/>
      <c r="S83" s="54"/>
      <c r="T83" s="54"/>
      <c r="U83" s="54"/>
      <c r="V83" s="121" t="str">
        <f t="shared" si="97"/>
        <v>Paciente ambulatorio</v>
      </c>
      <c r="W83" s="54" t="s">
        <v>176</v>
      </c>
      <c r="X83" s="54" t="s">
        <v>132</v>
      </c>
      <c r="Y83" s="119">
        <v>2.0</v>
      </c>
      <c r="Z83" s="119">
        <v>1.0</v>
      </c>
      <c r="AA83" s="119">
        <v>3.0</v>
      </c>
      <c r="AB83" s="119">
        <v>3.0</v>
      </c>
      <c r="AC83" s="119">
        <v>3.0</v>
      </c>
      <c r="AD83" s="119">
        <v>1.0</v>
      </c>
      <c r="AE83" s="119">
        <v>1.0</v>
      </c>
      <c r="AF83" s="119">
        <v>1.0</v>
      </c>
      <c r="AG83" s="119">
        <v>3.0</v>
      </c>
      <c r="AH83" s="119">
        <v>1.0</v>
      </c>
      <c r="AI83" s="119">
        <v>1.0</v>
      </c>
      <c r="AJ83" s="119">
        <v>1.0</v>
      </c>
      <c r="AK83" s="377" t="s">
        <v>278</v>
      </c>
      <c r="AL83" s="54" t="s">
        <v>132</v>
      </c>
      <c r="AM83" s="54" t="s">
        <v>132</v>
      </c>
      <c r="AN83" s="54" t="s">
        <v>132</v>
      </c>
      <c r="AO83" s="54" t="s">
        <v>132</v>
      </c>
      <c r="AP83" s="54" t="s">
        <v>132</v>
      </c>
      <c r="AQ83" s="54" t="s">
        <v>132</v>
      </c>
      <c r="AR83" s="54" t="s">
        <v>132</v>
      </c>
      <c r="AS83" s="54" t="s">
        <v>132</v>
      </c>
      <c r="AT83" s="54" t="s">
        <v>132</v>
      </c>
      <c r="AU83" s="54" t="s">
        <v>132</v>
      </c>
      <c r="AV83" s="54" t="s">
        <v>132</v>
      </c>
      <c r="AW83" s="359"/>
      <c r="AX83" s="54" t="s">
        <v>132</v>
      </c>
      <c r="AY83" s="359"/>
      <c r="AZ83" s="359"/>
      <c r="BA83" s="359"/>
      <c r="BB83" s="54" t="s">
        <v>135</v>
      </c>
      <c r="BC83" s="378">
        <v>1.0</v>
      </c>
      <c r="BD83" s="360">
        <v>1.0</v>
      </c>
      <c r="BE83" s="119">
        <v>1.0</v>
      </c>
      <c r="BF83" s="119">
        <v>1.0</v>
      </c>
      <c r="BG83" s="119">
        <v>3.0</v>
      </c>
      <c r="BH83" s="119">
        <v>3.0</v>
      </c>
      <c r="BI83" s="361" t="str">
        <f t="shared" si="3"/>
        <v>11133</v>
      </c>
      <c r="BJ83" s="119">
        <v>70.0</v>
      </c>
      <c r="BK83" s="119">
        <v>4.0</v>
      </c>
      <c r="BL83" s="119">
        <v>3.0</v>
      </c>
      <c r="BM83" s="119">
        <v>3.0</v>
      </c>
      <c r="BN83" s="119">
        <v>2.0</v>
      </c>
      <c r="BO83" s="119">
        <v>3.0</v>
      </c>
      <c r="BP83" s="119">
        <v>4.0</v>
      </c>
      <c r="BQ83" s="119">
        <v>2.0</v>
      </c>
      <c r="BR83" s="119">
        <v>4.0</v>
      </c>
      <c r="BS83" s="119">
        <v>2.0</v>
      </c>
      <c r="BT83" s="119">
        <v>3.0</v>
      </c>
      <c r="BU83" s="303">
        <f t="shared" si="138"/>
        <v>4</v>
      </c>
      <c r="BV83" s="303">
        <f t="shared" si="139"/>
        <v>3</v>
      </c>
      <c r="BW83" s="303">
        <f t="shared" si="91"/>
        <v>31</v>
      </c>
      <c r="BX83" s="362" t="str">
        <f t="shared" si="140"/>
        <v>FATIGA</v>
      </c>
      <c r="BY83" s="119">
        <v>0.0</v>
      </c>
      <c r="BZ83" s="119">
        <v>0.0</v>
      </c>
      <c r="CA83" s="119">
        <v>0.0</v>
      </c>
      <c r="CB83" s="119">
        <v>1.0</v>
      </c>
      <c r="CC83" s="119">
        <v>1.0</v>
      </c>
      <c r="CD83" s="119">
        <v>0.0</v>
      </c>
      <c r="CE83" s="119">
        <v>4.0</v>
      </c>
      <c r="CF83" s="119">
        <v>0.0</v>
      </c>
      <c r="CG83" s="119">
        <v>30.0</v>
      </c>
      <c r="CH83" s="119">
        <v>4.0</v>
      </c>
      <c r="CI83" s="119">
        <v>0.0</v>
      </c>
      <c r="CJ83" s="303">
        <f t="shared" si="141"/>
        <v>636</v>
      </c>
      <c r="CK83" s="361">
        <f t="shared" si="9"/>
        <v>5</v>
      </c>
      <c r="CL83" s="361" t="b">
        <f t="shared" si="142"/>
        <v>0</v>
      </c>
      <c r="CM83" s="361" t="b">
        <f t="shared" si="143"/>
        <v>0</v>
      </c>
      <c r="CN83" s="363" t="str">
        <f t="shared" si="11"/>
        <v>Nivel de actividad física bajo</v>
      </c>
      <c r="CO83" s="119">
        <v>23.0</v>
      </c>
      <c r="CP83" s="379">
        <v>30.0</v>
      </c>
      <c r="CQ83" s="365">
        <f t="shared" si="144"/>
        <v>1</v>
      </c>
      <c r="CR83" s="119">
        <v>8.0</v>
      </c>
      <c r="CS83" s="119">
        <v>30.0</v>
      </c>
      <c r="CT83" s="119">
        <v>9.0</v>
      </c>
      <c r="CU83" s="379">
        <v>5.0</v>
      </c>
      <c r="CV83" s="119">
        <v>3.0</v>
      </c>
      <c r="CW83" s="119">
        <v>3.0</v>
      </c>
      <c r="CX83" s="119">
        <v>3.0</v>
      </c>
      <c r="CY83" s="119">
        <v>2.0</v>
      </c>
      <c r="CZ83" s="119">
        <v>0.0</v>
      </c>
      <c r="DA83" s="119">
        <v>0.0</v>
      </c>
      <c r="DB83" s="119">
        <v>3.0</v>
      </c>
      <c r="DC83" s="119">
        <v>3.0</v>
      </c>
      <c r="DD83" s="119">
        <v>2.0</v>
      </c>
      <c r="DE83" s="119">
        <v>3.0</v>
      </c>
      <c r="DF83" s="54" t="s">
        <v>528</v>
      </c>
      <c r="DG83" s="303">
        <f t="shared" si="39"/>
        <v>19</v>
      </c>
      <c r="DH83" s="119">
        <v>2.0</v>
      </c>
      <c r="DI83" s="119">
        <v>0.0</v>
      </c>
      <c r="DJ83" s="119">
        <v>3.0</v>
      </c>
      <c r="DK83" s="119">
        <v>3.0</v>
      </c>
      <c r="DL83" s="380">
        <f t="shared" si="145"/>
        <v>55.55555556</v>
      </c>
      <c r="DM83" s="303">
        <f t="shared" si="146"/>
        <v>2</v>
      </c>
      <c r="DN83" s="303">
        <f t="shared" si="147"/>
        <v>3</v>
      </c>
      <c r="DO83" s="303">
        <f t="shared" si="148"/>
        <v>2</v>
      </c>
      <c r="DP83" s="303">
        <f t="shared" si="149"/>
        <v>3</v>
      </c>
      <c r="DQ83" s="303">
        <f t="shared" si="150"/>
        <v>3</v>
      </c>
      <c r="DR83" s="303">
        <f t="shared" ref="DR83:DS83" si="155">(DH83)</f>
        <v>2</v>
      </c>
      <c r="DS83" s="303">
        <f t="shared" si="155"/>
        <v>0</v>
      </c>
      <c r="DT83" s="366">
        <f t="shared" si="34"/>
        <v>15</v>
      </c>
      <c r="DU83" s="367" t="str">
        <f t="shared" si="152"/>
        <v>poor sleep quality</v>
      </c>
      <c r="DV83" s="370">
        <v>2.0</v>
      </c>
      <c r="DW83" s="54" t="s">
        <v>489</v>
      </c>
      <c r="DX83" s="369" t="s">
        <v>213</v>
      </c>
      <c r="DY83" s="370">
        <v>1.0</v>
      </c>
      <c r="DZ83" s="369" t="s">
        <v>131</v>
      </c>
      <c r="EA83" s="369" t="s">
        <v>178</v>
      </c>
      <c r="EB83" s="359"/>
      <c r="EC83" s="369" t="s">
        <v>230</v>
      </c>
      <c r="ED83" s="369" t="s">
        <v>131</v>
      </c>
      <c r="EE83" s="369" t="s">
        <v>132</v>
      </c>
      <c r="EF83" s="369" t="s">
        <v>141</v>
      </c>
      <c r="EG83" s="370">
        <f t="shared" si="134"/>
        <v>1300</v>
      </c>
      <c r="EH83" s="370">
        <f t="shared" si="124"/>
        <v>632</v>
      </c>
      <c r="EI83" s="119">
        <f t="shared" si="153"/>
        <v>30.86419753</v>
      </c>
    </row>
    <row r="84" ht="15.75" customHeight="1">
      <c r="A84" s="140" t="s">
        <v>555</v>
      </c>
      <c r="B84" s="54" t="s">
        <v>175</v>
      </c>
      <c r="C84" s="316">
        <v>45528.0</v>
      </c>
      <c r="D84" s="132">
        <v>39.0</v>
      </c>
      <c r="E84" s="132" t="s">
        <v>130</v>
      </c>
      <c r="F84" s="132">
        <v>159.0</v>
      </c>
      <c r="G84" s="317">
        <v>72.0</v>
      </c>
      <c r="H84" s="318" t="s">
        <v>131</v>
      </c>
      <c r="I84" s="132">
        <v>3.0</v>
      </c>
      <c r="J84" s="319">
        <v>44958.0</v>
      </c>
      <c r="K84" s="132" t="s">
        <v>131</v>
      </c>
      <c r="L84" s="132">
        <v>2.0</v>
      </c>
      <c r="M84" s="319">
        <v>44774.0</v>
      </c>
      <c r="N84" s="130"/>
      <c r="O84" s="319">
        <v>45170.0</v>
      </c>
      <c r="P84" s="132" t="s">
        <v>132</v>
      </c>
      <c r="Q84" s="130"/>
      <c r="R84" s="130"/>
      <c r="S84" s="130"/>
      <c r="T84" s="130"/>
      <c r="U84" s="130"/>
      <c r="V84" s="121" t="str">
        <f t="shared" si="97"/>
        <v>Paciente ambulatorio</v>
      </c>
      <c r="W84" s="132" t="s">
        <v>183</v>
      </c>
      <c r="X84" s="132" t="s">
        <v>132</v>
      </c>
      <c r="Y84" s="132">
        <v>1.0</v>
      </c>
      <c r="Z84" s="132">
        <v>1.0</v>
      </c>
      <c r="AA84" s="132">
        <v>2.0</v>
      </c>
      <c r="AB84" s="132">
        <v>2.0</v>
      </c>
      <c r="AC84" s="132">
        <v>1.0</v>
      </c>
      <c r="AD84" s="132">
        <v>1.0</v>
      </c>
      <c r="AE84" s="132">
        <v>1.0</v>
      </c>
      <c r="AF84" s="132">
        <v>1.0</v>
      </c>
      <c r="AG84" s="132">
        <v>3.0</v>
      </c>
      <c r="AH84" s="132">
        <v>1.0</v>
      </c>
      <c r="AI84" s="132">
        <v>3.0</v>
      </c>
      <c r="AJ84" s="132">
        <v>1.0</v>
      </c>
      <c r="AK84" s="317" t="s">
        <v>278</v>
      </c>
      <c r="AL84" s="318" t="s">
        <v>132</v>
      </c>
      <c r="AM84" s="132" t="s">
        <v>132</v>
      </c>
      <c r="AN84" s="132" t="s">
        <v>132</v>
      </c>
      <c r="AO84" s="132" t="s">
        <v>132</v>
      </c>
      <c r="AP84" s="132" t="s">
        <v>132</v>
      </c>
      <c r="AQ84" s="132" t="s">
        <v>132</v>
      </c>
      <c r="AR84" s="132" t="s">
        <v>132</v>
      </c>
      <c r="AS84" s="132" t="s">
        <v>132</v>
      </c>
      <c r="AT84" s="132" t="s">
        <v>132</v>
      </c>
      <c r="AU84" s="132" t="s">
        <v>132</v>
      </c>
      <c r="AV84" s="132" t="s">
        <v>131</v>
      </c>
      <c r="AW84" s="132" t="s">
        <v>556</v>
      </c>
      <c r="AX84" s="132" t="s">
        <v>131</v>
      </c>
      <c r="AY84" s="132">
        <v>6.0</v>
      </c>
      <c r="AZ84" s="132">
        <v>10.0</v>
      </c>
      <c r="BA84" s="130"/>
      <c r="BB84" s="132" t="s">
        <v>145</v>
      </c>
      <c r="BC84" s="297"/>
      <c r="BD84" s="318">
        <v>2.0</v>
      </c>
      <c r="BE84" s="130"/>
      <c r="BF84" s="130"/>
      <c r="BG84" s="132">
        <v>2.0</v>
      </c>
      <c r="BH84" s="132">
        <v>2.0</v>
      </c>
      <c r="BI84" s="301" t="str">
        <f t="shared" si="3"/>
        <v>222</v>
      </c>
      <c r="BJ84" s="132">
        <v>55.0</v>
      </c>
      <c r="BK84" s="132">
        <v>3.0</v>
      </c>
      <c r="BL84" s="132">
        <v>3.0</v>
      </c>
      <c r="BM84" s="132">
        <v>3.0</v>
      </c>
      <c r="BN84" s="132">
        <v>1.0</v>
      </c>
      <c r="BO84" s="132">
        <v>4.0</v>
      </c>
      <c r="BP84" s="132">
        <v>5.0</v>
      </c>
      <c r="BQ84" s="132">
        <v>2.0</v>
      </c>
      <c r="BR84" s="132">
        <v>4.0</v>
      </c>
      <c r="BS84" s="132">
        <v>4.0</v>
      </c>
      <c r="BT84" s="132">
        <v>3.0</v>
      </c>
      <c r="BU84" s="302">
        <f>IF(BN84=1,5,IF(BN84=2,4,IF(BN84=3,3,IF(BN84=4,2,IF(BN84=5,1)))))</f>
        <v>5</v>
      </c>
      <c r="BV84" s="302">
        <f>IF(BT84=1,5,IF(BT84=2,4,IF(BT84=3,3,IF(BT84=4,2,IF(BT84=5,1)))))</f>
        <v>3</v>
      </c>
      <c r="BW84" s="302">
        <f t="shared" si="91"/>
        <v>34</v>
      </c>
      <c r="BX84" s="302" t="str">
        <f>IF(BW84&lt;22,"NO HAY FATIGA",IF(BW84&lt;35,"FATIGA","FATIGA EXTREMA"))</f>
        <v>FATIGA</v>
      </c>
      <c r="BY84" s="132">
        <v>0.0</v>
      </c>
      <c r="BZ84" s="132">
        <v>0.0</v>
      </c>
      <c r="CA84" s="132">
        <v>0.0</v>
      </c>
      <c r="CB84" s="132">
        <v>0.0</v>
      </c>
      <c r="CC84" s="132">
        <v>0.0</v>
      </c>
      <c r="CD84" s="132">
        <v>0.0</v>
      </c>
      <c r="CE84" s="132">
        <v>0.0</v>
      </c>
      <c r="CF84" s="132">
        <v>0.0</v>
      </c>
      <c r="CG84" s="132">
        <v>0.0</v>
      </c>
      <c r="CH84" s="132">
        <v>8.0</v>
      </c>
      <c r="CI84" s="132">
        <v>0.0</v>
      </c>
      <c r="CJ84" s="302">
        <f>(8*BY84*(BZ84*60+CA84)+4*CB84*(CC84*60+CD84)+3.3*CE84*(CF84*60+CG84))</f>
        <v>0</v>
      </c>
      <c r="CK84" s="301">
        <f t="shared" si="9"/>
        <v>0</v>
      </c>
      <c r="CL84" s="301" t="str">
        <f>IF(CJ85&gt;3000,IF(CK85&gt;6,"Nivel de actividad física alto"),IF(CJ85&gt;1500,IF(BY85&gt;2,"Nivel de actividad física alto")))</f>
        <v>Nivel de actividad física alto</v>
      </c>
      <c r="CM84" s="301" t="b">
        <f>IF(BY84&gt;2,(IF(BZ84*60+CA84&gt;25,"Nivel de actividad física moderado")),IF(CB84+CE84&gt;5,IF(CC84*60+CD84+CF84*60+CG84&gt;30,"Nivel de actividad física moderado"),IF(CJ84&gt;600,(IF(CK84&gt;5,"Nivel de actividad física moderado")))))</f>
        <v>0</v>
      </c>
      <c r="CN84" s="208" t="str">
        <f t="shared" si="11"/>
        <v>Nivel de actividad física alto</v>
      </c>
      <c r="CO84" s="325">
        <v>0.9791666666666666</v>
      </c>
      <c r="CP84" s="132">
        <v>60.0</v>
      </c>
      <c r="CQ84" s="223">
        <f>IF(CP84&gt;60,3,IF(CP84&gt;30,2,IF(CP84&gt;15,1,0)))</f>
        <v>2</v>
      </c>
      <c r="CR84" s="132">
        <v>7.0</v>
      </c>
      <c r="CS84" s="132">
        <v>0.0</v>
      </c>
      <c r="CT84" s="132">
        <v>7.5</v>
      </c>
      <c r="CU84" s="132">
        <v>4.0</v>
      </c>
      <c r="CV84" s="132">
        <v>3.0</v>
      </c>
      <c r="CW84" s="132">
        <v>3.0</v>
      </c>
      <c r="CX84" s="132">
        <v>3.0</v>
      </c>
      <c r="CY84" s="132">
        <v>0.0</v>
      </c>
      <c r="CZ84" s="132">
        <v>3.0</v>
      </c>
      <c r="DA84" s="132">
        <v>0.0</v>
      </c>
      <c r="DB84" s="132">
        <v>3.0</v>
      </c>
      <c r="DC84" s="132">
        <v>0.0</v>
      </c>
      <c r="DD84" s="132">
        <v>3.0</v>
      </c>
      <c r="DE84" s="132">
        <v>3.0</v>
      </c>
      <c r="DF84" s="132" t="s">
        <v>405</v>
      </c>
      <c r="DG84" s="303">
        <f t="shared" si="39"/>
        <v>18</v>
      </c>
      <c r="DH84" s="132">
        <v>2.0</v>
      </c>
      <c r="DI84" s="132">
        <v>0.0</v>
      </c>
      <c r="DJ84" s="132">
        <v>2.0</v>
      </c>
      <c r="DK84" s="132">
        <v>3.0</v>
      </c>
      <c r="DL84" s="302"/>
      <c r="DM84" s="302"/>
      <c r="DN84" s="302"/>
      <c r="DO84" s="302"/>
      <c r="DP84" s="302"/>
      <c r="DQ84" s="302"/>
      <c r="DR84" s="302"/>
      <c r="DS84" s="302"/>
      <c r="DT84" s="304"/>
      <c r="DU84" s="304"/>
      <c r="DV84" s="321">
        <v>1.0</v>
      </c>
      <c r="DW84" s="321" t="s">
        <v>136</v>
      </c>
      <c r="DX84" s="321" t="s">
        <v>137</v>
      </c>
      <c r="DY84" s="321">
        <v>1.0</v>
      </c>
      <c r="DZ84" s="321" t="s">
        <v>131</v>
      </c>
      <c r="EA84" s="321" t="s">
        <v>167</v>
      </c>
      <c r="EB84" s="305"/>
      <c r="EC84" s="321" t="s">
        <v>139</v>
      </c>
      <c r="ED84" s="305"/>
      <c r="EE84" s="321" t="s">
        <v>132</v>
      </c>
      <c r="EF84" s="321" t="s">
        <v>141</v>
      </c>
      <c r="EG84" s="370">
        <f t="shared" si="134"/>
        <v>754</v>
      </c>
      <c r="EH84" s="370">
        <f t="shared" si="124"/>
        <v>358</v>
      </c>
      <c r="EI84" s="119">
        <f t="shared" si="153"/>
        <v>28.47988608</v>
      </c>
    </row>
    <row r="85" ht="15.75" customHeight="1">
      <c r="A85" s="286" t="s">
        <v>765</v>
      </c>
      <c r="B85" s="381" t="s">
        <v>129</v>
      </c>
      <c r="C85" s="382">
        <v>45528.0</v>
      </c>
      <c r="D85" s="383">
        <v>62.0</v>
      </c>
      <c r="E85" s="280" t="s">
        <v>130</v>
      </c>
      <c r="F85" s="383">
        <v>160.0</v>
      </c>
      <c r="G85" s="383">
        <v>58.0</v>
      </c>
      <c r="H85" s="384" t="s">
        <v>131</v>
      </c>
      <c r="I85" s="383">
        <v>3.0</v>
      </c>
      <c r="J85" s="385"/>
      <c r="K85" s="280" t="s">
        <v>131</v>
      </c>
      <c r="L85" s="383">
        <v>1.0</v>
      </c>
      <c r="M85" s="386">
        <v>44044.0</v>
      </c>
      <c r="N85" s="383">
        <v>0.0</v>
      </c>
      <c r="O85" s="385"/>
      <c r="P85" s="280" t="s">
        <v>132</v>
      </c>
      <c r="Q85" s="387"/>
      <c r="R85" s="387"/>
      <c r="S85" s="280"/>
      <c r="T85" s="280"/>
      <c r="U85" s="280"/>
      <c r="V85" s="285" t="str">
        <f t="shared" si="97"/>
        <v>Paciente ambulatorio</v>
      </c>
      <c r="W85" s="280" t="s">
        <v>176</v>
      </c>
      <c r="X85" s="280" t="s">
        <v>132</v>
      </c>
      <c r="Y85" s="383">
        <v>1.0</v>
      </c>
      <c r="Z85" s="383">
        <v>1.0</v>
      </c>
      <c r="AA85" s="383">
        <v>3.0</v>
      </c>
      <c r="AB85" s="383">
        <v>2.0</v>
      </c>
      <c r="AC85" s="383">
        <v>2.0</v>
      </c>
      <c r="AD85" s="383">
        <v>1.0</v>
      </c>
      <c r="AE85" s="383">
        <v>1.0</v>
      </c>
      <c r="AF85" s="383">
        <v>1.0</v>
      </c>
      <c r="AG85" s="383">
        <v>3.0</v>
      </c>
      <c r="AH85" s="383">
        <v>1.0</v>
      </c>
      <c r="AI85" s="383">
        <v>1.0</v>
      </c>
      <c r="AJ85" s="383">
        <v>1.0</v>
      </c>
      <c r="AK85" s="388"/>
      <c r="AL85" s="280" t="s">
        <v>132</v>
      </c>
      <c r="AM85" s="280" t="s">
        <v>132</v>
      </c>
      <c r="AN85" s="280" t="s">
        <v>132</v>
      </c>
      <c r="AO85" s="280" t="s">
        <v>132</v>
      </c>
      <c r="AP85" s="280" t="s">
        <v>132</v>
      </c>
      <c r="AQ85" s="280" t="s">
        <v>132</v>
      </c>
      <c r="AR85" s="280" t="s">
        <v>132</v>
      </c>
      <c r="AS85" s="280" t="s">
        <v>132</v>
      </c>
      <c r="AT85" s="280" t="s">
        <v>132</v>
      </c>
      <c r="AU85" s="280" t="s">
        <v>132</v>
      </c>
      <c r="AV85" s="280" t="s">
        <v>132</v>
      </c>
      <c r="AW85" s="389"/>
      <c r="AX85" s="280" t="s">
        <v>165</v>
      </c>
      <c r="AY85" s="389"/>
      <c r="AZ85" s="389"/>
      <c r="BA85" s="383">
        <v>20.0</v>
      </c>
      <c r="BB85" s="280" t="s">
        <v>135</v>
      </c>
      <c r="BC85" s="388"/>
      <c r="BD85" s="390">
        <v>2.0</v>
      </c>
      <c r="BE85" s="383">
        <v>1.0</v>
      </c>
      <c r="BF85" s="383">
        <v>3.0</v>
      </c>
      <c r="BG85" s="383">
        <v>4.0</v>
      </c>
      <c r="BH85" s="383">
        <v>3.0</v>
      </c>
      <c r="BI85" s="391" t="str">
        <f t="shared" si="3"/>
        <v>21343</v>
      </c>
      <c r="BJ85" s="383">
        <v>65.0</v>
      </c>
      <c r="BK85" s="383">
        <v>3.0</v>
      </c>
      <c r="BL85" s="383">
        <v>4.0</v>
      </c>
      <c r="BM85" s="383">
        <v>3.0</v>
      </c>
      <c r="BN85" s="383">
        <v>4.0</v>
      </c>
      <c r="BO85" s="383">
        <v>4.0</v>
      </c>
      <c r="BP85" s="383">
        <v>4.0</v>
      </c>
      <c r="BQ85" s="383">
        <v>4.0</v>
      </c>
      <c r="BR85" s="383">
        <v>4.0</v>
      </c>
      <c r="BS85" s="383">
        <v>4.0</v>
      </c>
      <c r="BT85" s="383">
        <v>2.0</v>
      </c>
      <c r="BU85" s="312">
        <f t="shared" ref="BU85:BU92" si="157">IF(BN85=1,5,IF(BN85=2,4,IF(BN85=3,3,IF(BN85=4,2,IF(BN85=5,1)))))</f>
        <v>2</v>
      </c>
      <c r="BV85" s="312">
        <f t="shared" ref="BV85:BV92" si="158">IF(BT85=1,5,IF(BT85=2,4,IF(BT85=3,3,IF(BT85=4,2,IF(BT85=5,1)))))</f>
        <v>4</v>
      </c>
      <c r="BW85" s="312">
        <f t="shared" si="91"/>
        <v>36</v>
      </c>
      <c r="BX85" s="392" t="str">
        <f t="shared" ref="BX85:BX92" si="159">IF(BW85&lt;22,"NO HAY FATIGA",IF(BW85&lt;35,"FATIGA","FATIGA EXTREMA"))</f>
        <v>FATIGA EXTREMA</v>
      </c>
      <c r="BY85" s="383">
        <v>2.0</v>
      </c>
      <c r="BZ85" s="383">
        <v>6.0</v>
      </c>
      <c r="CA85" s="383">
        <v>0.0</v>
      </c>
      <c r="CB85" s="383">
        <v>3.0</v>
      </c>
      <c r="CC85" s="383">
        <v>2.0</v>
      </c>
      <c r="CD85" s="383">
        <v>0.0</v>
      </c>
      <c r="CE85" s="383">
        <v>3.0</v>
      </c>
      <c r="CF85" s="383">
        <v>0.0</v>
      </c>
      <c r="CG85" s="383">
        <v>10.0</v>
      </c>
      <c r="CH85" s="383">
        <v>10.0</v>
      </c>
      <c r="CI85" s="383">
        <v>0.0</v>
      </c>
      <c r="CJ85" s="312">
        <f t="shared" ref="CJ85:CJ87" si="160">(8*BY85*(BZ85*60+CA85)+4*CB85*(CC85*60+CD85)+3.3*CE85*(CF85*60+CG85))</f>
        <v>7299</v>
      </c>
      <c r="CK85" s="391">
        <f t="shared" si="9"/>
        <v>8</v>
      </c>
      <c r="CL85" s="391" t="b">
        <f t="shared" ref="CL85:CL87" si="161">IF(CJ86&gt;3000,IF(CK86&gt;6,"Nivel de actividad física alto"),IF(CJ86&gt;1500,IF(BY86&gt;2,"Nivel de actividad física alto")))</f>
        <v>0</v>
      </c>
      <c r="CM85" s="391" t="str">
        <f t="shared" ref="CM85:CM87" si="162">IF(BY85&gt;2,(IF(BZ85*60+CA85&gt;25,"Nivel de actividad física moderado")),IF(CB85+CE85&gt;5,IF(CC85*60+CD85+CF85*60+CG85&gt;30,"Nivel de actividad física moderado"),IF(CJ85&gt;600,(IF(CK85&gt;5,"Nivel de actividad física moderado")))))</f>
        <v>Nivel de actividad física moderado</v>
      </c>
      <c r="CN85" s="393" t="str">
        <f t="shared" si="11"/>
        <v>Nivel de actividad física moderado</v>
      </c>
      <c r="CO85" s="383">
        <v>23.0</v>
      </c>
      <c r="CP85" s="383">
        <v>120.0</v>
      </c>
      <c r="CQ85" s="394">
        <f t="shared" ref="CQ85:CQ86" si="163">IF(CP85&gt;60,3,IF(CP85&gt;30,2,IF(CP85&gt;15,1,0)))</f>
        <v>3</v>
      </c>
      <c r="CR85" s="383">
        <v>6.0</v>
      </c>
      <c r="CS85" s="383">
        <v>0.0</v>
      </c>
      <c r="CT85" s="383">
        <v>7.0</v>
      </c>
      <c r="CU85" s="383">
        <v>5.0</v>
      </c>
      <c r="CV85" s="383">
        <v>3.0</v>
      </c>
      <c r="CW85" s="383">
        <v>3.0</v>
      </c>
      <c r="CX85" s="383">
        <v>3.0</v>
      </c>
      <c r="CY85" s="383">
        <v>0.0</v>
      </c>
      <c r="CZ85" s="383">
        <v>0.0</v>
      </c>
      <c r="DA85" s="383">
        <v>3.0</v>
      </c>
      <c r="DB85" s="383">
        <v>0.0</v>
      </c>
      <c r="DC85" s="383">
        <v>0.0</v>
      </c>
      <c r="DD85" s="383">
        <v>3.0</v>
      </c>
      <c r="DE85" s="383">
        <v>2.0</v>
      </c>
      <c r="DF85" s="389"/>
      <c r="DG85" s="312">
        <f t="shared" si="39"/>
        <v>14</v>
      </c>
      <c r="DH85" s="383">
        <v>2.0</v>
      </c>
      <c r="DI85" s="383">
        <v>0.0</v>
      </c>
      <c r="DJ85" s="383">
        <v>3.0</v>
      </c>
      <c r="DK85" s="383">
        <v>3.0</v>
      </c>
      <c r="DL85" s="312">
        <f>((CU85/CT85)*100)</f>
        <v>71.42857143</v>
      </c>
      <c r="DM85" s="312">
        <f>IF(CU85&gt;=7,0,IF(CU85&gt;=6,1,IF(CU85&gt;=5,2,IF(CU85&lt;5,3))))</f>
        <v>2</v>
      </c>
      <c r="DN85" s="312">
        <f>IF(DG85&gt;18,3,IF(DG85&gt;9,2,IF(DG85&gt;=1,1,0)))</f>
        <v>2</v>
      </c>
      <c r="DO85" s="312">
        <f>IF(CV85+CQ85&gt;=5,3,IF(CQ85+CV85&gt;=3,2,IF(CQ85+CV85&gt;=1,1,0)))</f>
        <v>3</v>
      </c>
      <c r="DP85" s="312">
        <f>IF(DJ85+DK85&gt;=5,3,IF(DJ85+DK85&gt;=3,2,IF(DJ85+DK85&gt;=1,1,0)))</f>
        <v>3</v>
      </c>
      <c r="DQ85" s="312">
        <f>IF(DL85&gt;85,0,IF(DL85&gt;75,1,IF(DL85&gt;65,2,3)))</f>
        <v>2</v>
      </c>
      <c r="DR85" s="312">
        <f t="shared" ref="DR85:DS85" si="156">(DH85)</f>
        <v>2</v>
      </c>
      <c r="DS85" s="312">
        <f t="shared" si="156"/>
        <v>0</v>
      </c>
      <c r="DT85" s="395">
        <f>SUM(DM85:DS85)</f>
        <v>14</v>
      </c>
      <c r="DU85" s="396" t="str">
        <f>IF(DT85&gt;5,"poor sleep quality","good sleep quality")</f>
        <v>poor sleep quality</v>
      </c>
      <c r="DV85" s="397">
        <v>2.0</v>
      </c>
      <c r="DW85" s="398" t="s">
        <v>155</v>
      </c>
      <c r="DX85" s="398" t="s">
        <v>146</v>
      </c>
      <c r="DY85" s="398" t="s">
        <v>156</v>
      </c>
      <c r="DZ85" s="398" t="s">
        <v>131</v>
      </c>
      <c r="EA85" s="398" t="s">
        <v>157</v>
      </c>
      <c r="EB85" s="389"/>
      <c r="EC85" s="398" t="s">
        <v>139</v>
      </c>
      <c r="ED85" s="389"/>
      <c r="EE85" s="398" t="s">
        <v>131</v>
      </c>
      <c r="EF85" s="398" t="s">
        <v>158</v>
      </c>
      <c r="EG85" s="397">
        <f t="shared" si="134"/>
        <v>1484</v>
      </c>
      <c r="EH85" s="397">
        <f t="shared" si="124"/>
        <v>45528</v>
      </c>
      <c r="EI85" s="383">
        <f t="shared" si="153"/>
        <v>22.65625</v>
      </c>
    </row>
    <row r="86" ht="15.75" customHeight="1">
      <c r="A86" s="140" t="s">
        <v>557</v>
      </c>
      <c r="B86" s="134" t="s">
        <v>175</v>
      </c>
      <c r="C86" s="316">
        <v>45528.0</v>
      </c>
      <c r="D86" s="145">
        <v>46.0</v>
      </c>
      <c r="E86" s="122" t="s">
        <v>130</v>
      </c>
      <c r="F86" s="145">
        <v>170.0</v>
      </c>
      <c r="G86" s="145">
        <v>90.0</v>
      </c>
      <c r="H86" s="399" t="s">
        <v>131</v>
      </c>
      <c r="I86" s="145">
        <v>4.0</v>
      </c>
      <c r="J86" s="400"/>
      <c r="K86" s="122" t="s">
        <v>131</v>
      </c>
      <c r="L86" s="145">
        <v>1.0</v>
      </c>
      <c r="M86" s="355">
        <v>44562.0</v>
      </c>
      <c r="N86" s="358" t="s">
        <v>131</v>
      </c>
      <c r="O86" s="376"/>
      <c r="P86" s="122" t="s">
        <v>132</v>
      </c>
      <c r="Q86" s="104"/>
      <c r="R86" s="104"/>
      <c r="S86" s="104"/>
      <c r="T86" s="104"/>
      <c r="U86" s="54"/>
      <c r="V86" s="121" t="str">
        <f t="shared" si="97"/>
        <v>Paciente ambulatorio</v>
      </c>
      <c r="W86" s="122" t="s">
        <v>183</v>
      </c>
      <c r="X86" s="122" t="s">
        <v>132</v>
      </c>
      <c r="Y86" s="145">
        <v>3.0</v>
      </c>
      <c r="Z86" s="145">
        <v>1.0</v>
      </c>
      <c r="AA86" s="145">
        <v>2.0</v>
      </c>
      <c r="AB86" s="145">
        <v>2.0</v>
      </c>
      <c r="AC86" s="145">
        <v>1.0</v>
      </c>
      <c r="AD86" s="145">
        <v>3.0</v>
      </c>
      <c r="AE86" s="145">
        <v>1.0</v>
      </c>
      <c r="AF86" s="145">
        <v>1.0</v>
      </c>
      <c r="AG86" s="145">
        <v>3.0</v>
      </c>
      <c r="AH86" s="145">
        <v>3.0</v>
      </c>
      <c r="AI86" s="145">
        <v>1.0</v>
      </c>
      <c r="AJ86" s="145">
        <v>1.0</v>
      </c>
      <c r="AK86" s="401"/>
      <c r="AL86" s="122" t="s">
        <v>132</v>
      </c>
      <c r="AM86" s="122" t="s">
        <v>132</v>
      </c>
      <c r="AN86" s="122" t="s">
        <v>132</v>
      </c>
      <c r="AO86" s="122" t="s">
        <v>132</v>
      </c>
      <c r="AP86" s="122" t="s">
        <v>132</v>
      </c>
      <c r="AQ86" s="122" t="s">
        <v>132</v>
      </c>
      <c r="AR86" s="122" t="s">
        <v>132</v>
      </c>
      <c r="AS86" s="122" t="s">
        <v>132</v>
      </c>
      <c r="AT86" s="122" t="s">
        <v>132</v>
      </c>
      <c r="AU86" s="122" t="s">
        <v>132</v>
      </c>
      <c r="AV86" s="122" t="s">
        <v>131</v>
      </c>
      <c r="AW86" s="122" t="s">
        <v>558</v>
      </c>
      <c r="AX86" s="122" t="s">
        <v>132</v>
      </c>
      <c r="AY86" s="54"/>
      <c r="AZ86" s="54"/>
      <c r="BA86" s="122"/>
      <c r="BB86" s="122" t="s">
        <v>145</v>
      </c>
      <c r="BC86" s="54"/>
      <c r="BD86" s="360">
        <v>1.0</v>
      </c>
      <c r="BE86" s="119">
        <v>1.0</v>
      </c>
      <c r="BF86" s="119">
        <v>1.0</v>
      </c>
      <c r="BG86" s="119">
        <v>2.0</v>
      </c>
      <c r="BH86" s="119">
        <v>1.0</v>
      </c>
      <c r="BI86" s="361" t="str">
        <f t="shared" si="3"/>
        <v>11121</v>
      </c>
      <c r="BJ86" s="124">
        <v>80.0</v>
      </c>
      <c r="BK86" s="124">
        <v>3.0</v>
      </c>
      <c r="BL86" s="124">
        <v>2.0</v>
      </c>
      <c r="BM86" s="124">
        <v>4.0</v>
      </c>
      <c r="BN86" s="124">
        <v>3.0</v>
      </c>
      <c r="BO86" s="124">
        <v>4.0</v>
      </c>
      <c r="BP86" s="124">
        <v>2.0</v>
      </c>
      <c r="BQ86" s="124">
        <v>2.0</v>
      </c>
      <c r="BR86" s="124">
        <v>2.0</v>
      </c>
      <c r="BS86" s="124">
        <v>3.0</v>
      </c>
      <c r="BT86" s="124">
        <v>4.0</v>
      </c>
      <c r="BU86" s="303">
        <f t="shared" si="157"/>
        <v>3</v>
      </c>
      <c r="BV86" s="303">
        <f t="shared" si="158"/>
        <v>2</v>
      </c>
      <c r="BW86" s="303">
        <f t="shared" si="91"/>
        <v>28</v>
      </c>
      <c r="BX86" s="362" t="str">
        <f t="shared" si="159"/>
        <v>FATIGA</v>
      </c>
      <c r="BY86" s="119">
        <v>2.0</v>
      </c>
      <c r="BZ86" s="119">
        <v>1.0</v>
      </c>
      <c r="CA86" s="119">
        <v>15.0</v>
      </c>
      <c r="CB86" s="119">
        <v>0.0</v>
      </c>
      <c r="CC86" s="119">
        <v>0.0</v>
      </c>
      <c r="CD86" s="119">
        <v>0.0</v>
      </c>
      <c r="CE86" s="119">
        <v>2.0</v>
      </c>
      <c r="CF86" s="119">
        <v>0.0</v>
      </c>
      <c r="CG86" s="119">
        <v>30.0</v>
      </c>
      <c r="CH86" s="119">
        <v>3.0</v>
      </c>
      <c r="CI86" s="119">
        <v>0.0</v>
      </c>
      <c r="CJ86" s="303">
        <f t="shared" si="160"/>
        <v>1398</v>
      </c>
      <c r="CK86" s="361">
        <f t="shared" si="9"/>
        <v>4</v>
      </c>
      <c r="CL86" s="361" t="b">
        <f t="shared" si="161"/>
        <v>0</v>
      </c>
      <c r="CM86" s="361" t="b">
        <f t="shared" si="162"/>
        <v>0</v>
      </c>
      <c r="CN86" s="363" t="str">
        <f t="shared" si="11"/>
        <v>Nivel de actividad física bajo</v>
      </c>
      <c r="CO86" s="402">
        <v>0.020833333333333332</v>
      </c>
      <c r="CP86" s="124">
        <v>5.0</v>
      </c>
      <c r="CQ86" s="365">
        <f t="shared" si="163"/>
        <v>0</v>
      </c>
      <c r="CR86" s="124">
        <v>6.0</v>
      </c>
      <c r="CS86" s="124">
        <v>15.0</v>
      </c>
      <c r="CT86" s="124">
        <v>5.75</v>
      </c>
      <c r="CU86" s="124">
        <v>5.0</v>
      </c>
      <c r="CV86" s="124">
        <v>0.0</v>
      </c>
      <c r="CW86" s="124">
        <v>2.0</v>
      </c>
      <c r="CX86" s="124">
        <v>0.0</v>
      </c>
      <c r="CY86" s="124">
        <v>0.0</v>
      </c>
      <c r="CZ86" s="124">
        <v>2.0</v>
      </c>
      <c r="DA86" s="124">
        <v>0.0</v>
      </c>
      <c r="DB86" s="124">
        <v>2.0</v>
      </c>
      <c r="DC86" s="124">
        <v>0.0</v>
      </c>
      <c r="DD86" s="124">
        <v>2.0</v>
      </c>
      <c r="DE86" s="124">
        <v>0.0</v>
      </c>
      <c r="DF86" s="403"/>
      <c r="DG86" s="303">
        <f t="shared" si="39"/>
        <v>8</v>
      </c>
      <c r="DH86" s="124">
        <v>1.0</v>
      </c>
      <c r="DI86" s="124">
        <v>0.0</v>
      </c>
      <c r="DJ86" s="124">
        <v>3.0</v>
      </c>
      <c r="DK86" s="124">
        <v>0.0</v>
      </c>
      <c r="DL86" s="362"/>
      <c r="DM86" s="362"/>
      <c r="DN86" s="362"/>
      <c r="DO86" s="362"/>
      <c r="DP86" s="362"/>
      <c r="DQ86" s="362"/>
      <c r="DR86" s="362"/>
      <c r="DS86" s="362"/>
      <c r="DT86" s="362"/>
      <c r="DU86" s="362"/>
      <c r="DV86" s="370">
        <v>3.0</v>
      </c>
      <c r="DW86" s="369" t="s">
        <v>149</v>
      </c>
      <c r="DX86" s="369" t="s">
        <v>146</v>
      </c>
      <c r="DY86" s="370">
        <v>2.0</v>
      </c>
      <c r="DZ86" s="369" t="s">
        <v>131</v>
      </c>
      <c r="EA86" s="369" t="s">
        <v>147</v>
      </c>
      <c r="EB86" s="359"/>
      <c r="EC86" s="369" t="s">
        <v>172</v>
      </c>
      <c r="ED86" s="359"/>
      <c r="EE86" s="359"/>
      <c r="EF86" s="369" t="s">
        <v>141</v>
      </c>
      <c r="EG86" s="370">
        <f t="shared" si="134"/>
        <v>966</v>
      </c>
      <c r="EH86" s="370">
        <f t="shared" si="124"/>
        <v>45528</v>
      </c>
      <c r="EI86" s="119">
        <f t="shared" si="153"/>
        <v>31.14186851</v>
      </c>
    </row>
    <row r="87" ht="15.75" customHeight="1">
      <c r="A87" s="286" t="s">
        <v>559</v>
      </c>
      <c r="B87" s="381" t="s">
        <v>129</v>
      </c>
      <c r="C87" s="382">
        <v>45528.0</v>
      </c>
      <c r="D87" s="404">
        <v>53.0</v>
      </c>
      <c r="E87" s="381" t="s">
        <v>153</v>
      </c>
      <c r="F87" s="404">
        <v>161.0</v>
      </c>
      <c r="G87" s="404">
        <v>79.0</v>
      </c>
      <c r="H87" s="405" t="s">
        <v>131</v>
      </c>
      <c r="I87" s="404">
        <v>4.0</v>
      </c>
      <c r="J87" s="406"/>
      <c r="K87" s="381" t="s">
        <v>132</v>
      </c>
      <c r="L87" s="407"/>
      <c r="M87" s="386"/>
      <c r="N87" s="383"/>
      <c r="O87" s="385"/>
      <c r="P87" s="408"/>
      <c r="Q87" s="406"/>
      <c r="R87" s="406"/>
      <c r="S87" s="406"/>
      <c r="T87" s="406"/>
      <c r="U87" s="280"/>
      <c r="V87" s="285" t="str">
        <f t="shared" si="97"/>
        <v>No infectado</v>
      </c>
      <c r="W87" s="408"/>
      <c r="X87" s="408"/>
      <c r="Y87" s="409"/>
      <c r="Z87" s="409"/>
      <c r="AA87" s="409"/>
      <c r="AB87" s="409"/>
      <c r="AC87" s="409"/>
      <c r="AD87" s="409"/>
      <c r="AE87" s="409"/>
      <c r="AF87" s="409"/>
      <c r="AG87" s="409"/>
      <c r="AH87" s="409"/>
      <c r="AI87" s="409"/>
      <c r="AJ87" s="409"/>
      <c r="AK87" s="410"/>
      <c r="AL87" s="381" t="s">
        <v>132</v>
      </c>
      <c r="AM87" s="381" t="s">
        <v>132</v>
      </c>
      <c r="AN87" s="381" t="s">
        <v>132</v>
      </c>
      <c r="AO87" s="381" t="s">
        <v>132</v>
      </c>
      <c r="AP87" s="381" t="s">
        <v>132</v>
      </c>
      <c r="AQ87" s="381" t="s">
        <v>132</v>
      </c>
      <c r="AR87" s="381" t="s">
        <v>132</v>
      </c>
      <c r="AS87" s="381" t="s">
        <v>132</v>
      </c>
      <c r="AT87" s="381" t="s">
        <v>132</v>
      </c>
      <c r="AU87" s="381" t="s">
        <v>132</v>
      </c>
      <c r="AV87" s="381" t="s">
        <v>132</v>
      </c>
      <c r="AW87" s="389"/>
      <c r="AX87" s="381" t="s">
        <v>131</v>
      </c>
      <c r="AY87" s="411">
        <v>3.0</v>
      </c>
      <c r="AZ87" s="411" t="s">
        <v>560</v>
      </c>
      <c r="BA87" s="383"/>
      <c r="BB87" s="381" t="s">
        <v>135</v>
      </c>
      <c r="BC87" s="412">
        <v>3.0</v>
      </c>
      <c r="BD87" s="413">
        <v>1.0</v>
      </c>
      <c r="BE87" s="404">
        <v>1.0</v>
      </c>
      <c r="BF87" s="404">
        <v>1.0</v>
      </c>
      <c r="BG87" s="404">
        <v>1.0</v>
      </c>
      <c r="BH87" s="404">
        <v>1.0</v>
      </c>
      <c r="BI87" s="391" t="str">
        <f t="shared" si="3"/>
        <v>11111</v>
      </c>
      <c r="BJ87" s="404">
        <v>65.0</v>
      </c>
      <c r="BK87" s="404">
        <v>2.0</v>
      </c>
      <c r="BL87" s="404">
        <v>1.0</v>
      </c>
      <c r="BM87" s="404">
        <v>2.0</v>
      </c>
      <c r="BN87" s="404">
        <v>5.0</v>
      </c>
      <c r="BO87" s="404">
        <v>2.0</v>
      </c>
      <c r="BP87" s="404">
        <v>1.0</v>
      </c>
      <c r="BQ87" s="404">
        <v>2.0</v>
      </c>
      <c r="BR87" s="404">
        <v>1.0</v>
      </c>
      <c r="BS87" s="404">
        <v>2.0</v>
      </c>
      <c r="BT87" s="404">
        <v>5.0</v>
      </c>
      <c r="BU87" s="312">
        <f t="shared" si="157"/>
        <v>1</v>
      </c>
      <c r="BV87" s="312">
        <f t="shared" si="158"/>
        <v>1</v>
      </c>
      <c r="BW87" s="312">
        <f t="shared" si="91"/>
        <v>19</v>
      </c>
      <c r="BX87" s="392" t="str">
        <f t="shared" si="159"/>
        <v>NO HAY FATIGA</v>
      </c>
      <c r="BY87" s="404">
        <v>0.0</v>
      </c>
      <c r="BZ87" s="404">
        <v>0.0</v>
      </c>
      <c r="CA87" s="404">
        <v>0.0</v>
      </c>
      <c r="CB87" s="404">
        <v>0.0</v>
      </c>
      <c r="CC87" s="404">
        <v>0.0</v>
      </c>
      <c r="CD87" s="404">
        <v>0.0</v>
      </c>
      <c r="CE87" s="404">
        <v>7.0</v>
      </c>
      <c r="CF87" s="404">
        <v>0.0</v>
      </c>
      <c r="CG87" s="404">
        <v>40.0</v>
      </c>
      <c r="CH87" s="404">
        <v>2.0</v>
      </c>
      <c r="CI87" s="404">
        <v>0.0</v>
      </c>
      <c r="CJ87" s="312">
        <f t="shared" si="160"/>
        <v>924</v>
      </c>
      <c r="CK87" s="391">
        <f t="shared" si="9"/>
        <v>7</v>
      </c>
      <c r="CL87" s="391" t="b">
        <f t="shared" si="161"/>
        <v>0</v>
      </c>
      <c r="CM87" s="391" t="str">
        <f t="shared" si="162"/>
        <v>Nivel de actividad física moderado</v>
      </c>
      <c r="CN87" s="393" t="str">
        <f t="shared" si="11"/>
        <v>Nivel de actividad física moderado</v>
      </c>
      <c r="CO87" s="414">
        <v>0.9791666666666666</v>
      </c>
      <c r="CP87" s="404">
        <v>5.0</v>
      </c>
      <c r="CQ87" s="290"/>
      <c r="CR87" s="404">
        <v>5.0</v>
      </c>
      <c r="CS87" s="404">
        <v>0.0</v>
      </c>
      <c r="CT87" s="404">
        <v>5.5</v>
      </c>
      <c r="CU87" s="404">
        <v>5.0</v>
      </c>
      <c r="CV87" s="404">
        <v>0.0</v>
      </c>
      <c r="CW87" s="404">
        <v>3.0</v>
      </c>
      <c r="CX87" s="404">
        <v>3.0</v>
      </c>
      <c r="CY87" s="404">
        <v>0.0</v>
      </c>
      <c r="CZ87" s="404">
        <v>0.0</v>
      </c>
      <c r="DA87" s="404">
        <v>1.0</v>
      </c>
      <c r="DB87" s="404">
        <v>0.0</v>
      </c>
      <c r="DC87" s="404">
        <v>1.0</v>
      </c>
      <c r="DD87" s="404">
        <v>1.0</v>
      </c>
      <c r="DE87" s="404">
        <v>1.0</v>
      </c>
      <c r="DF87" s="411" t="s">
        <v>304</v>
      </c>
      <c r="DG87" s="312">
        <f t="shared" si="39"/>
        <v>10</v>
      </c>
      <c r="DH87" s="404">
        <v>1.0</v>
      </c>
      <c r="DI87" s="404">
        <v>0.0</v>
      </c>
      <c r="DJ87" s="404">
        <v>3.0</v>
      </c>
      <c r="DK87" s="404">
        <v>1.0</v>
      </c>
      <c r="DL87" s="312"/>
      <c r="DM87" s="312"/>
      <c r="DN87" s="312"/>
      <c r="DO87" s="312"/>
      <c r="DP87" s="312"/>
      <c r="DQ87" s="312"/>
      <c r="DR87" s="312"/>
      <c r="DS87" s="312"/>
      <c r="DT87" s="395"/>
      <c r="DU87" s="396"/>
      <c r="DV87" s="415"/>
      <c r="DW87" s="416" t="s">
        <v>149</v>
      </c>
      <c r="DX87" s="416" t="s">
        <v>146</v>
      </c>
      <c r="DY87" s="416">
        <v>1.0</v>
      </c>
      <c r="DZ87" s="416" t="s">
        <v>131</v>
      </c>
      <c r="EA87" s="416" t="s">
        <v>147</v>
      </c>
      <c r="EB87" s="389"/>
      <c r="EC87" s="416" t="s">
        <v>139</v>
      </c>
      <c r="ED87" s="389"/>
      <c r="EE87" s="398"/>
      <c r="EF87" s="416" t="s">
        <v>141</v>
      </c>
      <c r="EG87" s="397">
        <f t="shared" si="134"/>
        <v>45528</v>
      </c>
      <c r="EH87" s="397">
        <f t="shared" si="124"/>
        <v>45528</v>
      </c>
      <c r="EI87" s="383">
        <f t="shared" si="153"/>
        <v>30.47721924</v>
      </c>
    </row>
    <row r="88" ht="15.75" customHeight="1">
      <c r="A88" s="140" t="s">
        <v>561</v>
      </c>
      <c r="B88" s="134" t="s">
        <v>175</v>
      </c>
      <c r="C88" s="417">
        <v>45535.0</v>
      </c>
      <c r="D88" s="128">
        <v>54.0</v>
      </c>
      <c r="E88" s="54" t="s">
        <v>130</v>
      </c>
      <c r="F88" s="128">
        <v>162.0</v>
      </c>
      <c r="G88" s="128">
        <v>105.0</v>
      </c>
      <c r="H88" s="353" t="s">
        <v>131</v>
      </c>
      <c r="I88" s="128">
        <v>2.0</v>
      </c>
      <c r="J88" s="371">
        <v>2021.0</v>
      </c>
      <c r="K88" s="54" t="s">
        <v>131</v>
      </c>
      <c r="L88" s="128">
        <v>2.0</v>
      </c>
      <c r="M88" s="400">
        <v>44348.0</v>
      </c>
      <c r="N88" s="119">
        <v>0.0</v>
      </c>
      <c r="O88" s="372">
        <v>44501.0</v>
      </c>
      <c r="P88" s="127" t="s">
        <v>132</v>
      </c>
      <c r="Q88" s="104"/>
      <c r="R88" s="104"/>
      <c r="S88" s="104"/>
      <c r="T88" s="104"/>
      <c r="U88" s="359"/>
      <c r="V88" s="121" t="str">
        <f t="shared" si="97"/>
        <v>Paciente ambulatorio</v>
      </c>
      <c r="W88" s="127" t="s">
        <v>176</v>
      </c>
      <c r="X88" s="127" t="s">
        <v>132</v>
      </c>
      <c r="Y88" s="124">
        <v>1.0</v>
      </c>
      <c r="Z88" s="124">
        <v>1.0</v>
      </c>
      <c r="AA88" s="124">
        <v>2.0</v>
      </c>
      <c r="AB88" s="124">
        <v>2.0</v>
      </c>
      <c r="AC88" s="127"/>
      <c r="AD88" s="124">
        <v>1.0</v>
      </c>
      <c r="AE88" s="124">
        <v>1.0</v>
      </c>
      <c r="AF88" s="124">
        <v>3.0</v>
      </c>
      <c r="AG88" s="124">
        <v>3.0</v>
      </c>
      <c r="AH88" s="124">
        <v>2.0</v>
      </c>
      <c r="AI88" s="124">
        <v>1.0</v>
      </c>
      <c r="AJ88" s="124">
        <v>1.0</v>
      </c>
      <c r="AK88" s="127"/>
      <c r="AL88" s="54" t="s">
        <v>131</v>
      </c>
      <c r="AM88" s="54" t="s">
        <v>132</v>
      </c>
      <c r="AN88" s="54" t="s">
        <v>132</v>
      </c>
      <c r="AO88" s="54" t="s">
        <v>132</v>
      </c>
      <c r="AP88" s="54" t="s">
        <v>132</v>
      </c>
      <c r="AQ88" s="54" t="s">
        <v>132</v>
      </c>
      <c r="AR88" s="54" t="s">
        <v>132</v>
      </c>
      <c r="AS88" s="54" t="s">
        <v>132</v>
      </c>
      <c r="AT88" s="54" t="s">
        <v>132</v>
      </c>
      <c r="AU88" s="54" t="s">
        <v>132</v>
      </c>
      <c r="AV88" s="54" t="s">
        <v>132</v>
      </c>
      <c r="AW88" s="359"/>
      <c r="AX88" s="54" t="s">
        <v>131</v>
      </c>
      <c r="AY88" s="119">
        <v>5.0</v>
      </c>
      <c r="AZ88" s="119">
        <v>40.0</v>
      </c>
      <c r="BA88" s="359"/>
      <c r="BB88" s="54" t="s">
        <v>145</v>
      </c>
      <c r="BC88" s="357"/>
      <c r="BD88" s="360">
        <v>4.0</v>
      </c>
      <c r="BE88" s="119">
        <v>1.0</v>
      </c>
      <c r="BF88" s="119">
        <v>2.0</v>
      </c>
      <c r="BG88" s="119">
        <v>4.0</v>
      </c>
      <c r="BH88" s="119">
        <v>4.0</v>
      </c>
      <c r="BI88" s="361" t="str">
        <f t="shared" si="3"/>
        <v>41244</v>
      </c>
      <c r="BJ88" s="124">
        <v>40.0</v>
      </c>
      <c r="BK88" s="124">
        <v>4.0</v>
      </c>
      <c r="BL88" s="124">
        <v>4.0</v>
      </c>
      <c r="BM88" s="124">
        <v>3.0</v>
      </c>
      <c r="BN88" s="124">
        <v>2.0</v>
      </c>
      <c r="BO88" s="124">
        <v>4.0</v>
      </c>
      <c r="BP88" s="124">
        <v>4.0</v>
      </c>
      <c r="BQ88" s="124">
        <v>2.0</v>
      </c>
      <c r="BR88" s="124">
        <v>3.0</v>
      </c>
      <c r="BS88" s="124">
        <v>3.0</v>
      </c>
      <c r="BT88" s="124">
        <v>2.0</v>
      </c>
      <c r="BU88" s="303">
        <f t="shared" si="157"/>
        <v>4</v>
      </c>
      <c r="BV88" s="303">
        <f t="shared" si="158"/>
        <v>4</v>
      </c>
      <c r="BW88" s="303">
        <f t="shared" si="91"/>
        <v>33</v>
      </c>
      <c r="BX88" s="362" t="str">
        <f t="shared" si="159"/>
        <v>FATIGA</v>
      </c>
      <c r="BY88" s="119">
        <v>0.0</v>
      </c>
      <c r="BZ88" s="119">
        <v>0.0</v>
      </c>
      <c r="CA88" s="119">
        <v>0.0</v>
      </c>
      <c r="CB88" s="119">
        <v>0.0</v>
      </c>
      <c r="CC88" s="119">
        <v>0.0</v>
      </c>
      <c r="CD88" s="119">
        <v>0.0</v>
      </c>
      <c r="CE88" s="119">
        <v>0.0</v>
      </c>
      <c r="CF88" s="119">
        <v>0.0</v>
      </c>
      <c r="CG88" s="119">
        <v>0.0</v>
      </c>
      <c r="CH88" s="119">
        <v>4.0</v>
      </c>
      <c r="CI88" s="119">
        <v>0.0</v>
      </c>
      <c r="CJ88" s="362"/>
      <c r="CK88" s="362"/>
      <c r="CL88" s="362"/>
      <c r="CM88" s="362"/>
      <c r="CN88" s="363" t="str">
        <f t="shared" si="11"/>
        <v>Nivel de actividad física bajo</v>
      </c>
      <c r="CO88" s="124">
        <v>21.0</v>
      </c>
      <c r="CP88" s="124">
        <v>120.0</v>
      </c>
      <c r="CQ88" s="365">
        <f>IF(CP88&gt;60,3,IF(CP88&gt;30,2,IF(CP88&gt;15,1,0)))</f>
        <v>3</v>
      </c>
      <c r="CR88" s="124">
        <v>8.0</v>
      </c>
      <c r="CS88" s="124">
        <v>0.0</v>
      </c>
      <c r="CT88" s="124">
        <v>11.0</v>
      </c>
      <c r="CU88" s="124">
        <v>5.0</v>
      </c>
      <c r="CV88" s="124">
        <v>3.0</v>
      </c>
      <c r="CW88" s="124">
        <v>3.0</v>
      </c>
      <c r="CX88" s="124">
        <v>3.0</v>
      </c>
      <c r="CY88" s="124">
        <v>2.0</v>
      </c>
      <c r="CZ88" s="124">
        <v>2.0</v>
      </c>
      <c r="DA88" s="124">
        <v>2.0</v>
      </c>
      <c r="DB88" s="124">
        <v>3.0</v>
      </c>
      <c r="DC88" s="124">
        <v>0.0</v>
      </c>
      <c r="DD88" s="124">
        <v>3.0</v>
      </c>
      <c r="DE88" s="124">
        <v>0.0</v>
      </c>
      <c r="DF88" s="403"/>
      <c r="DG88" s="303">
        <f t="shared" si="39"/>
        <v>18</v>
      </c>
      <c r="DH88" s="124">
        <v>2.0</v>
      </c>
      <c r="DI88" s="124">
        <v>0.0</v>
      </c>
      <c r="DJ88" s="124">
        <v>0.0</v>
      </c>
      <c r="DK88" s="124">
        <v>3.0</v>
      </c>
      <c r="DL88" s="362"/>
      <c r="DM88" s="362"/>
      <c r="DN88" s="362"/>
      <c r="DO88" s="362"/>
      <c r="DP88" s="362"/>
      <c r="DQ88" s="362"/>
      <c r="DR88" s="362"/>
      <c r="DS88" s="362"/>
      <c r="DT88" s="362"/>
      <c r="DU88" s="362"/>
      <c r="DV88" s="359"/>
      <c r="DW88" s="369" t="s">
        <v>572</v>
      </c>
      <c r="DX88" s="369" t="s">
        <v>146</v>
      </c>
      <c r="DY88" s="370">
        <v>2.0</v>
      </c>
      <c r="DZ88" s="369" t="s">
        <v>131</v>
      </c>
      <c r="EA88" s="369" t="s">
        <v>202</v>
      </c>
      <c r="EB88" s="359"/>
      <c r="EC88" s="369" t="s">
        <v>172</v>
      </c>
      <c r="ED88" s="359"/>
      <c r="EE88" s="369" t="s">
        <v>132</v>
      </c>
      <c r="EF88" s="369" t="s">
        <v>140</v>
      </c>
      <c r="EG88" s="370">
        <f t="shared" si="134"/>
        <v>1187</v>
      </c>
      <c r="EH88" s="370">
        <f t="shared" si="124"/>
        <v>1034</v>
      </c>
      <c r="EI88" s="119">
        <f t="shared" si="153"/>
        <v>40.00914495</v>
      </c>
    </row>
    <row r="89" ht="15.75" customHeight="1">
      <c r="A89" s="286" t="s">
        <v>563</v>
      </c>
      <c r="B89" s="381" t="s">
        <v>129</v>
      </c>
      <c r="C89" s="418">
        <v>45535.0</v>
      </c>
      <c r="D89" s="407">
        <v>59.0</v>
      </c>
      <c r="E89" s="280" t="s">
        <v>153</v>
      </c>
      <c r="F89" s="407">
        <v>168.0</v>
      </c>
      <c r="G89" s="407">
        <v>70.0</v>
      </c>
      <c r="H89" s="384" t="s">
        <v>131</v>
      </c>
      <c r="I89" s="407">
        <v>3.0</v>
      </c>
      <c r="J89" s="419"/>
      <c r="K89" s="280" t="s">
        <v>132</v>
      </c>
      <c r="L89" s="406"/>
      <c r="M89" s="387"/>
      <c r="N89" s="389"/>
      <c r="O89" s="385"/>
      <c r="P89" s="420"/>
      <c r="Q89" s="406"/>
      <c r="R89" s="406"/>
      <c r="S89" s="406"/>
      <c r="T89" s="406"/>
      <c r="U89" s="389"/>
      <c r="V89" s="285" t="str">
        <f t="shared" si="97"/>
        <v>No infectado</v>
      </c>
      <c r="W89" s="420"/>
      <c r="X89" s="420"/>
      <c r="Y89" s="408"/>
      <c r="Z89" s="408"/>
      <c r="AA89" s="408"/>
      <c r="AB89" s="408"/>
      <c r="AC89" s="408"/>
      <c r="AD89" s="408"/>
      <c r="AE89" s="408"/>
      <c r="AF89" s="408"/>
      <c r="AG89" s="408"/>
      <c r="AH89" s="408"/>
      <c r="AI89" s="408"/>
      <c r="AJ89" s="408"/>
      <c r="AK89" s="408"/>
      <c r="AL89" s="280" t="s">
        <v>132</v>
      </c>
      <c r="AM89" s="280" t="s">
        <v>132</v>
      </c>
      <c r="AN89" s="280" t="s">
        <v>132</v>
      </c>
      <c r="AO89" s="280" t="s">
        <v>132</v>
      </c>
      <c r="AP89" s="280" t="s">
        <v>132</v>
      </c>
      <c r="AQ89" s="280" t="s">
        <v>132</v>
      </c>
      <c r="AR89" s="280" t="s">
        <v>132</v>
      </c>
      <c r="AS89" s="280" t="s">
        <v>132</v>
      </c>
      <c r="AT89" s="280" t="s">
        <v>132</v>
      </c>
      <c r="AU89" s="280" t="s">
        <v>132</v>
      </c>
      <c r="AV89" s="280" t="s">
        <v>131</v>
      </c>
      <c r="AW89" s="280" t="s">
        <v>766</v>
      </c>
      <c r="AX89" s="280" t="s">
        <v>131</v>
      </c>
      <c r="AY89" s="383">
        <v>20.0</v>
      </c>
      <c r="AZ89" s="383">
        <v>20.0</v>
      </c>
      <c r="BA89" s="389"/>
      <c r="BB89" s="280" t="s">
        <v>135</v>
      </c>
      <c r="BC89" s="421">
        <v>3.0</v>
      </c>
      <c r="BD89" s="390">
        <v>2.0</v>
      </c>
      <c r="BE89" s="383">
        <v>1.0</v>
      </c>
      <c r="BF89" s="383">
        <v>5.0</v>
      </c>
      <c r="BG89" s="383">
        <v>2.0</v>
      </c>
      <c r="BH89" s="383">
        <v>3.0</v>
      </c>
      <c r="BI89" s="391" t="str">
        <f t="shared" si="3"/>
        <v>21523</v>
      </c>
      <c r="BJ89" s="409">
        <v>80.0</v>
      </c>
      <c r="BK89" s="409">
        <v>1.0</v>
      </c>
      <c r="BL89" s="409">
        <v>1.0</v>
      </c>
      <c r="BM89" s="409">
        <v>1.0</v>
      </c>
      <c r="BN89" s="409">
        <v>5.0</v>
      </c>
      <c r="BO89" s="409">
        <v>1.0</v>
      </c>
      <c r="BP89" s="409">
        <v>1.0</v>
      </c>
      <c r="BQ89" s="409">
        <v>1.0</v>
      </c>
      <c r="BR89" s="409">
        <v>1.0</v>
      </c>
      <c r="BS89" s="409">
        <v>1.0</v>
      </c>
      <c r="BT89" s="409">
        <v>5.0</v>
      </c>
      <c r="BU89" s="312">
        <f t="shared" si="157"/>
        <v>1</v>
      </c>
      <c r="BV89" s="312">
        <f t="shared" si="158"/>
        <v>1</v>
      </c>
      <c r="BW89" s="312">
        <f t="shared" si="91"/>
        <v>14</v>
      </c>
      <c r="BX89" s="392" t="str">
        <f t="shared" si="159"/>
        <v>NO HAY FATIGA</v>
      </c>
      <c r="BY89" s="383">
        <v>0.0</v>
      </c>
      <c r="BZ89" s="383">
        <v>0.0</v>
      </c>
      <c r="CA89" s="383">
        <v>0.0</v>
      </c>
      <c r="CB89" s="383">
        <v>0.0</v>
      </c>
      <c r="CC89" s="383">
        <v>0.0</v>
      </c>
      <c r="CD89" s="383">
        <v>0.0</v>
      </c>
      <c r="CE89" s="383">
        <v>0.0</v>
      </c>
      <c r="CF89" s="383">
        <v>0.0</v>
      </c>
      <c r="CG89" s="383">
        <v>0.0</v>
      </c>
      <c r="CH89" s="280" t="s">
        <v>767</v>
      </c>
      <c r="CI89" s="389"/>
      <c r="CJ89" s="392"/>
      <c r="CK89" s="392"/>
      <c r="CL89" s="392"/>
      <c r="CM89" s="392"/>
      <c r="CN89" s="393" t="str">
        <f t="shared" si="11"/>
        <v>Nivel de actividad física bajo</v>
      </c>
      <c r="CO89" s="409">
        <v>2.0</v>
      </c>
      <c r="CP89" s="409">
        <v>15.0</v>
      </c>
      <c r="CQ89" s="392"/>
      <c r="CR89" s="409">
        <v>8.0</v>
      </c>
      <c r="CS89" s="409">
        <v>30.0</v>
      </c>
      <c r="CT89" s="409">
        <v>6.5</v>
      </c>
      <c r="CU89" s="409">
        <v>5.0</v>
      </c>
      <c r="CV89" s="409">
        <v>0.0</v>
      </c>
      <c r="CW89" s="409">
        <v>2.0</v>
      </c>
      <c r="CX89" s="409">
        <v>3.0</v>
      </c>
      <c r="CY89" s="409">
        <v>0.0</v>
      </c>
      <c r="CZ89" s="409">
        <v>0.0</v>
      </c>
      <c r="DA89" s="409">
        <v>0.0</v>
      </c>
      <c r="DB89" s="409">
        <v>0.0</v>
      </c>
      <c r="DC89" s="409">
        <v>2.0</v>
      </c>
      <c r="DD89" s="409">
        <v>0.0</v>
      </c>
      <c r="DE89" s="409">
        <v>3.0</v>
      </c>
      <c r="DF89" s="408" t="s">
        <v>575</v>
      </c>
      <c r="DG89" s="312">
        <f t="shared" si="39"/>
        <v>10</v>
      </c>
      <c r="DH89" s="409">
        <v>1.0</v>
      </c>
      <c r="DI89" s="409">
        <v>0.0</v>
      </c>
      <c r="DJ89" s="409">
        <v>2.0</v>
      </c>
      <c r="DK89" s="409">
        <v>0.0</v>
      </c>
      <c r="DL89" s="392"/>
      <c r="DM89" s="392"/>
      <c r="DN89" s="392"/>
      <c r="DO89" s="392"/>
      <c r="DP89" s="392"/>
      <c r="DQ89" s="392"/>
      <c r="DR89" s="392"/>
      <c r="DS89" s="392"/>
      <c r="DT89" s="392"/>
      <c r="DU89" s="392"/>
      <c r="DV89" s="397">
        <v>1.0</v>
      </c>
      <c r="DW89" s="398" t="s">
        <v>572</v>
      </c>
      <c r="DX89" s="398" t="s">
        <v>146</v>
      </c>
      <c r="DY89" s="397">
        <v>1.0</v>
      </c>
      <c r="DZ89" s="398" t="s">
        <v>131</v>
      </c>
      <c r="EA89" s="398" t="s">
        <v>150</v>
      </c>
      <c r="EB89" s="389"/>
      <c r="EC89" s="398" t="s">
        <v>287</v>
      </c>
      <c r="ED89" s="398" t="s">
        <v>131</v>
      </c>
      <c r="EE89" s="398" t="s">
        <v>132</v>
      </c>
      <c r="EF89" s="398" t="s">
        <v>203</v>
      </c>
      <c r="EG89" s="397">
        <f t="shared" si="134"/>
        <v>45535</v>
      </c>
      <c r="EH89" s="397">
        <f t="shared" si="124"/>
        <v>45535</v>
      </c>
      <c r="EI89" s="383">
        <f t="shared" si="153"/>
        <v>24.8015873</v>
      </c>
    </row>
    <row r="90" ht="15.75" customHeight="1">
      <c r="A90" s="140" t="s">
        <v>564</v>
      </c>
      <c r="B90" s="134" t="s">
        <v>175</v>
      </c>
      <c r="C90" s="417">
        <v>45535.0</v>
      </c>
      <c r="D90" s="128">
        <v>61.0</v>
      </c>
      <c r="E90" s="54" t="s">
        <v>130</v>
      </c>
      <c r="F90" s="128">
        <v>160.0</v>
      </c>
      <c r="G90" s="128">
        <v>52.0</v>
      </c>
      <c r="H90" s="353" t="s">
        <v>131</v>
      </c>
      <c r="I90" s="128">
        <v>4.0</v>
      </c>
      <c r="J90" s="104"/>
      <c r="K90" s="54" t="s">
        <v>131</v>
      </c>
      <c r="L90" s="128">
        <v>3.0</v>
      </c>
      <c r="M90" s="400">
        <v>43952.0</v>
      </c>
      <c r="N90" s="119">
        <v>0.0</v>
      </c>
      <c r="O90" s="400">
        <v>44440.0</v>
      </c>
      <c r="P90" s="127" t="s">
        <v>132</v>
      </c>
      <c r="Q90" s="104"/>
      <c r="R90" s="104"/>
      <c r="S90" s="104"/>
      <c r="T90" s="104"/>
      <c r="U90" s="359"/>
      <c r="V90" s="121" t="str">
        <f t="shared" si="97"/>
        <v>Paciente ambulatorio</v>
      </c>
      <c r="W90" s="127" t="s">
        <v>183</v>
      </c>
      <c r="X90" s="127" t="s">
        <v>132</v>
      </c>
      <c r="Y90" s="128">
        <v>2.0</v>
      </c>
      <c r="Z90" s="128">
        <v>1.0</v>
      </c>
      <c r="AA90" s="128">
        <v>1.0</v>
      </c>
      <c r="AB90" s="128">
        <v>2.0</v>
      </c>
      <c r="AC90" s="128">
        <v>2.0</v>
      </c>
      <c r="AD90" s="128">
        <v>1.0</v>
      </c>
      <c r="AE90" s="128">
        <v>1.0</v>
      </c>
      <c r="AF90" s="128">
        <v>3.0</v>
      </c>
      <c r="AG90" s="128">
        <v>1.0</v>
      </c>
      <c r="AH90" s="128">
        <v>1.0</v>
      </c>
      <c r="AI90" s="128">
        <v>3.0</v>
      </c>
      <c r="AJ90" s="128">
        <v>3.0</v>
      </c>
      <c r="AK90" s="104" t="s">
        <v>577</v>
      </c>
      <c r="AL90" s="54" t="s">
        <v>132</v>
      </c>
      <c r="AM90" s="54" t="s">
        <v>132</v>
      </c>
      <c r="AN90" s="54" t="s">
        <v>132</v>
      </c>
      <c r="AO90" s="54" t="s">
        <v>132</v>
      </c>
      <c r="AP90" s="54" t="s">
        <v>132</v>
      </c>
      <c r="AQ90" s="54" t="s">
        <v>132</v>
      </c>
      <c r="AR90" s="54" t="s">
        <v>132</v>
      </c>
      <c r="AS90" s="54" t="s">
        <v>132</v>
      </c>
      <c r="AT90" s="54" t="s">
        <v>132</v>
      </c>
      <c r="AU90" s="54" t="s">
        <v>132</v>
      </c>
      <c r="AV90" s="54" t="s">
        <v>131</v>
      </c>
      <c r="AW90" s="54" t="s">
        <v>578</v>
      </c>
      <c r="AX90" s="54" t="s">
        <v>131</v>
      </c>
      <c r="AY90" s="119">
        <v>3.0</v>
      </c>
      <c r="AZ90" s="119">
        <v>5.0</v>
      </c>
      <c r="BA90" s="359"/>
      <c r="BB90" s="54" t="s">
        <v>135</v>
      </c>
      <c r="BC90" s="378">
        <v>1.0</v>
      </c>
      <c r="BD90" s="360">
        <v>1.0</v>
      </c>
      <c r="BE90" s="119">
        <v>1.0</v>
      </c>
      <c r="BF90" s="119">
        <v>1.0</v>
      </c>
      <c r="BG90" s="119">
        <v>3.0</v>
      </c>
      <c r="BH90" s="119">
        <v>4.0</v>
      </c>
      <c r="BI90" s="361" t="str">
        <f t="shared" si="3"/>
        <v>11134</v>
      </c>
      <c r="BJ90" s="124">
        <v>80.0</v>
      </c>
      <c r="BK90" s="124">
        <v>3.0</v>
      </c>
      <c r="BL90" s="124">
        <v>2.0</v>
      </c>
      <c r="BM90" s="124">
        <v>1.0</v>
      </c>
      <c r="BN90" s="124">
        <v>4.0</v>
      </c>
      <c r="BO90" s="124">
        <v>2.0</v>
      </c>
      <c r="BP90" s="124">
        <v>1.0</v>
      </c>
      <c r="BQ90" s="124">
        <v>1.0</v>
      </c>
      <c r="BR90" s="124">
        <v>2.0</v>
      </c>
      <c r="BS90" s="124">
        <v>2.0</v>
      </c>
      <c r="BT90" s="124">
        <v>3.0</v>
      </c>
      <c r="BU90" s="303">
        <f t="shared" si="157"/>
        <v>2</v>
      </c>
      <c r="BV90" s="303">
        <f t="shared" si="158"/>
        <v>3</v>
      </c>
      <c r="BW90" s="303">
        <f t="shared" si="91"/>
        <v>20</v>
      </c>
      <c r="BX90" s="362" t="str">
        <f t="shared" si="159"/>
        <v>NO HAY FATIGA</v>
      </c>
      <c r="BY90" s="119">
        <v>0.0</v>
      </c>
      <c r="BZ90" s="119">
        <v>0.0</v>
      </c>
      <c r="CA90" s="119">
        <v>0.0</v>
      </c>
      <c r="CB90" s="119">
        <v>0.0</v>
      </c>
      <c r="CC90" s="119">
        <v>0.0</v>
      </c>
      <c r="CD90" s="119">
        <v>0.0</v>
      </c>
      <c r="CE90" s="119">
        <v>7.0</v>
      </c>
      <c r="CF90" s="119">
        <v>0.0</v>
      </c>
      <c r="CG90" s="119">
        <v>40.0</v>
      </c>
      <c r="CH90" s="119">
        <v>1.0</v>
      </c>
      <c r="CI90" s="119">
        <v>0.0</v>
      </c>
      <c r="CJ90" s="362"/>
      <c r="CK90" s="362"/>
      <c r="CL90" s="362"/>
      <c r="CM90" s="362"/>
      <c r="CN90" s="363" t="str">
        <f t="shared" si="11"/>
        <v>Nivel de actividad física bajo</v>
      </c>
      <c r="CO90" s="124">
        <v>1.0</v>
      </c>
      <c r="CP90" s="124">
        <v>90.0</v>
      </c>
      <c r="CQ90" s="362"/>
      <c r="CR90" s="124">
        <v>8.0</v>
      </c>
      <c r="CS90" s="124">
        <v>30.0</v>
      </c>
      <c r="CT90" s="124">
        <v>7.5</v>
      </c>
      <c r="CU90" s="124">
        <v>5.5</v>
      </c>
      <c r="CV90" s="124">
        <v>3.0</v>
      </c>
      <c r="CW90" s="124">
        <v>3.0</v>
      </c>
      <c r="CX90" s="124">
        <v>0.0</v>
      </c>
      <c r="CY90" s="124">
        <v>0.0</v>
      </c>
      <c r="CZ90" s="124">
        <v>0.0</v>
      </c>
      <c r="DA90" s="124">
        <v>3.0</v>
      </c>
      <c r="DB90" s="124">
        <v>1.0</v>
      </c>
      <c r="DC90" s="124">
        <v>3.0</v>
      </c>
      <c r="DD90" s="124">
        <v>0.0</v>
      </c>
      <c r="DE90" s="124">
        <v>3.0</v>
      </c>
      <c r="DF90" s="127" t="s">
        <v>579</v>
      </c>
      <c r="DG90" s="303">
        <f t="shared" si="39"/>
        <v>13</v>
      </c>
      <c r="DH90" s="124">
        <v>3.0</v>
      </c>
      <c r="DI90" s="124">
        <v>3.0</v>
      </c>
      <c r="DJ90" s="124">
        <v>1.0</v>
      </c>
      <c r="DK90" s="124">
        <v>0.0</v>
      </c>
      <c r="DL90" s="362"/>
      <c r="DM90" s="362"/>
      <c r="DN90" s="362"/>
      <c r="DO90" s="362"/>
      <c r="DP90" s="362"/>
      <c r="DQ90" s="362"/>
      <c r="DR90" s="362"/>
      <c r="DS90" s="362"/>
      <c r="DT90" s="362"/>
      <c r="DU90" s="362"/>
      <c r="DV90" s="370">
        <v>4.0</v>
      </c>
      <c r="DW90" s="369" t="s">
        <v>566</v>
      </c>
      <c r="DX90" s="369" t="s">
        <v>207</v>
      </c>
      <c r="DY90" s="369" t="s">
        <v>156</v>
      </c>
      <c r="DZ90" s="369" t="s">
        <v>131</v>
      </c>
      <c r="EA90" s="369" t="s">
        <v>178</v>
      </c>
      <c r="EB90" s="359"/>
      <c r="EC90" s="369" t="s">
        <v>219</v>
      </c>
      <c r="ED90" s="369" t="s">
        <v>131</v>
      </c>
      <c r="EE90" s="369" t="s">
        <v>132</v>
      </c>
      <c r="EF90" s="369" t="s">
        <v>141</v>
      </c>
      <c r="EG90" s="370">
        <f t="shared" si="134"/>
        <v>1583</v>
      </c>
      <c r="EH90" s="370">
        <f t="shared" si="124"/>
        <v>1095</v>
      </c>
      <c r="EI90" s="119">
        <f t="shared" si="153"/>
        <v>20.3125</v>
      </c>
    </row>
    <row r="91" ht="15.75" customHeight="1">
      <c r="A91" s="130" t="s">
        <v>567</v>
      </c>
      <c r="B91" s="89" t="s">
        <v>716</v>
      </c>
      <c r="C91" s="417">
        <v>45542.0</v>
      </c>
      <c r="D91" s="128">
        <v>51.0</v>
      </c>
      <c r="E91" s="54" t="s">
        <v>130</v>
      </c>
      <c r="F91" s="128">
        <v>165.0</v>
      </c>
      <c r="G91" s="128">
        <v>72.0</v>
      </c>
      <c r="H91" s="353" t="s">
        <v>131</v>
      </c>
      <c r="I91" s="128">
        <v>3.0</v>
      </c>
      <c r="J91" s="371">
        <v>44650.0</v>
      </c>
      <c r="K91" s="54" t="s">
        <v>131</v>
      </c>
      <c r="L91" s="128">
        <v>1.0</v>
      </c>
      <c r="M91" s="371">
        <v>44581.0</v>
      </c>
      <c r="N91" s="119">
        <v>2.0</v>
      </c>
      <c r="O91" s="376"/>
      <c r="P91" s="127" t="s">
        <v>132</v>
      </c>
      <c r="Q91" s="104"/>
      <c r="R91" s="104"/>
      <c r="S91" s="104"/>
      <c r="T91" s="104"/>
      <c r="U91" s="359"/>
      <c r="V91" s="121" t="str">
        <f t="shared" si="97"/>
        <v>Paciente ambulatorio</v>
      </c>
      <c r="W91" s="127" t="s">
        <v>183</v>
      </c>
      <c r="X91" s="127" t="s">
        <v>132</v>
      </c>
      <c r="Y91" s="128">
        <v>3.0</v>
      </c>
      <c r="Z91" s="128">
        <v>2.0</v>
      </c>
      <c r="AA91" s="128">
        <v>3.0</v>
      </c>
      <c r="AB91" s="128">
        <v>3.0</v>
      </c>
      <c r="AC91" s="128">
        <v>1.0</v>
      </c>
      <c r="AD91" s="128">
        <v>2.0</v>
      </c>
      <c r="AE91" s="128">
        <v>2.0</v>
      </c>
      <c r="AF91" s="128">
        <v>1.0</v>
      </c>
      <c r="AG91" s="128">
        <v>1.0</v>
      </c>
      <c r="AH91" s="128">
        <v>2.0</v>
      </c>
      <c r="AI91" s="128">
        <v>1.0</v>
      </c>
      <c r="AJ91" s="128">
        <v>1.0</v>
      </c>
      <c r="AK91" s="104"/>
      <c r="AL91" s="54" t="s">
        <v>132</v>
      </c>
      <c r="AM91" s="54" t="s">
        <v>132</v>
      </c>
      <c r="AN91" s="54" t="s">
        <v>132</v>
      </c>
      <c r="AO91" s="54" t="s">
        <v>132</v>
      </c>
      <c r="AP91" s="54" t="s">
        <v>132</v>
      </c>
      <c r="AQ91" s="54" t="s">
        <v>132</v>
      </c>
      <c r="AR91" s="54" t="s">
        <v>132</v>
      </c>
      <c r="AS91" s="54" t="s">
        <v>132</v>
      </c>
      <c r="AT91" s="54" t="s">
        <v>132</v>
      </c>
      <c r="AU91" s="54" t="s">
        <v>132</v>
      </c>
      <c r="AV91" s="54" t="s">
        <v>132</v>
      </c>
      <c r="AW91" s="359"/>
      <c r="AX91" s="54" t="s">
        <v>132</v>
      </c>
      <c r="AY91" s="359"/>
      <c r="AZ91" s="359"/>
      <c r="BA91" s="359"/>
      <c r="BB91" s="54" t="s">
        <v>145</v>
      </c>
      <c r="BC91" s="357"/>
      <c r="BD91" s="360">
        <v>1.0</v>
      </c>
      <c r="BE91" s="119">
        <v>1.0</v>
      </c>
      <c r="BF91" s="119">
        <v>1.0</v>
      </c>
      <c r="BG91" s="119">
        <v>1.0</v>
      </c>
      <c r="BH91" s="119">
        <v>2.0</v>
      </c>
      <c r="BI91" s="361" t="str">
        <f t="shared" si="3"/>
        <v>11112</v>
      </c>
      <c r="BJ91" s="124">
        <v>80.0</v>
      </c>
      <c r="BK91" s="124">
        <v>2.0</v>
      </c>
      <c r="BL91" s="124">
        <v>3.0</v>
      </c>
      <c r="BM91" s="124">
        <v>1.0</v>
      </c>
      <c r="BN91" s="124">
        <v>2.0</v>
      </c>
      <c r="BO91" s="124">
        <v>2.0</v>
      </c>
      <c r="BP91" s="124">
        <v>2.0</v>
      </c>
      <c r="BQ91" s="124">
        <v>3.0</v>
      </c>
      <c r="BR91" s="124">
        <v>1.0</v>
      </c>
      <c r="BS91" s="124">
        <v>2.0</v>
      </c>
      <c r="BT91" s="124">
        <v>2.0</v>
      </c>
      <c r="BU91" s="303">
        <f t="shared" si="157"/>
        <v>4</v>
      </c>
      <c r="BV91" s="303">
        <f t="shared" si="158"/>
        <v>4</v>
      </c>
      <c r="BW91" s="303">
        <f t="shared" si="91"/>
        <v>22</v>
      </c>
      <c r="BX91" s="362" t="str">
        <f t="shared" si="159"/>
        <v>FATIGA</v>
      </c>
      <c r="BY91" s="119">
        <v>2.0</v>
      </c>
      <c r="BZ91" s="119">
        <v>2.0</v>
      </c>
      <c r="CA91" s="119">
        <v>0.0</v>
      </c>
      <c r="CB91" s="119">
        <v>5.0</v>
      </c>
      <c r="CC91" s="119">
        <v>3.0</v>
      </c>
      <c r="CD91" s="119">
        <v>0.0</v>
      </c>
      <c r="CE91" s="119">
        <v>5.0</v>
      </c>
      <c r="CF91" s="119">
        <v>1.0</v>
      </c>
      <c r="CG91" s="119">
        <v>0.0</v>
      </c>
      <c r="CH91" s="119">
        <v>1.0</v>
      </c>
      <c r="CI91" s="119">
        <v>0.0</v>
      </c>
      <c r="CJ91" s="362"/>
      <c r="CK91" s="362"/>
      <c r="CL91" s="362"/>
      <c r="CM91" s="362"/>
      <c r="CN91" s="363" t="str">
        <f t="shared" si="11"/>
        <v>Nivel de actividad física bajo</v>
      </c>
      <c r="CO91" s="402">
        <v>22.0</v>
      </c>
      <c r="CP91" s="124">
        <v>5.0</v>
      </c>
      <c r="CQ91" s="362"/>
      <c r="CR91" s="124">
        <v>4.0</v>
      </c>
      <c r="CS91" s="124">
        <v>0.0</v>
      </c>
      <c r="CT91" s="124">
        <v>6.0</v>
      </c>
      <c r="CU91" s="124">
        <v>4.0</v>
      </c>
      <c r="CV91" s="124">
        <v>0.0</v>
      </c>
      <c r="CW91" s="124">
        <v>1.0</v>
      </c>
      <c r="CX91" s="124">
        <v>1.0</v>
      </c>
      <c r="CY91" s="124">
        <v>0.0</v>
      </c>
      <c r="CZ91" s="124">
        <v>1.0</v>
      </c>
      <c r="DA91" s="124">
        <v>0.0</v>
      </c>
      <c r="DB91" s="124">
        <v>0.0</v>
      </c>
      <c r="DC91" s="124">
        <v>0.0</v>
      </c>
      <c r="DD91" s="124">
        <v>0.0</v>
      </c>
      <c r="DE91" s="124">
        <v>0.0</v>
      </c>
      <c r="DF91" s="403"/>
      <c r="DG91" s="303">
        <f t="shared" si="39"/>
        <v>3</v>
      </c>
      <c r="DH91" s="124">
        <v>1.0</v>
      </c>
      <c r="DI91" s="124">
        <v>0.0</v>
      </c>
      <c r="DJ91" s="124">
        <v>3.0</v>
      </c>
      <c r="DK91" s="124">
        <v>2.0</v>
      </c>
      <c r="DL91" s="362"/>
      <c r="DM91" s="362"/>
      <c r="DN91" s="362"/>
      <c r="DO91" s="362"/>
      <c r="DP91" s="362"/>
      <c r="DQ91" s="362"/>
      <c r="DR91" s="362"/>
      <c r="DS91" s="362"/>
      <c r="DT91" s="362"/>
      <c r="DU91" s="362"/>
      <c r="DV91" s="370">
        <v>2.0</v>
      </c>
      <c r="DW91" s="369" t="s">
        <v>581</v>
      </c>
      <c r="DX91" s="369" t="s">
        <v>146</v>
      </c>
      <c r="DY91" s="370">
        <v>2.0</v>
      </c>
      <c r="DZ91" s="369" t="s">
        <v>131</v>
      </c>
      <c r="EA91" s="369" t="s">
        <v>147</v>
      </c>
      <c r="EB91" s="359"/>
      <c r="EC91" s="369" t="s">
        <v>139</v>
      </c>
      <c r="ED91" s="359"/>
      <c r="EE91" s="369" t="s">
        <v>132</v>
      </c>
      <c r="EF91" s="369" t="s">
        <v>141</v>
      </c>
      <c r="EG91" s="370">
        <f t="shared" si="134"/>
        <v>961</v>
      </c>
      <c r="EH91" s="370">
        <f t="shared" si="124"/>
        <v>45542</v>
      </c>
      <c r="EI91" s="119">
        <f t="shared" si="153"/>
        <v>26.44628099</v>
      </c>
    </row>
    <row r="92" ht="15.75" customHeight="1">
      <c r="A92" s="422" t="s">
        <v>570</v>
      </c>
      <c r="B92" s="423" t="s">
        <v>129</v>
      </c>
      <c r="C92" s="281">
        <v>45556.0</v>
      </c>
      <c r="D92" s="404">
        <v>46.0</v>
      </c>
      <c r="E92" s="381" t="s">
        <v>130</v>
      </c>
      <c r="F92" s="407">
        <v>169.0</v>
      </c>
      <c r="G92" s="424">
        <v>67.0</v>
      </c>
      <c r="H92" s="280" t="s">
        <v>131</v>
      </c>
      <c r="I92" s="407">
        <v>2.0</v>
      </c>
      <c r="J92" s="425">
        <v>44501.0</v>
      </c>
      <c r="K92" s="280" t="s">
        <v>131</v>
      </c>
      <c r="L92" s="407">
        <v>1.0</v>
      </c>
      <c r="M92" s="425">
        <v>44013.0</v>
      </c>
      <c r="N92" s="383">
        <v>0.0</v>
      </c>
      <c r="O92" s="425">
        <v>44013.0</v>
      </c>
      <c r="P92" s="408" t="s">
        <v>132</v>
      </c>
      <c r="Q92" s="426"/>
      <c r="R92" s="426"/>
      <c r="S92" s="426"/>
      <c r="T92" s="426"/>
      <c r="U92" s="389"/>
      <c r="V92" s="285" t="str">
        <f t="shared" si="97"/>
        <v>Paciente ambulatorio</v>
      </c>
      <c r="W92" s="408" t="s">
        <v>183</v>
      </c>
      <c r="X92" s="408" t="s">
        <v>132</v>
      </c>
      <c r="Y92" s="407">
        <v>1.0</v>
      </c>
      <c r="Z92" s="407">
        <v>1.0</v>
      </c>
      <c r="AA92" s="407">
        <v>3.0</v>
      </c>
      <c r="AB92" s="407">
        <v>3.0</v>
      </c>
      <c r="AC92" s="407">
        <v>1.0</v>
      </c>
      <c r="AD92" s="407">
        <v>3.0</v>
      </c>
      <c r="AE92" s="407">
        <v>1.0</v>
      </c>
      <c r="AF92" s="407">
        <v>1.0</v>
      </c>
      <c r="AG92" s="407">
        <v>1.0</v>
      </c>
      <c r="AH92" s="407">
        <v>3.0</v>
      </c>
      <c r="AI92" s="407">
        <v>1.0</v>
      </c>
      <c r="AJ92" s="407">
        <v>1.0</v>
      </c>
      <c r="AK92" s="427"/>
      <c r="AL92" s="384" t="s">
        <v>132</v>
      </c>
      <c r="AM92" s="280" t="s">
        <v>132</v>
      </c>
      <c r="AN92" s="280" t="s">
        <v>132</v>
      </c>
      <c r="AO92" s="280" t="s">
        <v>132</v>
      </c>
      <c r="AP92" s="280" t="s">
        <v>132</v>
      </c>
      <c r="AQ92" s="280" t="s">
        <v>132</v>
      </c>
      <c r="AR92" s="280" t="s">
        <v>132</v>
      </c>
      <c r="AS92" s="280" t="s">
        <v>132</v>
      </c>
      <c r="AT92" s="280" t="s">
        <v>132</v>
      </c>
      <c r="AU92" s="280" t="s">
        <v>132</v>
      </c>
      <c r="AV92" s="280" t="s">
        <v>132</v>
      </c>
      <c r="AW92" s="389"/>
      <c r="AX92" s="280" t="s">
        <v>131</v>
      </c>
      <c r="AY92" s="383">
        <v>20.0</v>
      </c>
      <c r="AZ92" s="389"/>
      <c r="BA92" s="389"/>
      <c r="BB92" s="280" t="s">
        <v>145</v>
      </c>
      <c r="BC92" s="388"/>
      <c r="BD92" s="383">
        <v>1.0</v>
      </c>
      <c r="BE92" s="383">
        <v>1.0</v>
      </c>
      <c r="BF92" s="383">
        <v>4.0</v>
      </c>
      <c r="BG92" s="383">
        <v>4.0</v>
      </c>
      <c r="BH92" s="383">
        <v>3.0</v>
      </c>
      <c r="BI92" s="391" t="str">
        <f t="shared" si="3"/>
        <v>11443</v>
      </c>
      <c r="BJ92" s="409">
        <v>50.0</v>
      </c>
      <c r="BK92" s="409">
        <v>5.0</v>
      </c>
      <c r="BL92" s="409">
        <v>5.0</v>
      </c>
      <c r="BM92" s="409">
        <v>3.0</v>
      </c>
      <c r="BN92" s="409">
        <v>2.0</v>
      </c>
      <c r="BO92" s="409">
        <v>1.0</v>
      </c>
      <c r="BP92" s="409">
        <v>5.0</v>
      </c>
      <c r="BQ92" s="409">
        <v>5.0</v>
      </c>
      <c r="BR92" s="409">
        <v>4.0</v>
      </c>
      <c r="BS92" s="409">
        <v>5.0</v>
      </c>
      <c r="BT92" s="409">
        <v>5.0</v>
      </c>
      <c r="BU92" s="312">
        <f t="shared" si="157"/>
        <v>4</v>
      </c>
      <c r="BV92" s="312">
        <f t="shared" si="158"/>
        <v>1</v>
      </c>
      <c r="BW92" s="312">
        <f t="shared" si="91"/>
        <v>39</v>
      </c>
      <c r="BX92" s="392" t="str">
        <f t="shared" si="159"/>
        <v>FATIGA EXTREMA</v>
      </c>
      <c r="BY92" s="383">
        <v>0.0</v>
      </c>
      <c r="BZ92" s="383">
        <v>0.0</v>
      </c>
      <c r="CA92" s="383">
        <v>0.0</v>
      </c>
      <c r="CB92" s="383">
        <v>0.0</v>
      </c>
      <c r="CC92" s="383">
        <v>0.0</v>
      </c>
      <c r="CD92" s="383">
        <v>0.0</v>
      </c>
      <c r="CE92" s="383">
        <v>0.0</v>
      </c>
      <c r="CF92" s="383">
        <v>0.0</v>
      </c>
      <c r="CG92" s="383">
        <v>0.0</v>
      </c>
      <c r="CH92" s="383">
        <v>12.0</v>
      </c>
      <c r="CI92" s="383">
        <v>0.0</v>
      </c>
      <c r="CJ92" s="312">
        <f>(8*BY92*(BZ92*60+CA92)+4*CB92*(CC92*60+CD92)+3.3*CE92*(CF92*60+CG92))</f>
        <v>0</v>
      </c>
      <c r="CK92" s="391">
        <f>(BY92+CB92+CE92)</f>
        <v>0</v>
      </c>
      <c r="CL92" s="391" t="b">
        <f>IF(CJ93&gt;3000,IF(CK93&gt;6,"Nivel de actividad física alto"),IF(CJ93&gt;1500,IF(BY93&gt;2,"Nivel de actividad física alto")))</f>
        <v>0</v>
      </c>
      <c r="CM92" s="391" t="b">
        <f>IF(BY92&gt;2,(IF(BZ92*60+CA92&gt;25,"Nivel de actividad física moderado")),IF(CB92+CE92&gt;5,IF(CC92*60+CD92+CF92*60+CG92&gt;30,"Nivel de actividad física moderado"),IF(CJ92&gt;600,(IF(CK92&gt;5,"Nivel de actividad física moderado")))))</f>
        <v>0</v>
      </c>
      <c r="CN92" s="393" t="str">
        <f t="shared" si="11"/>
        <v>Nivel de actividad física bajo</v>
      </c>
      <c r="CO92" s="428">
        <v>1.0208333333333333</v>
      </c>
      <c r="CP92" s="409">
        <v>5.0</v>
      </c>
      <c r="CQ92" s="394">
        <f>IF(CP92&gt;60,3,IF(CP92&gt;30,2,IF(CP92&gt;15,1,0)))</f>
        <v>0</v>
      </c>
      <c r="CR92" s="409">
        <v>7.0</v>
      </c>
      <c r="CS92" s="409">
        <v>0.0</v>
      </c>
      <c r="CT92" s="409">
        <v>6.5</v>
      </c>
      <c r="CU92" s="409">
        <v>7.0</v>
      </c>
      <c r="CV92" s="409">
        <v>0.0</v>
      </c>
      <c r="CW92" s="409">
        <v>0.0</v>
      </c>
      <c r="CX92" s="409">
        <v>0.0</v>
      </c>
      <c r="CY92" s="409">
        <v>3.0</v>
      </c>
      <c r="CZ92" s="409">
        <v>1.0</v>
      </c>
      <c r="DA92" s="409">
        <v>0.0</v>
      </c>
      <c r="DB92" s="409">
        <v>0.0</v>
      </c>
      <c r="DC92" s="409">
        <v>0.0</v>
      </c>
      <c r="DD92" s="409">
        <v>0.0</v>
      </c>
      <c r="DE92" s="420"/>
      <c r="DF92" s="420"/>
      <c r="DG92" s="312">
        <f t="shared" si="39"/>
        <v>4</v>
      </c>
      <c r="DH92" s="409">
        <v>1.0</v>
      </c>
      <c r="DI92" s="409">
        <v>0.0</v>
      </c>
      <c r="DJ92" s="409">
        <v>3.0</v>
      </c>
      <c r="DK92" s="409">
        <v>2.0</v>
      </c>
      <c r="DL92" s="312">
        <f>((CU92/CT92)*100)</f>
        <v>107.6923077</v>
      </c>
      <c r="DM92" s="312">
        <f>IF(CU92&gt;=7,0,IF(CU92&gt;=6,1,IF(CU92&gt;=5,2,IF(CU92&lt;5,3))))</f>
        <v>0</v>
      </c>
      <c r="DN92" s="312">
        <f>IF(DG92&gt;18,3,IF(DG92&gt;9,2,IF(DG92&gt;=1,1,0)))</f>
        <v>1</v>
      </c>
      <c r="DO92" s="312">
        <f>IF(CV92+CQ92&gt;=5,3,IF(CQ92+CV92&gt;=3,2,IF(CQ92+CV92&gt;=1,1,0)))</f>
        <v>0</v>
      </c>
      <c r="DP92" s="312">
        <f>IF(DJ92+DK92&gt;=5,3,IF(DJ92+DK92&gt;=3,2,IF(DJ92+DK92&gt;=1,1,0)))</f>
        <v>3</v>
      </c>
      <c r="DQ92" s="312">
        <f>IF(DL92&gt;85,0,IF(DL92&gt;75,1,IF(DL92&gt;65,2,3)))</f>
        <v>0</v>
      </c>
      <c r="DR92" s="312">
        <f t="shared" ref="DR92:DS92" si="164">(DH92)</f>
        <v>1</v>
      </c>
      <c r="DS92" s="312">
        <f t="shared" si="164"/>
        <v>0</v>
      </c>
      <c r="DT92" s="395">
        <f>SUM(DM92:DS92)</f>
        <v>5</v>
      </c>
      <c r="DU92" s="396" t="str">
        <f>IF(DT92&gt;5,"poor sleep quality","good sleep quality")</f>
        <v>good sleep quality</v>
      </c>
      <c r="DV92" s="397">
        <v>3.0</v>
      </c>
      <c r="DW92" s="398" t="s">
        <v>314</v>
      </c>
      <c r="DX92" s="398" t="s">
        <v>146</v>
      </c>
      <c r="DY92" s="397">
        <v>1.0</v>
      </c>
      <c r="DZ92" s="398" t="s">
        <v>131</v>
      </c>
      <c r="EA92" s="398" t="s">
        <v>202</v>
      </c>
      <c r="EB92" s="389"/>
      <c r="EC92" s="398" t="s">
        <v>139</v>
      </c>
      <c r="ED92" s="389"/>
      <c r="EE92" s="389"/>
      <c r="EF92" s="398" t="s">
        <v>158</v>
      </c>
      <c r="EG92" s="397">
        <f t="shared" si="134"/>
        <v>1543</v>
      </c>
      <c r="EH92" s="397">
        <f t="shared" si="124"/>
        <v>1543</v>
      </c>
      <c r="EI92" s="383">
        <f t="shared" si="153"/>
        <v>23.45856238</v>
      </c>
    </row>
    <row r="93" ht="15.75" customHeight="1">
      <c r="A93" s="130" t="s">
        <v>571</v>
      </c>
      <c r="B93" s="134" t="s">
        <v>175</v>
      </c>
      <c r="C93" s="296">
        <v>45535.0</v>
      </c>
      <c r="D93" s="134">
        <v>54.0</v>
      </c>
      <c r="E93" s="132" t="s">
        <v>130</v>
      </c>
      <c r="F93" s="134">
        <v>162.0</v>
      </c>
      <c r="G93" s="134">
        <v>105.0</v>
      </c>
      <c r="H93" s="318" t="s">
        <v>131</v>
      </c>
      <c r="I93" s="134">
        <v>2.0</v>
      </c>
      <c r="J93" s="134">
        <v>2021.0</v>
      </c>
      <c r="K93" s="132" t="s">
        <v>131</v>
      </c>
      <c r="L93" s="134">
        <v>2.0</v>
      </c>
      <c r="M93" s="351">
        <v>44348.0</v>
      </c>
      <c r="N93" s="132">
        <v>0.0</v>
      </c>
      <c r="O93" s="347">
        <v>44501.0</v>
      </c>
      <c r="P93" s="132" t="s">
        <v>132</v>
      </c>
      <c r="S93" s="327"/>
      <c r="U93" s="130"/>
      <c r="V93" s="121" t="str">
        <f t="shared" si="97"/>
        <v>Paciente ambulatorio</v>
      </c>
      <c r="W93" s="132" t="s">
        <v>176</v>
      </c>
      <c r="X93" s="132" t="s">
        <v>132</v>
      </c>
      <c r="Y93" s="134">
        <v>1.0</v>
      </c>
      <c r="Z93" s="134">
        <v>1.0</v>
      </c>
      <c r="AA93" s="134">
        <v>2.0</v>
      </c>
      <c r="AB93" s="134">
        <v>2.0</v>
      </c>
      <c r="AD93" s="134">
        <v>1.0</v>
      </c>
      <c r="AE93" s="134">
        <v>1.0</v>
      </c>
      <c r="AF93" s="134">
        <v>3.0</v>
      </c>
      <c r="AG93" s="134">
        <v>3.0</v>
      </c>
      <c r="AH93" s="134">
        <v>2.0</v>
      </c>
      <c r="AI93" s="134">
        <v>1.0</v>
      </c>
      <c r="AJ93" s="134">
        <v>1.0</v>
      </c>
      <c r="AL93" s="132" t="s">
        <v>131</v>
      </c>
      <c r="AM93" s="132" t="s">
        <v>132</v>
      </c>
      <c r="AN93" s="132" t="s">
        <v>132</v>
      </c>
      <c r="AO93" s="132" t="s">
        <v>132</v>
      </c>
      <c r="AP93" s="132" t="s">
        <v>132</v>
      </c>
      <c r="AQ93" s="132" t="s">
        <v>132</v>
      </c>
      <c r="AR93" s="132" t="s">
        <v>132</v>
      </c>
      <c r="AS93" s="132" t="s">
        <v>132</v>
      </c>
      <c r="AT93" s="132" t="s">
        <v>132</v>
      </c>
      <c r="AU93" s="132" t="s">
        <v>132</v>
      </c>
      <c r="AV93" s="132" t="s">
        <v>132</v>
      </c>
      <c r="AW93" s="130"/>
      <c r="AX93" s="132" t="s">
        <v>131</v>
      </c>
      <c r="AY93" s="132">
        <v>5.0</v>
      </c>
      <c r="AZ93" s="132">
        <v>40.0</v>
      </c>
      <c r="BA93" s="130"/>
      <c r="BB93" s="132" t="s">
        <v>145</v>
      </c>
      <c r="BC93" s="297"/>
      <c r="BD93" s="318">
        <v>4.0</v>
      </c>
      <c r="BE93" s="132">
        <v>1.0</v>
      </c>
      <c r="BF93" s="132">
        <v>2.0</v>
      </c>
      <c r="BG93" s="132">
        <v>4.0</v>
      </c>
      <c r="BH93" s="132">
        <v>4.0</v>
      </c>
      <c r="BI93" s="301" t="str">
        <f t="shared" si="3"/>
        <v>41244</v>
      </c>
      <c r="BJ93" s="132">
        <v>40.0</v>
      </c>
      <c r="BK93" s="132">
        <v>4.0</v>
      </c>
      <c r="BL93" s="132">
        <v>4.0</v>
      </c>
      <c r="BM93" s="132">
        <v>3.0</v>
      </c>
      <c r="BN93" s="132">
        <v>2.0</v>
      </c>
      <c r="BO93" s="132">
        <v>4.0</v>
      </c>
      <c r="BP93" s="132">
        <v>4.0</v>
      </c>
      <c r="BQ93" s="132">
        <v>2.0</v>
      </c>
      <c r="BR93" s="132">
        <v>3.0</v>
      </c>
      <c r="BS93" s="132">
        <v>3.0</v>
      </c>
      <c r="BT93" s="132">
        <v>2.0</v>
      </c>
      <c r="BU93" s="302">
        <f t="shared" ref="BU93:BU100" si="165">IF(BN93=1,5,IF(BN93=2,4,IF(BN93=3,3,IF(BN93=4,2,IF(BN93=5,1)))))</f>
        <v>4</v>
      </c>
      <c r="BV93" s="302">
        <f t="shared" ref="BV93:BV100" si="166">IF(BT93=1,5,IF(BT93=2,4,IF(BT93=3,3,IF(BT93=4,2,IF(BT93=5,1)))))</f>
        <v>4</v>
      </c>
      <c r="BW93" s="302">
        <f t="shared" si="91"/>
        <v>33</v>
      </c>
      <c r="BX93" s="302" t="str">
        <f t="shared" ref="BX93:BX100" si="167">IF(BW93&lt;22,"NO HAY FATIGA",IF(BW93&lt;35,"FATIGA","FATIGA EXTREMA"))</f>
        <v>FATIGA</v>
      </c>
      <c r="BY93" s="132">
        <v>0.0</v>
      </c>
      <c r="BZ93" s="132">
        <v>0.0</v>
      </c>
      <c r="CA93" s="132">
        <v>0.0</v>
      </c>
      <c r="CB93" s="132">
        <v>0.0</v>
      </c>
      <c r="CC93" s="132">
        <v>0.0</v>
      </c>
      <c r="CD93" s="132">
        <v>0.0</v>
      </c>
      <c r="CE93" s="132">
        <v>0.0</v>
      </c>
      <c r="CF93" s="132">
        <v>0.0</v>
      </c>
      <c r="CG93" s="132">
        <v>0.0</v>
      </c>
      <c r="CH93" s="132">
        <v>4.0</v>
      </c>
      <c r="CI93" s="132">
        <v>0.0</v>
      </c>
      <c r="CJ93" s="302"/>
      <c r="CK93" s="301"/>
      <c r="CL93" s="301"/>
      <c r="CM93" s="301"/>
      <c r="CN93" s="208" t="str">
        <f t="shared" si="11"/>
        <v>Nivel de actividad física bajo</v>
      </c>
      <c r="CO93" s="132">
        <v>21.0</v>
      </c>
      <c r="CP93" s="132">
        <v>120.0</v>
      </c>
      <c r="CQ93" s="223">
        <f>IF(CP93&gt;60,3,IF(CP93&gt;30,2,IF(CP93&gt;15,1,0)))</f>
        <v>3</v>
      </c>
      <c r="CR93" s="132">
        <v>8.0</v>
      </c>
      <c r="CS93" s="132">
        <v>0.0</v>
      </c>
      <c r="CT93" s="132">
        <v>11.0</v>
      </c>
      <c r="CU93" s="132">
        <v>5.0</v>
      </c>
      <c r="CV93" s="132">
        <v>3.0</v>
      </c>
      <c r="CW93" s="132">
        <v>3.0</v>
      </c>
      <c r="CX93" s="132">
        <v>3.0</v>
      </c>
      <c r="CY93" s="132">
        <v>2.0</v>
      </c>
      <c r="CZ93" s="132">
        <v>2.0</v>
      </c>
      <c r="DA93" s="132">
        <v>2.0</v>
      </c>
      <c r="DB93" s="132">
        <v>3.0</v>
      </c>
      <c r="DC93" s="132">
        <v>0.0</v>
      </c>
      <c r="DD93" s="132">
        <v>3.0</v>
      </c>
      <c r="DE93" s="132">
        <v>0.0</v>
      </c>
      <c r="DF93" s="132"/>
      <c r="DG93" s="303">
        <f t="shared" si="39"/>
        <v>18</v>
      </c>
      <c r="DH93" s="132">
        <v>2.0</v>
      </c>
      <c r="DI93" s="132">
        <v>0.0</v>
      </c>
      <c r="DJ93" s="132">
        <v>0.0</v>
      </c>
      <c r="DK93" s="132">
        <v>3.0</v>
      </c>
      <c r="DL93" s="302"/>
      <c r="DM93" s="302"/>
      <c r="DN93" s="302"/>
      <c r="DO93" s="302"/>
      <c r="DP93" s="302"/>
      <c r="DQ93" s="302"/>
      <c r="DR93" s="302"/>
      <c r="DS93" s="302"/>
      <c r="DT93" s="304"/>
      <c r="DU93" s="304"/>
      <c r="DV93" s="305"/>
      <c r="DW93" s="321" t="s">
        <v>572</v>
      </c>
      <c r="DX93" s="321" t="s">
        <v>146</v>
      </c>
      <c r="DY93" s="321">
        <v>2.0</v>
      </c>
      <c r="DZ93" s="321" t="s">
        <v>131</v>
      </c>
      <c r="EA93" s="321" t="s">
        <v>202</v>
      </c>
      <c r="EB93" s="305"/>
      <c r="EC93" s="321" t="s">
        <v>172</v>
      </c>
      <c r="ED93" s="321"/>
      <c r="EE93" s="321" t="s">
        <v>132</v>
      </c>
      <c r="EF93" s="321" t="s">
        <v>140</v>
      </c>
      <c r="EG93" s="370">
        <f t="shared" si="134"/>
        <v>1187</v>
      </c>
      <c r="EH93" s="370">
        <f t="shared" si="124"/>
        <v>1034</v>
      </c>
      <c r="EI93" s="119">
        <f t="shared" si="153"/>
        <v>40.00914495</v>
      </c>
    </row>
    <row r="94" ht="15.75" customHeight="1">
      <c r="A94" s="279" t="s">
        <v>573</v>
      </c>
      <c r="B94" s="423" t="s">
        <v>129</v>
      </c>
      <c r="C94" s="281">
        <v>45535.0</v>
      </c>
      <c r="D94" s="423">
        <v>59.0</v>
      </c>
      <c r="E94" s="422" t="s">
        <v>153</v>
      </c>
      <c r="F94" s="423">
        <v>168.0</v>
      </c>
      <c r="G94" s="423">
        <v>70.0</v>
      </c>
      <c r="H94" s="429" t="s">
        <v>131</v>
      </c>
      <c r="I94" s="423">
        <v>3.0</v>
      </c>
      <c r="J94" s="311"/>
      <c r="K94" s="422" t="s">
        <v>132</v>
      </c>
      <c r="L94" s="311"/>
      <c r="M94" s="311"/>
      <c r="N94" s="279"/>
      <c r="O94" s="311"/>
      <c r="P94" s="422"/>
      <c r="Q94" s="311"/>
      <c r="R94" s="311"/>
      <c r="S94" s="311"/>
      <c r="T94" s="311"/>
      <c r="U94" s="279"/>
      <c r="V94" s="285" t="str">
        <f t="shared" si="97"/>
        <v>No infectado</v>
      </c>
      <c r="W94" s="422"/>
      <c r="X94" s="422"/>
      <c r="Y94" s="311"/>
      <c r="Z94" s="311"/>
      <c r="AA94" s="311"/>
      <c r="AB94" s="311"/>
      <c r="AC94" s="311"/>
      <c r="AD94" s="311"/>
      <c r="AE94" s="311"/>
      <c r="AF94" s="311"/>
      <c r="AG94" s="311"/>
      <c r="AH94" s="311"/>
      <c r="AI94" s="311"/>
      <c r="AJ94" s="311"/>
      <c r="AK94" s="311"/>
      <c r="AL94" s="422" t="s">
        <v>132</v>
      </c>
      <c r="AM94" s="422" t="s">
        <v>132</v>
      </c>
      <c r="AN94" s="422" t="s">
        <v>132</v>
      </c>
      <c r="AO94" s="422" t="s">
        <v>132</v>
      </c>
      <c r="AP94" s="422" t="s">
        <v>132</v>
      </c>
      <c r="AQ94" s="422" t="s">
        <v>132</v>
      </c>
      <c r="AR94" s="422" t="s">
        <v>132</v>
      </c>
      <c r="AS94" s="422" t="s">
        <v>132</v>
      </c>
      <c r="AT94" s="422" t="s">
        <v>132</v>
      </c>
      <c r="AU94" s="422" t="s">
        <v>132</v>
      </c>
      <c r="AV94" s="422" t="s">
        <v>131</v>
      </c>
      <c r="AW94" s="422" t="s">
        <v>766</v>
      </c>
      <c r="AX94" s="422" t="s">
        <v>131</v>
      </c>
      <c r="AY94" s="422">
        <v>20.0</v>
      </c>
      <c r="AZ94" s="422">
        <v>20.0</v>
      </c>
      <c r="BA94" s="279"/>
      <c r="BB94" s="422" t="s">
        <v>135</v>
      </c>
      <c r="BC94" s="430">
        <v>3.0</v>
      </c>
      <c r="BD94" s="429">
        <v>2.0</v>
      </c>
      <c r="BE94" s="422">
        <v>1.0</v>
      </c>
      <c r="BF94" s="422">
        <v>5.0</v>
      </c>
      <c r="BG94" s="422">
        <v>2.0</v>
      </c>
      <c r="BH94" s="422">
        <v>3.0</v>
      </c>
      <c r="BI94" s="287" t="str">
        <f t="shared" si="3"/>
        <v>21523</v>
      </c>
      <c r="BJ94" s="422">
        <v>80.0</v>
      </c>
      <c r="BK94" s="422">
        <v>1.0</v>
      </c>
      <c r="BL94" s="422">
        <v>1.0</v>
      </c>
      <c r="BM94" s="422">
        <v>1.0</v>
      </c>
      <c r="BN94" s="422">
        <v>5.0</v>
      </c>
      <c r="BO94" s="422">
        <v>1.0</v>
      </c>
      <c r="BP94" s="422">
        <v>1.0</v>
      </c>
      <c r="BQ94" s="422">
        <v>1.0</v>
      </c>
      <c r="BR94" s="422">
        <v>1.0</v>
      </c>
      <c r="BS94" s="422">
        <v>1.0</v>
      </c>
      <c r="BT94" s="422">
        <v>5.0</v>
      </c>
      <c r="BU94" s="288">
        <f t="shared" si="165"/>
        <v>1</v>
      </c>
      <c r="BV94" s="288">
        <f t="shared" si="166"/>
        <v>1</v>
      </c>
      <c r="BW94" s="288">
        <f t="shared" si="91"/>
        <v>14</v>
      </c>
      <c r="BX94" s="288" t="str">
        <f t="shared" si="167"/>
        <v>NO HAY FATIGA</v>
      </c>
      <c r="BY94" s="422">
        <v>0.0</v>
      </c>
      <c r="BZ94" s="422">
        <v>0.0</v>
      </c>
      <c r="CA94" s="422">
        <v>0.0</v>
      </c>
      <c r="CB94" s="422">
        <v>0.0</v>
      </c>
      <c r="CC94" s="422">
        <v>0.0</v>
      </c>
      <c r="CD94" s="422">
        <v>0.0</v>
      </c>
      <c r="CE94" s="422">
        <v>0.0</v>
      </c>
      <c r="CF94" s="422">
        <v>0.0</v>
      </c>
      <c r="CG94" s="422">
        <v>0.0</v>
      </c>
      <c r="CH94" s="422" t="s">
        <v>767</v>
      </c>
      <c r="CI94" s="279"/>
      <c r="CJ94" s="288"/>
      <c r="CK94" s="287"/>
      <c r="CL94" s="287"/>
      <c r="CM94" s="287"/>
      <c r="CN94" s="289" t="str">
        <f t="shared" si="11"/>
        <v>Nivel de actividad física bajo</v>
      </c>
      <c r="CO94" s="422">
        <v>2.0</v>
      </c>
      <c r="CP94" s="422">
        <v>15.0</v>
      </c>
      <c r="CQ94" s="290"/>
      <c r="CR94" s="422">
        <v>8.0</v>
      </c>
      <c r="CS94" s="422">
        <v>30.0</v>
      </c>
      <c r="CT94" s="422">
        <v>6.5</v>
      </c>
      <c r="CU94" s="422">
        <v>5.0</v>
      </c>
      <c r="CV94" s="422">
        <v>0.0</v>
      </c>
      <c r="CW94" s="422">
        <v>2.0</v>
      </c>
      <c r="CX94" s="422">
        <v>3.0</v>
      </c>
      <c r="CY94" s="422">
        <v>0.0</v>
      </c>
      <c r="CZ94" s="422">
        <v>0.0</v>
      </c>
      <c r="DA94" s="422">
        <v>0.0</v>
      </c>
      <c r="DB94" s="422">
        <v>0.0</v>
      </c>
      <c r="DC94" s="422">
        <v>2.0</v>
      </c>
      <c r="DD94" s="422">
        <v>0.0</v>
      </c>
      <c r="DE94" s="422">
        <v>3.0</v>
      </c>
      <c r="DF94" s="422" t="s">
        <v>575</v>
      </c>
      <c r="DG94" s="312">
        <f t="shared" si="39"/>
        <v>10</v>
      </c>
      <c r="DH94" s="422">
        <v>1.0</v>
      </c>
      <c r="DI94" s="422">
        <v>0.0</v>
      </c>
      <c r="DJ94" s="422">
        <v>2.0</v>
      </c>
      <c r="DK94" s="422">
        <v>0.0</v>
      </c>
      <c r="DL94" s="288"/>
      <c r="DM94" s="288"/>
      <c r="DN94" s="288"/>
      <c r="DO94" s="288"/>
      <c r="DP94" s="288"/>
      <c r="DQ94" s="288"/>
      <c r="DR94" s="288"/>
      <c r="DS94" s="288"/>
      <c r="DT94" s="291"/>
      <c r="DU94" s="291"/>
      <c r="DV94" s="431">
        <v>1.0</v>
      </c>
      <c r="DW94" s="431" t="s">
        <v>572</v>
      </c>
      <c r="DX94" s="431" t="s">
        <v>146</v>
      </c>
      <c r="DY94" s="431">
        <v>1.0</v>
      </c>
      <c r="DZ94" s="431" t="s">
        <v>131</v>
      </c>
      <c r="EA94" s="431" t="s">
        <v>150</v>
      </c>
      <c r="EB94" s="292"/>
      <c r="EC94" s="431" t="s">
        <v>287</v>
      </c>
      <c r="ED94" s="431" t="s">
        <v>131</v>
      </c>
      <c r="EE94" s="431" t="s">
        <v>132</v>
      </c>
      <c r="EF94" s="431" t="s">
        <v>203</v>
      </c>
      <c r="EG94" s="432">
        <f t="shared" si="134"/>
        <v>45535</v>
      </c>
      <c r="EH94" s="432">
        <f t="shared" si="124"/>
        <v>45535</v>
      </c>
      <c r="EI94" s="383">
        <f t="shared" si="153"/>
        <v>24.8015873</v>
      </c>
    </row>
    <row r="95" ht="15.75" customHeight="1">
      <c r="A95" s="130" t="s">
        <v>576</v>
      </c>
      <c r="B95" s="134" t="s">
        <v>175</v>
      </c>
      <c r="C95" s="296">
        <v>45535.0</v>
      </c>
      <c r="D95" s="134">
        <v>61.0</v>
      </c>
      <c r="E95" s="132" t="s">
        <v>130</v>
      </c>
      <c r="F95" s="134">
        <v>160.0</v>
      </c>
      <c r="G95" s="134">
        <v>52.0</v>
      </c>
      <c r="H95" s="318" t="s">
        <v>131</v>
      </c>
      <c r="I95" s="134">
        <v>4.0</v>
      </c>
      <c r="K95" s="132" t="s">
        <v>131</v>
      </c>
      <c r="L95" s="134">
        <v>3.0</v>
      </c>
      <c r="M95" s="351">
        <v>43952.0</v>
      </c>
      <c r="N95" s="132">
        <v>0.0</v>
      </c>
      <c r="O95" s="351">
        <v>44440.0</v>
      </c>
      <c r="P95" s="132" t="s">
        <v>132</v>
      </c>
      <c r="S95" s="327"/>
      <c r="U95" s="130"/>
      <c r="V95" s="121" t="str">
        <f t="shared" si="97"/>
        <v>Paciente ambulatorio</v>
      </c>
      <c r="W95" s="132" t="s">
        <v>183</v>
      </c>
      <c r="X95" s="132" t="s">
        <v>132</v>
      </c>
      <c r="Y95" s="134">
        <v>2.0</v>
      </c>
      <c r="Z95" s="134">
        <v>1.0</v>
      </c>
      <c r="AA95" s="134">
        <v>1.0</v>
      </c>
      <c r="AB95" s="134">
        <v>2.0</v>
      </c>
      <c r="AC95" s="134">
        <v>2.0</v>
      </c>
      <c r="AD95" s="134">
        <v>1.0</v>
      </c>
      <c r="AE95" s="134">
        <v>1.0</v>
      </c>
      <c r="AF95" s="134">
        <v>3.0</v>
      </c>
      <c r="AG95" s="134">
        <v>1.0</v>
      </c>
      <c r="AH95" s="134">
        <v>1.0</v>
      </c>
      <c r="AI95" s="134">
        <v>3.0</v>
      </c>
      <c r="AJ95" s="134">
        <v>3.0</v>
      </c>
      <c r="AK95" s="134" t="s">
        <v>577</v>
      </c>
      <c r="AL95" s="132" t="s">
        <v>132</v>
      </c>
      <c r="AM95" s="132" t="s">
        <v>132</v>
      </c>
      <c r="AN95" s="132" t="s">
        <v>132</v>
      </c>
      <c r="AO95" s="132" t="s">
        <v>132</v>
      </c>
      <c r="AP95" s="132" t="s">
        <v>132</v>
      </c>
      <c r="AQ95" s="132" t="s">
        <v>132</v>
      </c>
      <c r="AR95" s="132" t="s">
        <v>132</v>
      </c>
      <c r="AS95" s="132" t="s">
        <v>132</v>
      </c>
      <c r="AT95" s="132" t="s">
        <v>132</v>
      </c>
      <c r="AU95" s="132" t="s">
        <v>132</v>
      </c>
      <c r="AV95" s="132" t="s">
        <v>131</v>
      </c>
      <c r="AW95" s="132" t="s">
        <v>578</v>
      </c>
      <c r="AX95" s="132" t="s">
        <v>131</v>
      </c>
      <c r="AY95" s="132">
        <v>3.0</v>
      </c>
      <c r="AZ95" s="132">
        <v>5.0</v>
      </c>
      <c r="BA95" s="130"/>
      <c r="BB95" s="132" t="s">
        <v>135</v>
      </c>
      <c r="BC95" s="317">
        <v>1.0</v>
      </c>
      <c r="BD95" s="318">
        <v>1.0</v>
      </c>
      <c r="BE95" s="132">
        <v>1.0</v>
      </c>
      <c r="BF95" s="132">
        <v>1.0</v>
      </c>
      <c r="BG95" s="132">
        <v>3.0</v>
      </c>
      <c r="BH95" s="132">
        <v>4.0</v>
      </c>
      <c r="BI95" s="301" t="str">
        <f t="shared" si="3"/>
        <v>11134</v>
      </c>
      <c r="BJ95" s="132">
        <v>80.0</v>
      </c>
      <c r="BK95" s="132">
        <v>3.0</v>
      </c>
      <c r="BL95" s="132">
        <v>2.0</v>
      </c>
      <c r="BM95" s="132">
        <v>1.0</v>
      </c>
      <c r="BN95" s="132">
        <v>4.0</v>
      </c>
      <c r="BO95" s="132">
        <v>2.0</v>
      </c>
      <c r="BP95" s="132">
        <v>1.0</v>
      </c>
      <c r="BQ95" s="132">
        <v>1.0</v>
      </c>
      <c r="BR95" s="132">
        <v>2.0</v>
      </c>
      <c r="BS95" s="132">
        <v>2.0</v>
      </c>
      <c r="BT95" s="132">
        <v>3.0</v>
      </c>
      <c r="BU95" s="302">
        <f t="shared" si="165"/>
        <v>2</v>
      </c>
      <c r="BV95" s="302">
        <f t="shared" si="166"/>
        <v>3</v>
      </c>
      <c r="BW95" s="302">
        <f t="shared" si="91"/>
        <v>20</v>
      </c>
      <c r="BX95" s="302" t="str">
        <f t="shared" si="167"/>
        <v>NO HAY FATIGA</v>
      </c>
      <c r="BY95" s="132">
        <v>0.0</v>
      </c>
      <c r="BZ95" s="132">
        <v>0.0</v>
      </c>
      <c r="CA95" s="132">
        <v>0.0</v>
      </c>
      <c r="CB95" s="132">
        <v>0.0</v>
      </c>
      <c r="CC95" s="132">
        <v>0.0</v>
      </c>
      <c r="CD95" s="132">
        <v>0.0</v>
      </c>
      <c r="CE95" s="132">
        <v>7.0</v>
      </c>
      <c r="CF95" s="132">
        <v>0.0</v>
      </c>
      <c r="CG95" s="132">
        <v>40.0</v>
      </c>
      <c r="CH95" s="132">
        <v>1.0</v>
      </c>
      <c r="CI95" s="132">
        <v>0.0</v>
      </c>
      <c r="CJ95" s="302"/>
      <c r="CK95" s="301"/>
      <c r="CL95" s="301"/>
      <c r="CM95" s="301"/>
      <c r="CN95" s="208" t="str">
        <f t="shared" si="11"/>
        <v>Nivel de actividad física bajo</v>
      </c>
      <c r="CO95" s="132">
        <v>1.0</v>
      </c>
      <c r="CP95" s="132">
        <v>90.0</v>
      </c>
      <c r="CQ95" s="223"/>
      <c r="CR95" s="132">
        <v>8.0</v>
      </c>
      <c r="CS95" s="132">
        <v>30.0</v>
      </c>
      <c r="CT95" s="132">
        <v>7.5</v>
      </c>
      <c r="CU95" s="132">
        <v>5.5</v>
      </c>
      <c r="CV95" s="132">
        <v>3.0</v>
      </c>
      <c r="CW95" s="132">
        <v>3.0</v>
      </c>
      <c r="CX95" s="132">
        <v>0.0</v>
      </c>
      <c r="CY95" s="132">
        <v>0.0</v>
      </c>
      <c r="CZ95" s="132">
        <v>0.0</v>
      </c>
      <c r="DA95" s="132">
        <v>3.0</v>
      </c>
      <c r="DB95" s="132">
        <v>1.0</v>
      </c>
      <c r="DC95" s="132">
        <v>3.0</v>
      </c>
      <c r="DD95" s="132">
        <v>0.0</v>
      </c>
      <c r="DE95" s="132">
        <v>3.0</v>
      </c>
      <c r="DF95" s="132" t="s">
        <v>579</v>
      </c>
      <c r="DG95" s="303">
        <f t="shared" si="39"/>
        <v>13</v>
      </c>
      <c r="DH95" s="132">
        <v>3.0</v>
      </c>
      <c r="DI95" s="132">
        <v>3.0</v>
      </c>
      <c r="DJ95" s="132">
        <v>1.0</v>
      </c>
      <c r="DK95" s="132">
        <v>0.0</v>
      </c>
      <c r="DL95" s="302"/>
      <c r="DM95" s="302"/>
      <c r="DN95" s="302"/>
      <c r="DO95" s="302"/>
      <c r="DP95" s="302"/>
      <c r="DQ95" s="302"/>
      <c r="DR95" s="302"/>
      <c r="DS95" s="302"/>
      <c r="DT95" s="304"/>
      <c r="DU95" s="304"/>
      <c r="DV95" s="321">
        <v>4.0</v>
      </c>
      <c r="DW95" s="321" t="s">
        <v>566</v>
      </c>
      <c r="DX95" s="321" t="s">
        <v>207</v>
      </c>
      <c r="DY95" s="321" t="s">
        <v>156</v>
      </c>
      <c r="DZ95" s="321" t="s">
        <v>131</v>
      </c>
      <c r="EA95" s="321" t="s">
        <v>178</v>
      </c>
      <c r="EB95" s="305"/>
      <c r="EC95" s="321" t="s">
        <v>219</v>
      </c>
      <c r="ED95" s="321" t="s">
        <v>131</v>
      </c>
      <c r="EE95" s="321" t="s">
        <v>132</v>
      </c>
      <c r="EF95" s="321" t="s">
        <v>141</v>
      </c>
      <c r="EG95" s="370">
        <f t="shared" si="134"/>
        <v>1583</v>
      </c>
      <c r="EH95" s="370">
        <f t="shared" si="124"/>
        <v>1095</v>
      </c>
      <c r="EI95" s="119">
        <f t="shared" si="153"/>
        <v>20.3125</v>
      </c>
    </row>
    <row r="96" ht="15.75" customHeight="1">
      <c r="A96" s="130" t="s">
        <v>580</v>
      </c>
      <c r="B96" s="134" t="s">
        <v>175</v>
      </c>
      <c r="C96" s="296">
        <v>45542.0</v>
      </c>
      <c r="D96" s="134">
        <v>51.0</v>
      </c>
      <c r="E96" s="132" t="s">
        <v>130</v>
      </c>
      <c r="F96" s="134">
        <v>165.0</v>
      </c>
      <c r="G96" s="134">
        <v>72.0</v>
      </c>
      <c r="H96" s="318" t="s">
        <v>131</v>
      </c>
      <c r="I96" s="134">
        <v>3.0</v>
      </c>
      <c r="J96" s="349">
        <v>44650.0</v>
      </c>
      <c r="K96" s="132" t="s">
        <v>131</v>
      </c>
      <c r="L96" s="134">
        <v>1.0</v>
      </c>
      <c r="M96" s="349">
        <v>44581.0</v>
      </c>
      <c r="N96" s="132">
        <v>2.0</v>
      </c>
      <c r="P96" s="132" t="s">
        <v>132</v>
      </c>
      <c r="S96" s="327"/>
      <c r="U96" s="130"/>
      <c r="V96" s="121" t="str">
        <f t="shared" si="97"/>
        <v>Paciente ambulatorio</v>
      </c>
      <c r="W96" s="132" t="s">
        <v>183</v>
      </c>
      <c r="X96" s="132" t="s">
        <v>132</v>
      </c>
      <c r="Y96" s="134">
        <v>3.0</v>
      </c>
      <c r="Z96" s="134">
        <v>2.0</v>
      </c>
      <c r="AA96" s="134">
        <v>3.0</v>
      </c>
      <c r="AB96" s="134">
        <v>3.0</v>
      </c>
      <c r="AC96" s="134">
        <v>1.0</v>
      </c>
      <c r="AD96" s="134">
        <v>2.0</v>
      </c>
      <c r="AE96" s="134">
        <v>2.0</v>
      </c>
      <c r="AF96" s="134">
        <v>1.0</v>
      </c>
      <c r="AG96" s="134">
        <v>1.0</v>
      </c>
      <c r="AH96" s="134">
        <v>2.0</v>
      </c>
      <c r="AI96" s="134">
        <v>1.0</v>
      </c>
      <c r="AJ96" s="134">
        <v>1.0</v>
      </c>
      <c r="AL96" s="132" t="s">
        <v>132</v>
      </c>
      <c r="AM96" s="132" t="s">
        <v>132</v>
      </c>
      <c r="AN96" s="132" t="s">
        <v>132</v>
      </c>
      <c r="AO96" s="132" t="s">
        <v>132</v>
      </c>
      <c r="AP96" s="132" t="s">
        <v>132</v>
      </c>
      <c r="AQ96" s="132" t="s">
        <v>132</v>
      </c>
      <c r="AR96" s="132" t="s">
        <v>132</v>
      </c>
      <c r="AS96" s="132" t="s">
        <v>132</v>
      </c>
      <c r="AT96" s="132" t="s">
        <v>132</v>
      </c>
      <c r="AU96" s="132" t="s">
        <v>132</v>
      </c>
      <c r="AV96" s="132" t="s">
        <v>132</v>
      </c>
      <c r="AW96" s="130"/>
      <c r="AX96" s="132" t="s">
        <v>132</v>
      </c>
      <c r="AY96" s="130"/>
      <c r="AZ96" s="130"/>
      <c r="BA96" s="130"/>
      <c r="BB96" s="132" t="s">
        <v>145</v>
      </c>
      <c r="BC96" s="297"/>
      <c r="BD96" s="318">
        <v>1.0</v>
      </c>
      <c r="BE96" s="132">
        <v>1.0</v>
      </c>
      <c r="BF96" s="132">
        <v>1.0</v>
      </c>
      <c r="BG96" s="132">
        <v>1.0</v>
      </c>
      <c r="BH96" s="132">
        <v>2.0</v>
      </c>
      <c r="BI96" s="301" t="str">
        <f t="shared" si="3"/>
        <v>11112</v>
      </c>
      <c r="BJ96" s="132">
        <v>80.0</v>
      </c>
      <c r="BK96" s="132">
        <v>2.0</v>
      </c>
      <c r="BL96" s="132">
        <v>3.0</v>
      </c>
      <c r="BM96" s="132">
        <v>1.0</v>
      </c>
      <c r="BN96" s="132">
        <v>2.0</v>
      </c>
      <c r="BO96" s="132">
        <v>2.0</v>
      </c>
      <c r="BP96" s="132">
        <v>2.0</v>
      </c>
      <c r="BQ96" s="132">
        <v>3.0</v>
      </c>
      <c r="BR96" s="132">
        <v>1.0</v>
      </c>
      <c r="BS96" s="132">
        <v>2.0</v>
      </c>
      <c r="BT96" s="132">
        <v>2.0</v>
      </c>
      <c r="BU96" s="302">
        <f t="shared" si="165"/>
        <v>4</v>
      </c>
      <c r="BV96" s="302">
        <f t="shared" si="166"/>
        <v>4</v>
      </c>
      <c r="BW96" s="302">
        <f t="shared" si="91"/>
        <v>22</v>
      </c>
      <c r="BX96" s="302" t="str">
        <f t="shared" si="167"/>
        <v>FATIGA</v>
      </c>
      <c r="BY96" s="132">
        <v>2.0</v>
      </c>
      <c r="BZ96" s="132">
        <v>2.0</v>
      </c>
      <c r="CA96" s="132">
        <v>0.0</v>
      </c>
      <c r="CB96" s="132">
        <v>5.0</v>
      </c>
      <c r="CC96" s="132">
        <v>3.0</v>
      </c>
      <c r="CD96" s="132">
        <v>0.0</v>
      </c>
      <c r="CE96" s="132">
        <v>5.0</v>
      </c>
      <c r="CF96" s="132">
        <v>1.0</v>
      </c>
      <c r="CG96" s="132">
        <v>0.0</v>
      </c>
      <c r="CH96" s="132">
        <v>1.0</v>
      </c>
      <c r="CI96" s="132">
        <v>0.0</v>
      </c>
      <c r="CJ96" s="302"/>
      <c r="CK96" s="301"/>
      <c r="CL96" s="301"/>
      <c r="CM96" s="301"/>
      <c r="CN96" s="208" t="str">
        <f t="shared" si="11"/>
        <v>Nivel de actividad física bajo</v>
      </c>
      <c r="CO96" s="132">
        <v>22.0</v>
      </c>
      <c r="CP96" s="132">
        <v>5.0</v>
      </c>
      <c r="CQ96" s="223"/>
      <c r="CR96" s="132">
        <v>4.0</v>
      </c>
      <c r="CS96" s="132">
        <v>0.0</v>
      </c>
      <c r="CT96" s="132">
        <v>6.0</v>
      </c>
      <c r="CU96" s="132">
        <v>4.0</v>
      </c>
      <c r="CV96" s="132">
        <v>0.0</v>
      </c>
      <c r="CW96" s="132">
        <v>1.0</v>
      </c>
      <c r="CX96" s="132">
        <v>1.0</v>
      </c>
      <c r="CY96" s="132">
        <v>0.0</v>
      </c>
      <c r="CZ96" s="132">
        <v>1.0</v>
      </c>
      <c r="DA96" s="132">
        <v>0.0</v>
      </c>
      <c r="DB96" s="132">
        <v>0.0</v>
      </c>
      <c r="DC96" s="132">
        <v>0.0</v>
      </c>
      <c r="DD96" s="132">
        <v>0.0</v>
      </c>
      <c r="DE96" s="132">
        <v>0.0</v>
      </c>
      <c r="DF96" s="132"/>
      <c r="DG96" s="303">
        <f t="shared" si="39"/>
        <v>3</v>
      </c>
      <c r="DH96" s="132">
        <v>1.0</v>
      </c>
      <c r="DI96" s="132">
        <v>0.0</v>
      </c>
      <c r="DJ96" s="132">
        <v>3.0</v>
      </c>
      <c r="DK96" s="132">
        <v>2.0</v>
      </c>
      <c r="DL96" s="302"/>
      <c r="DM96" s="302"/>
      <c r="DN96" s="302"/>
      <c r="DO96" s="302"/>
      <c r="DP96" s="302"/>
      <c r="DQ96" s="302"/>
      <c r="DR96" s="302"/>
      <c r="DS96" s="302"/>
      <c r="DT96" s="304"/>
      <c r="DU96" s="304"/>
      <c r="DV96" s="321">
        <v>2.0</v>
      </c>
      <c r="DW96" s="321" t="s">
        <v>581</v>
      </c>
      <c r="DX96" s="321" t="s">
        <v>146</v>
      </c>
      <c r="DY96" s="321">
        <v>2.0</v>
      </c>
      <c r="DZ96" s="321" t="s">
        <v>131</v>
      </c>
      <c r="EA96" s="321" t="s">
        <v>147</v>
      </c>
      <c r="EB96" s="305"/>
      <c r="EC96" s="321" t="s">
        <v>139</v>
      </c>
      <c r="ED96" s="305"/>
      <c r="EE96" s="321" t="s">
        <v>132</v>
      </c>
      <c r="EF96" s="321" t="s">
        <v>141</v>
      </c>
      <c r="EG96" s="370">
        <f t="shared" si="134"/>
        <v>961</v>
      </c>
      <c r="EH96" s="433">
        <f t="shared" si="124"/>
        <v>45542</v>
      </c>
      <c r="EI96" s="119">
        <f t="shared" si="153"/>
        <v>26.44628099</v>
      </c>
    </row>
    <row r="97" ht="15.75" customHeight="1">
      <c r="A97" s="130" t="s">
        <v>582</v>
      </c>
      <c r="B97" s="134" t="s">
        <v>175</v>
      </c>
      <c r="C97" s="296">
        <v>45542.0</v>
      </c>
      <c r="D97" s="134">
        <v>51.0</v>
      </c>
      <c r="E97" s="132" t="s">
        <v>130</v>
      </c>
      <c r="F97" s="134">
        <v>165.0</v>
      </c>
      <c r="G97" s="134">
        <v>72.0</v>
      </c>
      <c r="H97" s="318" t="s">
        <v>131</v>
      </c>
      <c r="I97" s="134">
        <v>3.0</v>
      </c>
      <c r="J97" s="349">
        <v>44650.0</v>
      </c>
      <c r="K97" s="132" t="s">
        <v>131</v>
      </c>
      <c r="L97" s="134">
        <v>1.0</v>
      </c>
      <c r="M97" s="349">
        <v>44581.0</v>
      </c>
      <c r="N97" s="132">
        <v>2.0</v>
      </c>
      <c r="P97" s="132" t="s">
        <v>132</v>
      </c>
      <c r="S97" s="327"/>
      <c r="U97" s="130"/>
      <c r="V97" s="121" t="str">
        <f t="shared" si="97"/>
        <v>Paciente ambulatorio</v>
      </c>
      <c r="W97" s="132" t="s">
        <v>183</v>
      </c>
      <c r="X97" s="132" t="s">
        <v>132</v>
      </c>
      <c r="Y97" s="134">
        <v>3.0</v>
      </c>
      <c r="Z97" s="134">
        <v>2.0</v>
      </c>
      <c r="AA97" s="134">
        <v>3.0</v>
      </c>
      <c r="AB97" s="134">
        <v>3.0</v>
      </c>
      <c r="AC97" s="134">
        <v>1.0</v>
      </c>
      <c r="AD97" s="134">
        <v>2.0</v>
      </c>
      <c r="AE97" s="134">
        <v>2.0</v>
      </c>
      <c r="AF97" s="134">
        <v>1.0</v>
      </c>
      <c r="AG97" s="134">
        <v>1.0</v>
      </c>
      <c r="AH97" s="134">
        <v>2.0</v>
      </c>
      <c r="AI97" s="134">
        <v>1.0</v>
      </c>
      <c r="AJ97" s="134">
        <v>1.0</v>
      </c>
      <c r="AL97" s="132" t="s">
        <v>132</v>
      </c>
      <c r="AM97" s="132" t="s">
        <v>132</v>
      </c>
      <c r="AN97" s="132" t="s">
        <v>132</v>
      </c>
      <c r="AO97" s="132" t="s">
        <v>132</v>
      </c>
      <c r="AP97" s="132" t="s">
        <v>132</v>
      </c>
      <c r="AQ97" s="132" t="s">
        <v>132</v>
      </c>
      <c r="AR97" s="132" t="s">
        <v>132</v>
      </c>
      <c r="AS97" s="132" t="s">
        <v>132</v>
      </c>
      <c r="AT97" s="132" t="s">
        <v>132</v>
      </c>
      <c r="AU97" s="132" t="s">
        <v>132</v>
      </c>
      <c r="AV97" s="132" t="s">
        <v>132</v>
      </c>
      <c r="AW97" s="130"/>
      <c r="AX97" s="132" t="s">
        <v>132</v>
      </c>
      <c r="AY97" s="130"/>
      <c r="AZ97" s="130"/>
      <c r="BA97" s="130"/>
      <c r="BB97" s="132" t="s">
        <v>145</v>
      </c>
      <c r="BC97" s="297"/>
      <c r="BD97" s="318">
        <v>1.0</v>
      </c>
      <c r="BE97" s="132">
        <v>1.0</v>
      </c>
      <c r="BF97" s="132">
        <v>1.0</v>
      </c>
      <c r="BG97" s="132">
        <v>1.0</v>
      </c>
      <c r="BH97" s="132">
        <v>2.0</v>
      </c>
      <c r="BI97" s="301" t="str">
        <f t="shared" si="3"/>
        <v>11112</v>
      </c>
      <c r="BJ97" s="132">
        <v>80.0</v>
      </c>
      <c r="BK97" s="132">
        <v>2.0</v>
      </c>
      <c r="BL97" s="132">
        <v>3.0</v>
      </c>
      <c r="BM97" s="132">
        <v>1.0</v>
      </c>
      <c r="BN97" s="132">
        <v>2.0</v>
      </c>
      <c r="BO97" s="132">
        <v>2.0</v>
      </c>
      <c r="BP97" s="132">
        <v>2.0</v>
      </c>
      <c r="BQ97" s="132">
        <v>3.0</v>
      </c>
      <c r="BR97" s="132">
        <v>1.0</v>
      </c>
      <c r="BS97" s="132">
        <v>2.0</v>
      </c>
      <c r="BT97" s="132">
        <v>2.0</v>
      </c>
      <c r="BU97" s="302">
        <f t="shared" si="165"/>
        <v>4</v>
      </c>
      <c r="BV97" s="302">
        <f t="shared" si="166"/>
        <v>4</v>
      </c>
      <c r="BW97" s="302">
        <f t="shared" si="91"/>
        <v>22</v>
      </c>
      <c r="BX97" s="302" t="str">
        <f t="shared" si="167"/>
        <v>FATIGA</v>
      </c>
      <c r="BY97" s="132">
        <v>2.0</v>
      </c>
      <c r="BZ97" s="132">
        <v>2.0</v>
      </c>
      <c r="CA97" s="132">
        <v>0.0</v>
      </c>
      <c r="CB97" s="132">
        <v>5.0</v>
      </c>
      <c r="CC97" s="132">
        <v>3.0</v>
      </c>
      <c r="CD97" s="132">
        <v>0.0</v>
      </c>
      <c r="CE97" s="132">
        <v>5.0</v>
      </c>
      <c r="CF97" s="132">
        <v>1.0</v>
      </c>
      <c r="CG97" s="132">
        <v>0.0</v>
      </c>
      <c r="CH97" s="132">
        <v>1.0</v>
      </c>
      <c r="CI97" s="132">
        <v>0.0</v>
      </c>
      <c r="CJ97" s="302"/>
      <c r="CK97" s="301"/>
      <c r="CL97" s="301"/>
      <c r="CM97" s="301"/>
      <c r="CN97" s="208" t="str">
        <f t="shared" si="11"/>
        <v>Nivel de actividad física bajo</v>
      </c>
      <c r="CO97" s="132">
        <v>22.0</v>
      </c>
      <c r="CP97" s="132">
        <v>5.0</v>
      </c>
      <c r="CQ97" s="223"/>
      <c r="CR97" s="132">
        <v>4.0</v>
      </c>
      <c r="CS97" s="132">
        <v>0.0</v>
      </c>
      <c r="CT97" s="132">
        <v>6.0</v>
      </c>
      <c r="CU97" s="132">
        <v>4.0</v>
      </c>
      <c r="CV97" s="132">
        <v>0.0</v>
      </c>
      <c r="CW97" s="132">
        <v>1.0</v>
      </c>
      <c r="CX97" s="132">
        <v>1.0</v>
      </c>
      <c r="CY97" s="132">
        <v>0.0</v>
      </c>
      <c r="CZ97" s="132">
        <v>1.0</v>
      </c>
      <c r="DA97" s="132">
        <v>0.0</v>
      </c>
      <c r="DB97" s="132">
        <v>0.0</v>
      </c>
      <c r="DC97" s="132">
        <v>0.0</v>
      </c>
      <c r="DD97" s="132">
        <v>0.0</v>
      </c>
      <c r="DE97" s="132">
        <v>0.0</v>
      </c>
      <c r="DF97" s="132"/>
      <c r="DG97" s="303">
        <f t="shared" si="39"/>
        <v>3</v>
      </c>
      <c r="DH97" s="132">
        <v>1.0</v>
      </c>
      <c r="DI97" s="132">
        <v>0.0</v>
      </c>
      <c r="DJ97" s="132">
        <v>3.0</v>
      </c>
      <c r="DK97" s="132">
        <v>2.0</v>
      </c>
      <c r="DL97" s="302"/>
      <c r="DM97" s="302"/>
      <c r="DN97" s="302"/>
      <c r="DO97" s="302"/>
      <c r="DP97" s="302"/>
      <c r="DQ97" s="302"/>
      <c r="DR97" s="302"/>
      <c r="DS97" s="302"/>
      <c r="DT97" s="304"/>
      <c r="DU97" s="304"/>
      <c r="DV97" s="321">
        <v>2.0</v>
      </c>
      <c r="DW97" s="321" t="s">
        <v>581</v>
      </c>
      <c r="DX97" s="321" t="s">
        <v>146</v>
      </c>
      <c r="DY97" s="321">
        <v>2.0</v>
      </c>
      <c r="DZ97" s="321" t="s">
        <v>131</v>
      </c>
      <c r="EA97" s="321" t="s">
        <v>147</v>
      </c>
      <c r="EB97" s="305"/>
      <c r="EC97" s="321" t="s">
        <v>139</v>
      </c>
      <c r="ED97" s="305"/>
      <c r="EE97" s="321" t="s">
        <v>132</v>
      </c>
      <c r="EF97" s="321" t="s">
        <v>141</v>
      </c>
      <c r="EG97" s="370">
        <f t="shared" si="134"/>
        <v>961</v>
      </c>
      <c r="EH97" s="433">
        <f t="shared" si="124"/>
        <v>45542</v>
      </c>
      <c r="EI97" s="119">
        <f t="shared" si="153"/>
        <v>26.44628099</v>
      </c>
    </row>
    <row r="98" ht="15.75" customHeight="1">
      <c r="A98" s="130" t="s">
        <v>584</v>
      </c>
      <c r="B98" s="134" t="s">
        <v>175</v>
      </c>
      <c r="C98" s="296">
        <v>45535.0</v>
      </c>
      <c r="D98" s="134">
        <v>52.0</v>
      </c>
      <c r="E98" s="132" t="s">
        <v>130</v>
      </c>
      <c r="F98" s="134">
        <v>157.0</v>
      </c>
      <c r="G98" s="134">
        <v>100.0</v>
      </c>
      <c r="H98" s="318" t="s">
        <v>131</v>
      </c>
      <c r="I98" s="134">
        <v>7.0</v>
      </c>
      <c r="J98" s="351">
        <v>45505.0</v>
      </c>
      <c r="K98" s="132" t="s">
        <v>131</v>
      </c>
      <c r="L98" s="134">
        <v>1.0</v>
      </c>
      <c r="M98" s="351">
        <v>44228.0</v>
      </c>
      <c r="N98" s="130"/>
      <c r="P98" s="132" t="s">
        <v>132</v>
      </c>
      <c r="S98" s="327"/>
      <c r="U98" s="130"/>
      <c r="V98" s="121" t="str">
        <f t="shared" si="97"/>
        <v>Paciente ambulatorio</v>
      </c>
      <c r="W98" s="132" t="s">
        <v>176</v>
      </c>
      <c r="X98" s="132" t="s">
        <v>132</v>
      </c>
      <c r="Y98" s="134">
        <v>1.0</v>
      </c>
      <c r="Z98" s="134">
        <v>1.0</v>
      </c>
      <c r="AA98" s="134">
        <v>2.0</v>
      </c>
      <c r="AB98" s="134">
        <v>3.0</v>
      </c>
      <c r="AC98" s="134">
        <v>1.0</v>
      </c>
      <c r="AD98" s="134">
        <v>1.0</v>
      </c>
      <c r="AE98" s="134">
        <v>2.0</v>
      </c>
      <c r="AF98" s="134">
        <v>1.0</v>
      </c>
      <c r="AG98" s="134">
        <v>3.0</v>
      </c>
      <c r="AH98" s="134">
        <v>1.0</v>
      </c>
      <c r="AI98" s="134">
        <v>1.0</v>
      </c>
      <c r="AJ98" s="134">
        <v>1.0</v>
      </c>
      <c r="AK98" s="134" t="s">
        <v>585</v>
      </c>
      <c r="AL98" s="132" t="s">
        <v>131</v>
      </c>
      <c r="AM98" s="132" t="s">
        <v>132</v>
      </c>
      <c r="AN98" s="132" t="s">
        <v>132</v>
      </c>
      <c r="AO98" s="132" t="s">
        <v>132</v>
      </c>
      <c r="AP98" s="132" t="s">
        <v>132</v>
      </c>
      <c r="AQ98" s="132" t="s">
        <v>132</v>
      </c>
      <c r="AR98" s="132" t="s">
        <v>132</v>
      </c>
      <c r="AS98" s="132" t="s">
        <v>132</v>
      </c>
      <c r="AT98" s="132" t="s">
        <v>132</v>
      </c>
      <c r="AU98" s="132" t="s">
        <v>132</v>
      </c>
      <c r="AV98" s="132" t="s">
        <v>132</v>
      </c>
      <c r="AW98" s="130"/>
      <c r="AX98" s="132" t="s">
        <v>132</v>
      </c>
      <c r="AY98" s="132">
        <v>0.3</v>
      </c>
      <c r="AZ98" s="132">
        <v>1.0</v>
      </c>
      <c r="BA98" s="130"/>
      <c r="BB98" s="132" t="s">
        <v>135</v>
      </c>
      <c r="BC98" s="317">
        <v>1.0</v>
      </c>
      <c r="BD98" s="318">
        <v>2.0</v>
      </c>
      <c r="BE98" s="132">
        <v>1.0</v>
      </c>
      <c r="BF98" s="132">
        <v>1.0</v>
      </c>
      <c r="BG98" s="132">
        <v>2.0</v>
      </c>
      <c r="BH98" s="132">
        <v>2.0</v>
      </c>
      <c r="BI98" s="301" t="str">
        <f t="shared" si="3"/>
        <v>21122</v>
      </c>
      <c r="BJ98" s="132">
        <v>55.0</v>
      </c>
      <c r="BK98" s="132">
        <v>2.0</v>
      </c>
      <c r="BL98" s="132">
        <v>3.0</v>
      </c>
      <c r="BM98" s="132">
        <v>3.0</v>
      </c>
      <c r="BN98" s="132">
        <v>2.0</v>
      </c>
      <c r="BO98" s="132">
        <v>3.0</v>
      </c>
      <c r="BP98" s="132">
        <v>2.0</v>
      </c>
      <c r="BQ98" s="132">
        <v>2.0</v>
      </c>
      <c r="BR98" s="132">
        <v>2.0</v>
      </c>
      <c r="BS98" s="132">
        <v>3.0</v>
      </c>
      <c r="BT98" s="132">
        <v>3.0</v>
      </c>
      <c r="BU98" s="302">
        <f t="shared" si="165"/>
        <v>4</v>
      </c>
      <c r="BV98" s="302">
        <f t="shared" si="166"/>
        <v>3</v>
      </c>
      <c r="BW98" s="302">
        <f t="shared" si="91"/>
        <v>26</v>
      </c>
      <c r="BX98" s="302" t="str">
        <f t="shared" si="167"/>
        <v>FATIGA</v>
      </c>
      <c r="BY98" s="132">
        <v>0.0</v>
      </c>
      <c r="BZ98" s="132">
        <v>0.0</v>
      </c>
      <c r="CA98" s="132">
        <v>0.0</v>
      </c>
      <c r="CB98" s="132">
        <v>3.0</v>
      </c>
      <c r="CC98" s="132">
        <v>0.0</v>
      </c>
      <c r="CD98" s="132">
        <v>40.0</v>
      </c>
      <c r="CE98" s="132">
        <v>5.0</v>
      </c>
      <c r="CF98" s="132">
        <v>0.0</v>
      </c>
      <c r="CG98" s="132">
        <v>20.0</v>
      </c>
      <c r="CH98" s="132">
        <v>4.0</v>
      </c>
      <c r="CI98" s="132">
        <v>0.0</v>
      </c>
      <c r="CJ98" s="302"/>
      <c r="CK98" s="301"/>
      <c r="CL98" s="301"/>
      <c r="CM98" s="301"/>
      <c r="CN98" s="208" t="str">
        <f t="shared" si="11"/>
        <v>Nivel de actividad física bajo</v>
      </c>
      <c r="CO98" s="132">
        <v>2.0</v>
      </c>
      <c r="CP98" s="132">
        <v>5.0</v>
      </c>
      <c r="CQ98" s="223"/>
      <c r="CR98" s="132">
        <v>6.0</v>
      </c>
      <c r="CS98" s="132">
        <v>0.0</v>
      </c>
      <c r="CT98" s="132">
        <v>4.0</v>
      </c>
      <c r="CU98" s="132">
        <v>4.0</v>
      </c>
      <c r="CV98" s="132">
        <v>0.0</v>
      </c>
      <c r="CW98" s="132">
        <v>3.0</v>
      </c>
      <c r="CX98" s="132">
        <v>0.0</v>
      </c>
      <c r="CY98" s="132">
        <v>0.0</v>
      </c>
      <c r="CZ98" s="132">
        <v>3.0</v>
      </c>
      <c r="DA98" s="132">
        <v>0.0</v>
      </c>
      <c r="DB98" s="132">
        <v>2.0</v>
      </c>
      <c r="DC98" s="132">
        <v>0.0</v>
      </c>
      <c r="DD98" s="132">
        <v>1.0</v>
      </c>
      <c r="DE98" s="132">
        <v>3.0</v>
      </c>
      <c r="DF98" s="132" t="s">
        <v>586</v>
      </c>
      <c r="DG98" s="303">
        <f t="shared" si="39"/>
        <v>12</v>
      </c>
      <c r="DH98" s="132">
        <v>3.0</v>
      </c>
      <c r="DI98" s="132">
        <v>0.0</v>
      </c>
      <c r="DJ98" s="132">
        <v>3.0</v>
      </c>
      <c r="DK98" s="132">
        <v>2.0</v>
      </c>
      <c r="DL98" s="302"/>
      <c r="DM98" s="302"/>
      <c r="DN98" s="302"/>
      <c r="DO98" s="302"/>
      <c r="DP98" s="302"/>
      <c r="DQ98" s="302"/>
      <c r="DR98" s="302"/>
      <c r="DS98" s="302"/>
      <c r="DT98" s="304"/>
      <c r="DU98" s="304"/>
      <c r="DV98" s="321">
        <v>2.0</v>
      </c>
      <c r="DW98" s="321" t="s">
        <v>587</v>
      </c>
      <c r="DX98" s="321" t="s">
        <v>137</v>
      </c>
      <c r="DY98" s="321">
        <v>1.0</v>
      </c>
      <c r="DZ98" s="321" t="s">
        <v>131</v>
      </c>
      <c r="EA98" s="321" t="s">
        <v>167</v>
      </c>
      <c r="EB98" s="305"/>
      <c r="EC98" s="321" t="s">
        <v>139</v>
      </c>
      <c r="ED98" s="305"/>
      <c r="EE98" s="321" t="s">
        <v>131</v>
      </c>
      <c r="EF98" s="321" t="s">
        <v>141</v>
      </c>
      <c r="EG98" s="370">
        <f t="shared" si="134"/>
        <v>1307</v>
      </c>
      <c r="EH98" s="433">
        <f t="shared" si="124"/>
        <v>45535</v>
      </c>
      <c r="EI98" s="119">
        <f t="shared" si="153"/>
        <v>40.56959714</v>
      </c>
    </row>
    <row r="99" ht="15.75" customHeight="1">
      <c r="A99" s="130" t="s">
        <v>588</v>
      </c>
      <c r="B99" s="134" t="s">
        <v>175</v>
      </c>
      <c r="C99" s="296">
        <v>45542.0</v>
      </c>
      <c r="D99" s="134">
        <v>49.0</v>
      </c>
      <c r="E99" s="132" t="s">
        <v>130</v>
      </c>
      <c r="F99" s="134">
        <v>154.0</v>
      </c>
      <c r="G99" s="134">
        <v>73.0</v>
      </c>
      <c r="H99" s="318" t="s">
        <v>131</v>
      </c>
      <c r="I99" s="134">
        <v>4.0</v>
      </c>
      <c r="K99" s="132" t="s">
        <v>131</v>
      </c>
      <c r="L99" s="134">
        <v>1.0</v>
      </c>
      <c r="M99" s="351">
        <v>44256.0</v>
      </c>
      <c r="N99" s="132" t="s">
        <v>131</v>
      </c>
      <c r="P99" s="132" t="s">
        <v>132</v>
      </c>
      <c r="S99" s="327"/>
      <c r="U99" s="130"/>
      <c r="V99" s="121" t="str">
        <f t="shared" si="97"/>
        <v>Paciente ambulatorio</v>
      </c>
      <c r="W99" s="132"/>
      <c r="X99" s="132" t="s">
        <v>132</v>
      </c>
      <c r="Y99" s="134">
        <v>1.0</v>
      </c>
      <c r="Z99" s="134">
        <v>2.0</v>
      </c>
      <c r="AA99" s="134">
        <v>1.0</v>
      </c>
      <c r="AB99" s="134">
        <v>1.0</v>
      </c>
      <c r="AC99" s="134">
        <v>3.0</v>
      </c>
      <c r="AD99" s="134">
        <v>1.0</v>
      </c>
      <c r="AE99" s="134">
        <v>2.0</v>
      </c>
      <c r="AF99" s="134">
        <v>1.0</v>
      </c>
      <c r="AG99" s="134">
        <v>1.0</v>
      </c>
      <c r="AH99" s="134">
        <v>3.0</v>
      </c>
      <c r="AI99" s="134">
        <v>1.0</v>
      </c>
      <c r="AJ99" s="134">
        <v>1.0</v>
      </c>
      <c r="AK99" s="134" t="s">
        <v>589</v>
      </c>
      <c r="AL99" s="132" t="s">
        <v>132</v>
      </c>
      <c r="AM99" s="132" t="s">
        <v>132</v>
      </c>
      <c r="AN99" s="132" t="s">
        <v>131</v>
      </c>
      <c r="AO99" s="132" t="s">
        <v>132</v>
      </c>
      <c r="AP99" s="132" t="s">
        <v>132</v>
      </c>
      <c r="AQ99" s="132" t="s">
        <v>132</v>
      </c>
      <c r="AR99" s="132" t="s">
        <v>132</v>
      </c>
      <c r="AS99" s="132" t="s">
        <v>132</v>
      </c>
      <c r="AT99" s="132" t="s">
        <v>132</v>
      </c>
      <c r="AU99" s="132" t="s">
        <v>132</v>
      </c>
      <c r="AV99" s="132" t="s">
        <v>131</v>
      </c>
      <c r="AW99" s="132" t="s">
        <v>590</v>
      </c>
      <c r="AX99" s="132" t="s">
        <v>132</v>
      </c>
      <c r="AY99" s="130"/>
      <c r="AZ99" s="130"/>
      <c r="BA99" s="130"/>
      <c r="BB99" s="132" t="s">
        <v>145</v>
      </c>
      <c r="BC99" s="297"/>
      <c r="BD99" s="318">
        <v>1.0</v>
      </c>
      <c r="BE99" s="132">
        <v>1.0</v>
      </c>
      <c r="BF99" s="132">
        <v>1.0</v>
      </c>
      <c r="BG99" s="132">
        <v>2.0</v>
      </c>
      <c r="BH99" s="132">
        <v>4.0</v>
      </c>
      <c r="BI99" s="301" t="str">
        <f t="shared" si="3"/>
        <v>11124</v>
      </c>
      <c r="BJ99" s="132">
        <v>45.0</v>
      </c>
      <c r="BK99" s="132">
        <v>2.0</v>
      </c>
      <c r="BL99" s="132">
        <v>2.0</v>
      </c>
      <c r="BM99" s="132">
        <v>1.0</v>
      </c>
      <c r="BN99" s="132">
        <v>2.0</v>
      </c>
      <c r="BO99" s="132">
        <v>3.0</v>
      </c>
      <c r="BP99" s="132">
        <v>1.0</v>
      </c>
      <c r="BQ99" s="132">
        <v>3.0</v>
      </c>
      <c r="BR99" s="132">
        <v>2.0</v>
      </c>
      <c r="BS99" s="132">
        <v>3.0</v>
      </c>
      <c r="BT99" s="132">
        <v>2.0</v>
      </c>
      <c r="BU99" s="302">
        <f t="shared" si="165"/>
        <v>4</v>
      </c>
      <c r="BV99" s="302">
        <f t="shared" si="166"/>
        <v>4</v>
      </c>
      <c r="BW99" s="302">
        <f t="shared" si="91"/>
        <v>23</v>
      </c>
      <c r="BX99" s="302" t="str">
        <f t="shared" si="167"/>
        <v>FATIGA</v>
      </c>
      <c r="BY99" s="132">
        <v>3.0</v>
      </c>
      <c r="BZ99" s="132">
        <v>1.0</v>
      </c>
      <c r="CA99" s="132">
        <v>0.0</v>
      </c>
      <c r="CB99" s="132">
        <v>0.0</v>
      </c>
      <c r="CC99" s="132">
        <v>0.0</v>
      </c>
      <c r="CD99" s="132">
        <v>0.0</v>
      </c>
      <c r="CE99" s="132">
        <v>0.0</v>
      </c>
      <c r="CF99" s="132">
        <v>0.0</v>
      </c>
      <c r="CG99" s="132">
        <v>0.0</v>
      </c>
      <c r="CH99" s="132">
        <v>0.0</v>
      </c>
      <c r="CI99" s="132">
        <v>20.0</v>
      </c>
      <c r="CJ99" s="302"/>
      <c r="CK99" s="301"/>
      <c r="CL99" s="301"/>
      <c r="CM99" s="301"/>
      <c r="CN99" s="208" t="str">
        <f t="shared" si="11"/>
        <v>Nivel de actividad física bajo</v>
      </c>
      <c r="CO99" s="132">
        <v>22.0</v>
      </c>
      <c r="CP99" s="132">
        <v>120.0</v>
      </c>
      <c r="CQ99" s="223"/>
      <c r="CR99" s="132">
        <v>7.0</v>
      </c>
      <c r="CS99" s="132">
        <v>0.0</v>
      </c>
      <c r="CT99" s="132">
        <v>9.0</v>
      </c>
      <c r="CU99" s="132">
        <v>7.0</v>
      </c>
      <c r="CV99" s="132">
        <v>3.0</v>
      </c>
      <c r="CW99" s="132">
        <v>3.0</v>
      </c>
      <c r="CX99" s="132">
        <v>3.0</v>
      </c>
      <c r="CY99" s="132">
        <v>0.0</v>
      </c>
      <c r="CZ99" s="132">
        <v>0.0</v>
      </c>
      <c r="DA99" s="132">
        <v>0.0</v>
      </c>
      <c r="DB99" s="132">
        <v>0.0</v>
      </c>
      <c r="DC99" s="132">
        <v>0.0</v>
      </c>
      <c r="DD99" s="132">
        <v>0.0</v>
      </c>
      <c r="DE99" s="132">
        <v>0.0</v>
      </c>
      <c r="DF99" s="132"/>
      <c r="DG99" s="303">
        <f t="shared" si="39"/>
        <v>6</v>
      </c>
      <c r="DH99" s="132">
        <v>1.0</v>
      </c>
      <c r="DI99" s="132">
        <v>3.0</v>
      </c>
      <c r="DJ99" s="132">
        <v>2.0</v>
      </c>
      <c r="DK99" s="132">
        <v>0.0</v>
      </c>
      <c r="DL99" s="302"/>
      <c r="DM99" s="302"/>
      <c r="DN99" s="302"/>
      <c r="DO99" s="302"/>
      <c r="DP99" s="302"/>
      <c r="DQ99" s="302"/>
      <c r="DR99" s="302"/>
      <c r="DS99" s="302"/>
      <c r="DT99" s="304"/>
      <c r="DU99" s="304"/>
      <c r="DV99" s="321">
        <v>3.0</v>
      </c>
      <c r="DW99" s="321" t="s">
        <v>591</v>
      </c>
      <c r="DX99" s="321" t="s">
        <v>146</v>
      </c>
      <c r="DY99" s="321">
        <v>1.0</v>
      </c>
      <c r="DZ99" s="321" t="s">
        <v>131</v>
      </c>
      <c r="EA99" s="321" t="s">
        <v>334</v>
      </c>
      <c r="EB99" s="305"/>
      <c r="EC99" s="321" t="s">
        <v>139</v>
      </c>
      <c r="ED99" s="305"/>
      <c r="EE99" s="321" t="s">
        <v>131</v>
      </c>
      <c r="EF99" s="321" t="s">
        <v>466</v>
      </c>
      <c r="EG99" s="370">
        <f t="shared" si="134"/>
        <v>1286</v>
      </c>
      <c r="EH99" s="433">
        <f t="shared" si="124"/>
        <v>45542</v>
      </c>
      <c r="EI99" s="119">
        <f t="shared" si="153"/>
        <v>30.7809074</v>
      </c>
    </row>
    <row r="100" ht="15.75" customHeight="1">
      <c r="A100" s="279" t="s">
        <v>592</v>
      </c>
      <c r="B100" s="423" t="s">
        <v>129</v>
      </c>
      <c r="C100" s="281">
        <v>45535.0</v>
      </c>
      <c r="D100" s="423">
        <v>49.0</v>
      </c>
      <c r="E100" s="422" t="s">
        <v>153</v>
      </c>
      <c r="F100" s="423">
        <v>174.0</v>
      </c>
      <c r="G100" s="423">
        <v>77.0</v>
      </c>
      <c r="H100" s="429" t="s">
        <v>131</v>
      </c>
      <c r="I100" s="423">
        <v>3.0</v>
      </c>
      <c r="J100" s="311"/>
      <c r="K100" s="422" t="s">
        <v>131</v>
      </c>
      <c r="L100" s="423">
        <v>1.0</v>
      </c>
      <c r="M100" s="434">
        <v>44378.0</v>
      </c>
      <c r="N100" s="422" t="s">
        <v>131</v>
      </c>
      <c r="O100" s="311"/>
      <c r="P100" s="422" t="s">
        <v>132</v>
      </c>
      <c r="Q100" s="311"/>
      <c r="R100" s="311"/>
      <c r="S100" s="311"/>
      <c r="T100" s="311"/>
      <c r="U100" s="279"/>
      <c r="V100" s="285" t="str">
        <f t="shared" si="97"/>
        <v>Paciente ambulatorio</v>
      </c>
      <c r="W100" s="422" t="s">
        <v>143</v>
      </c>
      <c r="X100" s="422" t="s">
        <v>132</v>
      </c>
      <c r="Y100" s="423">
        <v>3.0</v>
      </c>
      <c r="Z100" s="423">
        <v>3.0</v>
      </c>
      <c r="AA100" s="423">
        <v>3.0</v>
      </c>
      <c r="AB100" s="423">
        <v>3.0</v>
      </c>
      <c r="AC100" s="423">
        <v>3.0</v>
      </c>
      <c r="AD100" s="423">
        <v>3.0</v>
      </c>
      <c r="AE100" s="423">
        <v>3.0</v>
      </c>
      <c r="AF100" s="423">
        <v>3.0</v>
      </c>
      <c r="AG100" s="423">
        <v>3.0</v>
      </c>
      <c r="AH100" s="423">
        <v>3.0</v>
      </c>
      <c r="AI100" s="423">
        <v>3.0</v>
      </c>
      <c r="AJ100" s="423">
        <v>3.0</v>
      </c>
      <c r="AK100" s="311"/>
      <c r="AL100" s="422" t="s">
        <v>131</v>
      </c>
      <c r="AM100" s="422" t="s">
        <v>132</v>
      </c>
      <c r="AN100" s="422" t="s">
        <v>132</v>
      </c>
      <c r="AO100" s="422" t="s">
        <v>132</v>
      </c>
      <c r="AP100" s="422" t="s">
        <v>132</v>
      </c>
      <c r="AQ100" s="422" t="s">
        <v>132</v>
      </c>
      <c r="AR100" s="422" t="s">
        <v>132</v>
      </c>
      <c r="AS100" s="422" t="s">
        <v>131</v>
      </c>
      <c r="AT100" s="422" t="s">
        <v>132</v>
      </c>
      <c r="AU100" s="422" t="s">
        <v>132</v>
      </c>
      <c r="AV100" s="422" t="s">
        <v>132</v>
      </c>
      <c r="AW100" s="279"/>
      <c r="AX100" s="422" t="s">
        <v>132</v>
      </c>
      <c r="AY100" s="279"/>
      <c r="AZ100" s="279"/>
      <c r="BA100" s="279"/>
      <c r="BB100" s="422" t="s">
        <v>145</v>
      </c>
      <c r="BC100" s="282"/>
      <c r="BD100" s="429">
        <v>1.0</v>
      </c>
      <c r="BE100" s="422">
        <v>1.0</v>
      </c>
      <c r="BF100" s="422">
        <v>1.0</v>
      </c>
      <c r="BG100" s="422">
        <v>1.0</v>
      </c>
      <c r="BH100" s="422">
        <v>1.0</v>
      </c>
      <c r="BI100" s="287" t="str">
        <f t="shared" si="3"/>
        <v>11111</v>
      </c>
      <c r="BJ100" s="422">
        <v>80.0</v>
      </c>
      <c r="BK100" s="422">
        <v>2.0</v>
      </c>
      <c r="BL100" s="422">
        <v>2.0</v>
      </c>
      <c r="BM100" s="422">
        <v>2.0</v>
      </c>
      <c r="BN100" s="422">
        <v>4.0</v>
      </c>
      <c r="BO100" s="422">
        <v>2.0</v>
      </c>
      <c r="BP100" s="422">
        <v>2.0</v>
      </c>
      <c r="BQ100" s="422">
        <v>1.0</v>
      </c>
      <c r="BR100" s="422">
        <v>2.0</v>
      </c>
      <c r="BS100" s="422">
        <v>2.0</v>
      </c>
      <c r="BT100" s="422">
        <v>5.0</v>
      </c>
      <c r="BU100" s="288">
        <f t="shared" si="165"/>
        <v>2</v>
      </c>
      <c r="BV100" s="288">
        <f t="shared" si="166"/>
        <v>1</v>
      </c>
      <c r="BW100" s="288">
        <f t="shared" si="91"/>
        <v>21</v>
      </c>
      <c r="BX100" s="288" t="str">
        <f t="shared" si="167"/>
        <v>NO HAY FATIGA</v>
      </c>
      <c r="BY100" s="422">
        <v>0.0</v>
      </c>
      <c r="BZ100" s="422">
        <v>0.0</v>
      </c>
      <c r="CA100" s="422">
        <v>0.0</v>
      </c>
      <c r="CB100" s="422">
        <v>0.0</v>
      </c>
      <c r="CC100" s="422">
        <v>0.0</v>
      </c>
      <c r="CD100" s="422">
        <v>0.0</v>
      </c>
      <c r="CE100" s="422">
        <v>4.0</v>
      </c>
      <c r="CF100" s="422">
        <v>0.0</v>
      </c>
      <c r="CG100" s="422">
        <v>25.0</v>
      </c>
      <c r="CH100" s="422">
        <v>5.0</v>
      </c>
      <c r="CI100" s="422">
        <v>0.0</v>
      </c>
      <c r="CJ100" s="288"/>
      <c r="CK100" s="287"/>
      <c r="CL100" s="287"/>
      <c r="CM100" s="287"/>
      <c r="CN100" s="289" t="str">
        <f t="shared" si="11"/>
        <v>Nivel de actividad física bajo</v>
      </c>
      <c r="CO100" s="422">
        <v>23.0</v>
      </c>
      <c r="CP100" s="422">
        <v>60.0</v>
      </c>
      <c r="CQ100" s="290"/>
      <c r="CR100" s="422">
        <v>7.0</v>
      </c>
      <c r="CS100" s="422">
        <v>0.0</v>
      </c>
      <c r="CT100" s="422">
        <v>8.0</v>
      </c>
      <c r="CU100" s="422">
        <v>5.0</v>
      </c>
      <c r="CV100" s="422">
        <v>3.0</v>
      </c>
      <c r="CW100" s="422">
        <v>3.0</v>
      </c>
      <c r="CX100" s="422">
        <v>3.0</v>
      </c>
      <c r="CY100" s="422">
        <v>0.0</v>
      </c>
      <c r="CZ100" s="422">
        <v>0.0</v>
      </c>
      <c r="DA100" s="422">
        <v>0.0</v>
      </c>
      <c r="DB100" s="422">
        <v>0.0</v>
      </c>
      <c r="DC100" s="422">
        <v>1.0</v>
      </c>
      <c r="DD100" s="422">
        <v>0.0</v>
      </c>
      <c r="DE100" s="422">
        <v>2.0</v>
      </c>
      <c r="DF100" s="422" t="s">
        <v>593</v>
      </c>
      <c r="DG100" s="312">
        <f t="shared" si="39"/>
        <v>9</v>
      </c>
      <c r="DH100" s="422">
        <v>3.0</v>
      </c>
      <c r="DI100" s="422">
        <v>3.0</v>
      </c>
      <c r="DJ100" s="422">
        <v>0.0</v>
      </c>
      <c r="DK100" s="422">
        <v>2.0</v>
      </c>
      <c r="DL100" s="288"/>
      <c r="DM100" s="288"/>
      <c r="DN100" s="288"/>
      <c r="DO100" s="288"/>
      <c r="DP100" s="288"/>
      <c r="DQ100" s="288"/>
      <c r="DR100" s="288"/>
      <c r="DS100" s="288"/>
      <c r="DT100" s="291"/>
      <c r="DU100" s="291"/>
      <c r="DV100" s="292"/>
      <c r="DW100" s="431" t="s">
        <v>594</v>
      </c>
      <c r="DX100" s="431" t="s">
        <v>213</v>
      </c>
      <c r="DY100" s="431">
        <v>1.0</v>
      </c>
      <c r="DZ100" s="431" t="s">
        <v>131</v>
      </c>
      <c r="EA100" s="431" t="s">
        <v>147</v>
      </c>
      <c r="EB100" s="292"/>
      <c r="EC100" s="431" t="s">
        <v>139</v>
      </c>
      <c r="ED100" s="292"/>
      <c r="EE100" s="292"/>
      <c r="EF100" s="431" t="s">
        <v>141</v>
      </c>
      <c r="EG100" s="397">
        <f t="shared" si="134"/>
        <v>1157</v>
      </c>
      <c r="EH100" s="432">
        <f t="shared" si="124"/>
        <v>45535</v>
      </c>
      <c r="EI100" s="383">
        <f t="shared" si="153"/>
        <v>25.43268596</v>
      </c>
    </row>
    <row r="101" ht="15.75" customHeight="1">
      <c r="A101" s="279" t="s">
        <v>595</v>
      </c>
      <c r="B101" s="423" t="s">
        <v>129</v>
      </c>
      <c r="C101" s="382">
        <v>45563.0</v>
      </c>
      <c r="D101" s="435">
        <v>54.0</v>
      </c>
      <c r="E101" s="381" t="s">
        <v>130</v>
      </c>
      <c r="F101" s="404">
        <v>163.0</v>
      </c>
      <c r="G101" s="436">
        <v>100.0</v>
      </c>
      <c r="H101" s="405" t="s">
        <v>131</v>
      </c>
      <c r="I101" s="404">
        <v>6.0</v>
      </c>
      <c r="J101" s="437">
        <v>45261.0</v>
      </c>
      <c r="K101" s="381" t="s">
        <v>131</v>
      </c>
      <c r="L101" s="404">
        <v>1.0</v>
      </c>
      <c r="M101" s="437">
        <v>45323.0</v>
      </c>
      <c r="N101" s="404" t="s">
        <v>131</v>
      </c>
      <c r="O101" s="425"/>
      <c r="P101" s="381" t="s">
        <v>132</v>
      </c>
      <c r="Q101" s="438"/>
      <c r="R101" s="438"/>
      <c r="S101" s="406"/>
      <c r="T101" s="426"/>
      <c r="U101" s="406"/>
      <c r="V101" s="285" t="str">
        <f t="shared" si="97"/>
        <v>Paciente ambulatorio</v>
      </c>
      <c r="W101" s="381" t="s">
        <v>143</v>
      </c>
      <c r="X101" s="381" t="s">
        <v>132</v>
      </c>
      <c r="Y101" s="404">
        <v>3.0</v>
      </c>
      <c r="Z101" s="404">
        <v>3.0</v>
      </c>
      <c r="AA101" s="404">
        <v>3.0</v>
      </c>
      <c r="AB101" s="404">
        <v>3.0</v>
      </c>
      <c r="AC101" s="404">
        <v>3.0</v>
      </c>
      <c r="AD101" s="404">
        <v>2.0</v>
      </c>
      <c r="AE101" s="404">
        <v>3.0</v>
      </c>
      <c r="AF101" s="404">
        <v>3.0</v>
      </c>
      <c r="AG101" s="404">
        <v>3.0</v>
      </c>
      <c r="AH101" s="404">
        <v>3.0</v>
      </c>
      <c r="AI101" s="404">
        <v>3.0</v>
      </c>
      <c r="AJ101" s="404">
        <v>3.0</v>
      </c>
      <c r="AK101" s="412"/>
      <c r="AL101" s="384" t="s">
        <v>132</v>
      </c>
      <c r="AM101" s="381" t="s">
        <v>132</v>
      </c>
      <c r="AN101" s="381" t="s">
        <v>132</v>
      </c>
      <c r="AO101" s="381" t="s">
        <v>132</v>
      </c>
      <c r="AP101" s="381" t="s">
        <v>132</v>
      </c>
      <c r="AQ101" s="381" t="s">
        <v>132</v>
      </c>
      <c r="AR101" s="381" t="s">
        <v>132</v>
      </c>
      <c r="AS101" s="381" t="s">
        <v>132</v>
      </c>
      <c r="AT101" s="381" t="s">
        <v>132</v>
      </c>
      <c r="AU101" s="381" t="s">
        <v>132</v>
      </c>
      <c r="AV101" s="381" t="s">
        <v>132</v>
      </c>
      <c r="AW101" s="381"/>
      <c r="AX101" s="381" t="s">
        <v>132</v>
      </c>
      <c r="AY101" s="389"/>
      <c r="AZ101" s="389"/>
      <c r="BA101" s="389"/>
      <c r="BB101" s="381" t="s">
        <v>145</v>
      </c>
      <c r="BC101" s="412"/>
      <c r="BD101" s="413">
        <v>2.0</v>
      </c>
      <c r="BE101" s="404">
        <v>1.0</v>
      </c>
      <c r="BF101" s="404">
        <v>1.0</v>
      </c>
      <c r="BG101" s="404">
        <v>2.0</v>
      </c>
      <c r="BH101" s="404">
        <v>2.0</v>
      </c>
      <c r="BI101" s="391" t="str">
        <f t="shared" si="3"/>
        <v>21122</v>
      </c>
      <c r="BJ101" s="404">
        <v>80.0</v>
      </c>
      <c r="BK101" s="404">
        <v>2.0</v>
      </c>
      <c r="BL101" s="404">
        <v>2.0</v>
      </c>
      <c r="BM101" s="404">
        <v>3.0</v>
      </c>
      <c r="BN101" s="404">
        <v>2.0</v>
      </c>
      <c r="BO101" s="404">
        <v>2.0</v>
      </c>
      <c r="BP101" s="404">
        <v>2.0</v>
      </c>
      <c r="BQ101" s="404">
        <v>2.0</v>
      </c>
      <c r="BR101" s="404">
        <v>2.0</v>
      </c>
      <c r="BS101" s="404">
        <v>2.0</v>
      </c>
      <c r="BT101" s="404">
        <v>2.0</v>
      </c>
      <c r="BU101" s="312"/>
      <c r="BV101" s="312"/>
      <c r="BW101" s="312"/>
      <c r="BX101" s="392" t="str">
        <f t="shared" ref="BX101:BX107" si="169">IF(BW101&lt;22,"NO HAY FATIGA",IF(BW101&lt;35,"FATIGA","FATIGA EXTREMA"))</f>
        <v>NO HAY FATIGA</v>
      </c>
      <c r="BY101" s="383">
        <v>2.0</v>
      </c>
      <c r="BZ101" s="404">
        <v>1.0</v>
      </c>
      <c r="CA101" s="404">
        <v>0.0</v>
      </c>
      <c r="CB101" s="404">
        <v>0.0</v>
      </c>
      <c r="CC101" s="404">
        <v>0.0</v>
      </c>
      <c r="CD101" s="404">
        <v>0.0</v>
      </c>
      <c r="CE101" s="404">
        <v>6.0</v>
      </c>
      <c r="CF101" s="404">
        <v>1.0</v>
      </c>
      <c r="CG101" s="404">
        <v>0.0</v>
      </c>
      <c r="CH101" s="404">
        <v>12.0</v>
      </c>
      <c r="CI101" s="404">
        <v>0.0</v>
      </c>
      <c r="CJ101" s="312">
        <f t="shared" ref="CJ101:CJ108" si="170">(8*BY101*(BZ101*60+CA101)+4*CB101*(CC101*60+CD101)+3.3*CE101*(CF101*60+CG101))</f>
        <v>2148</v>
      </c>
      <c r="CK101" s="391">
        <f t="shared" ref="CK101:CK108" si="171">(BY101+CB101+CE101)</f>
        <v>8</v>
      </c>
      <c r="CL101" s="391" t="b">
        <f t="shared" ref="CL101:CL103" si="172">IF(CJ102&gt;3000,IF(CK102&gt;6,"Nivel de actividad física alto"),IF(CJ102&gt;1500,IF(BY102&gt;2,"Nivel de actividad física alto")))</f>
        <v>0</v>
      </c>
      <c r="CM101" s="391" t="str">
        <f t="shared" ref="CM101:CM108" si="173">IF(BY101&gt;2,(IF(BZ101*60+CA101&gt;25,"Nivel de actividad física moderado")),IF(CB101+CE101&gt;5,IF(CC101*60+CD101+CF101*60+CG101&gt;30,"Nivel de actividad física moderado"),IF(CJ101&gt;600,(IF(CK101&gt;5,"Nivel de actividad física moderado")))))</f>
        <v>Nivel de actividad física moderado</v>
      </c>
      <c r="CN101" s="393" t="str">
        <f t="shared" si="11"/>
        <v>Nivel de actividad física moderado</v>
      </c>
      <c r="CO101" s="404">
        <v>23.0</v>
      </c>
      <c r="CP101" s="404">
        <v>60.0</v>
      </c>
      <c r="CQ101" s="394">
        <f t="shared" ref="CQ101:CQ108" si="174">IF(CP101&gt;60,3,IF(CP101&gt;30,2,IF(CP101&gt;15,1,0)))</f>
        <v>2</v>
      </c>
      <c r="CR101" s="404">
        <v>6.0</v>
      </c>
      <c r="CS101" s="404">
        <v>45.0</v>
      </c>
      <c r="CT101" s="404">
        <v>8.5</v>
      </c>
      <c r="CU101" s="404">
        <v>6.0</v>
      </c>
      <c r="CV101" s="404">
        <v>3.0</v>
      </c>
      <c r="CW101" s="404">
        <v>3.0</v>
      </c>
      <c r="CX101" s="404">
        <v>3.0</v>
      </c>
      <c r="CY101" s="404">
        <v>0.0</v>
      </c>
      <c r="CZ101" s="404">
        <v>0.0</v>
      </c>
      <c r="DA101" s="404">
        <v>1.0</v>
      </c>
      <c r="DB101" s="404">
        <v>0.0</v>
      </c>
      <c r="DC101" s="404">
        <v>1.0</v>
      </c>
      <c r="DD101" s="404">
        <v>1.0</v>
      </c>
      <c r="DE101" s="404">
        <v>2.0</v>
      </c>
      <c r="DF101" s="408"/>
      <c r="DG101" s="312">
        <f t="shared" si="39"/>
        <v>11</v>
      </c>
      <c r="DH101" s="404">
        <v>2.0</v>
      </c>
      <c r="DI101" s="404">
        <v>0.0</v>
      </c>
      <c r="DJ101" s="404">
        <v>1.0</v>
      </c>
      <c r="DK101" s="404">
        <v>1.0</v>
      </c>
      <c r="DL101" s="312">
        <f t="shared" ref="DL101:DL118" si="175">((CU101/CT101)*100)</f>
        <v>70.58823529</v>
      </c>
      <c r="DM101" s="312">
        <f t="shared" ref="DM101:DM118" si="176">IF(CU101&gt;=7,0,IF(CU101&gt;=6,1,IF(CU101&gt;=5,2,IF(CU101&lt;5,3))))</f>
        <v>1</v>
      </c>
      <c r="DN101" s="312">
        <f t="shared" ref="DN101:DN111" si="177">IF(DG101&gt;18,3,IF(DG101&gt;9,2,IF(DG101&gt;=1,1,0)))</f>
        <v>2</v>
      </c>
      <c r="DO101" s="312">
        <f t="shared" ref="DO101:DO118" si="178">IF(CV101+CQ101&gt;=5,3,IF(CQ101+CV101&gt;=3,2,IF(CQ101+CV101&gt;=1,1,0)))</f>
        <v>3</v>
      </c>
      <c r="DP101" s="312">
        <f t="shared" ref="DP101:DP111" si="179">IF(DJ101+DK101&gt;=5,3,IF(DJ101+DK101&gt;=3,2,IF(DJ101+DK101&gt;=1,1,0)))</f>
        <v>1</v>
      </c>
      <c r="DQ101" s="312">
        <f t="shared" ref="DQ101:DQ118" si="180">IF(DL101&gt;85,0,IF(DL101&gt;75,1,IF(DL101&gt;65,2,3)))</f>
        <v>2</v>
      </c>
      <c r="DR101" s="312">
        <f t="shared" ref="DR101:DS101" si="168">(DH101)</f>
        <v>2</v>
      </c>
      <c r="DS101" s="312">
        <f t="shared" si="168"/>
        <v>0</v>
      </c>
      <c r="DT101" s="395">
        <f t="shared" ref="DT101:DT118" si="182">SUM(DM101:DS101)</f>
        <v>11</v>
      </c>
      <c r="DU101" s="396" t="str">
        <f t="shared" ref="DU101:DU118" si="183">IF(DT101&gt;5,"poor sleep quality","good sleep quality")</f>
        <v>poor sleep quality</v>
      </c>
      <c r="DV101" s="415">
        <v>3.0</v>
      </c>
      <c r="DW101" s="416" t="s">
        <v>596</v>
      </c>
      <c r="DX101" s="416" t="s">
        <v>146</v>
      </c>
      <c r="DY101" s="415">
        <v>2.0</v>
      </c>
      <c r="DZ101" s="416" t="s">
        <v>131</v>
      </c>
      <c r="EA101" s="416" t="s">
        <v>178</v>
      </c>
      <c r="EB101" s="389"/>
      <c r="EC101" s="416" t="s">
        <v>172</v>
      </c>
      <c r="ED101" s="416" t="s">
        <v>140</v>
      </c>
      <c r="EE101" s="411" t="s">
        <v>131</v>
      </c>
      <c r="EF101" s="416" t="s">
        <v>141</v>
      </c>
      <c r="EG101" s="397">
        <f t="shared" si="134"/>
        <v>240</v>
      </c>
      <c r="EH101" s="397">
        <f t="shared" si="124"/>
        <v>45563</v>
      </c>
      <c r="EI101" s="383">
        <f t="shared" si="153"/>
        <v>37.63784862</v>
      </c>
    </row>
    <row r="102" ht="15.75" customHeight="1">
      <c r="A102" s="279" t="s">
        <v>597</v>
      </c>
      <c r="B102" s="423" t="s">
        <v>129</v>
      </c>
      <c r="C102" s="281">
        <v>45556.0</v>
      </c>
      <c r="D102" s="407">
        <v>43.0</v>
      </c>
      <c r="E102" s="280" t="s">
        <v>153</v>
      </c>
      <c r="F102" s="407">
        <v>169.0</v>
      </c>
      <c r="G102" s="424">
        <v>67.0</v>
      </c>
      <c r="H102" s="280" t="s">
        <v>131</v>
      </c>
      <c r="I102" s="407">
        <v>2.0</v>
      </c>
      <c r="J102" s="425">
        <v>44501.0</v>
      </c>
      <c r="K102" s="280" t="s">
        <v>131</v>
      </c>
      <c r="L102" s="407">
        <v>1.0</v>
      </c>
      <c r="M102" s="425">
        <v>44013.0</v>
      </c>
      <c r="N102" s="383">
        <v>0.0</v>
      </c>
      <c r="O102" s="425">
        <v>44013.0</v>
      </c>
      <c r="P102" s="408" t="s">
        <v>132</v>
      </c>
      <c r="Q102" s="426"/>
      <c r="R102" s="426"/>
      <c r="S102" s="426"/>
      <c r="T102" s="426"/>
      <c r="U102" s="389"/>
      <c r="V102" s="285" t="str">
        <f t="shared" si="97"/>
        <v>Paciente ambulatorio</v>
      </c>
      <c r="W102" s="408" t="s">
        <v>183</v>
      </c>
      <c r="X102" s="408" t="s">
        <v>132</v>
      </c>
      <c r="Y102" s="407">
        <v>1.0</v>
      </c>
      <c r="Z102" s="407">
        <v>1.0</v>
      </c>
      <c r="AA102" s="407">
        <v>3.0</v>
      </c>
      <c r="AB102" s="407">
        <v>3.0</v>
      </c>
      <c r="AC102" s="407">
        <v>1.0</v>
      </c>
      <c r="AD102" s="407">
        <v>3.0</v>
      </c>
      <c r="AE102" s="407">
        <v>1.0</v>
      </c>
      <c r="AF102" s="407">
        <v>1.0</v>
      </c>
      <c r="AG102" s="407">
        <v>1.0</v>
      </c>
      <c r="AH102" s="407">
        <v>3.0</v>
      </c>
      <c r="AI102" s="407">
        <v>1.0</v>
      </c>
      <c r="AJ102" s="407">
        <v>1.0</v>
      </c>
      <c r="AK102" s="427"/>
      <c r="AL102" s="384" t="s">
        <v>132</v>
      </c>
      <c r="AM102" s="280" t="s">
        <v>132</v>
      </c>
      <c r="AN102" s="280" t="s">
        <v>132</v>
      </c>
      <c r="AO102" s="280" t="s">
        <v>132</v>
      </c>
      <c r="AP102" s="280" t="s">
        <v>132</v>
      </c>
      <c r="AQ102" s="280" t="s">
        <v>132</v>
      </c>
      <c r="AR102" s="280" t="s">
        <v>132</v>
      </c>
      <c r="AS102" s="280" t="s">
        <v>132</v>
      </c>
      <c r="AT102" s="280" t="s">
        <v>132</v>
      </c>
      <c r="AU102" s="280" t="s">
        <v>132</v>
      </c>
      <c r="AV102" s="280" t="s">
        <v>132</v>
      </c>
      <c r="AW102" s="389"/>
      <c r="AX102" s="280" t="s">
        <v>131</v>
      </c>
      <c r="AY102" s="383">
        <v>20.0</v>
      </c>
      <c r="AZ102" s="389"/>
      <c r="BA102" s="389"/>
      <c r="BB102" s="280" t="s">
        <v>145</v>
      </c>
      <c r="BC102" s="388"/>
      <c r="BD102" s="383">
        <v>1.0</v>
      </c>
      <c r="BE102" s="383">
        <v>1.0</v>
      </c>
      <c r="BF102" s="383">
        <v>4.0</v>
      </c>
      <c r="BG102" s="383">
        <v>4.0</v>
      </c>
      <c r="BH102" s="383">
        <v>3.0</v>
      </c>
      <c r="BI102" s="391" t="str">
        <f t="shared" si="3"/>
        <v>11443</v>
      </c>
      <c r="BJ102" s="409">
        <v>50.0</v>
      </c>
      <c r="BK102" s="409">
        <v>5.0</v>
      </c>
      <c r="BL102" s="409">
        <v>5.0</v>
      </c>
      <c r="BM102" s="409">
        <v>3.0</v>
      </c>
      <c r="BN102" s="409">
        <v>2.0</v>
      </c>
      <c r="BO102" s="409">
        <v>1.0</v>
      </c>
      <c r="BP102" s="409">
        <v>5.0</v>
      </c>
      <c r="BQ102" s="409">
        <v>5.0</v>
      </c>
      <c r="BR102" s="409">
        <v>4.0</v>
      </c>
      <c r="BS102" s="409">
        <v>5.0</v>
      </c>
      <c r="BT102" s="409">
        <v>5.0</v>
      </c>
      <c r="BU102" s="312">
        <f t="shared" ref="BU102:BU103" si="184">IF(BN102=1,5,IF(BN102=2,4,IF(BN102=3,3,IF(BN102=4,2,IF(BN102=5,1)))))</f>
        <v>4</v>
      </c>
      <c r="BV102" s="312">
        <f t="shared" ref="BV102:BV103" si="185">IF(BT102=1,5,IF(BT102=2,4,IF(BT102=3,3,IF(BT102=4,2,IF(BT102=5,1)))))</f>
        <v>1</v>
      </c>
      <c r="BW102" s="312">
        <f t="shared" ref="BW102:BW103" si="186">SUM(BK102,BL102,BM102,BO102,BP102,BQ102,BR102,BS102,BT102,BV102)</f>
        <v>39</v>
      </c>
      <c r="BX102" s="392" t="str">
        <f t="shared" si="169"/>
        <v>FATIGA EXTREMA</v>
      </c>
      <c r="BY102" s="383">
        <v>0.0</v>
      </c>
      <c r="BZ102" s="383">
        <v>0.0</v>
      </c>
      <c r="CA102" s="383">
        <v>0.0</v>
      </c>
      <c r="CB102" s="383">
        <v>0.0</v>
      </c>
      <c r="CC102" s="383">
        <v>0.0</v>
      </c>
      <c r="CD102" s="383">
        <v>0.0</v>
      </c>
      <c r="CE102" s="383">
        <v>0.0</v>
      </c>
      <c r="CF102" s="383">
        <v>0.0</v>
      </c>
      <c r="CG102" s="383">
        <v>0.0</v>
      </c>
      <c r="CH102" s="383">
        <v>12.0</v>
      </c>
      <c r="CI102" s="383">
        <v>0.0</v>
      </c>
      <c r="CJ102" s="312">
        <f t="shared" si="170"/>
        <v>0</v>
      </c>
      <c r="CK102" s="391">
        <f t="shared" si="171"/>
        <v>0</v>
      </c>
      <c r="CL102" s="391" t="b">
        <f t="shared" si="172"/>
        <v>0</v>
      </c>
      <c r="CM102" s="391" t="b">
        <f t="shared" si="173"/>
        <v>0</v>
      </c>
      <c r="CN102" s="393" t="str">
        <f t="shared" si="11"/>
        <v>Nivel de actividad física bajo</v>
      </c>
      <c r="CO102" s="428">
        <v>1.0208333333333333</v>
      </c>
      <c r="CP102" s="409">
        <v>5.0</v>
      </c>
      <c r="CQ102" s="394">
        <f t="shared" si="174"/>
        <v>0</v>
      </c>
      <c r="CR102" s="409">
        <v>7.0</v>
      </c>
      <c r="CS102" s="409">
        <v>0.0</v>
      </c>
      <c r="CT102" s="409">
        <v>6.5</v>
      </c>
      <c r="CU102" s="409">
        <v>7.0</v>
      </c>
      <c r="CV102" s="409">
        <v>0.0</v>
      </c>
      <c r="CW102" s="409">
        <v>0.0</v>
      </c>
      <c r="CX102" s="409">
        <v>0.0</v>
      </c>
      <c r="CY102" s="409">
        <v>3.0</v>
      </c>
      <c r="CZ102" s="409">
        <v>1.0</v>
      </c>
      <c r="DA102" s="409">
        <v>0.0</v>
      </c>
      <c r="DB102" s="409">
        <v>0.0</v>
      </c>
      <c r="DC102" s="409">
        <v>0.0</v>
      </c>
      <c r="DD102" s="409">
        <v>0.0</v>
      </c>
      <c r="DE102" s="420"/>
      <c r="DF102" s="420"/>
      <c r="DG102" s="312">
        <f t="shared" si="39"/>
        <v>4</v>
      </c>
      <c r="DH102" s="409">
        <v>1.0</v>
      </c>
      <c r="DI102" s="409">
        <v>0.0</v>
      </c>
      <c r="DJ102" s="409">
        <v>3.0</v>
      </c>
      <c r="DK102" s="409">
        <v>2.0</v>
      </c>
      <c r="DL102" s="312">
        <f t="shared" si="175"/>
        <v>107.6923077</v>
      </c>
      <c r="DM102" s="312">
        <f t="shared" si="176"/>
        <v>0</v>
      </c>
      <c r="DN102" s="312">
        <f t="shared" si="177"/>
        <v>1</v>
      </c>
      <c r="DO102" s="312">
        <f t="shared" si="178"/>
        <v>0</v>
      </c>
      <c r="DP102" s="312">
        <f t="shared" si="179"/>
        <v>3</v>
      </c>
      <c r="DQ102" s="312">
        <f t="shared" si="180"/>
        <v>0</v>
      </c>
      <c r="DR102" s="312">
        <f t="shared" ref="DR102:DS102" si="181">(DH102)</f>
        <v>1</v>
      </c>
      <c r="DS102" s="312">
        <f t="shared" si="181"/>
        <v>0</v>
      </c>
      <c r="DT102" s="395">
        <f t="shared" si="182"/>
        <v>5</v>
      </c>
      <c r="DU102" s="396" t="str">
        <f t="shared" si="183"/>
        <v>good sleep quality</v>
      </c>
      <c r="DV102" s="397">
        <v>3.0</v>
      </c>
      <c r="DW102" s="398" t="s">
        <v>314</v>
      </c>
      <c r="DX102" s="398" t="s">
        <v>146</v>
      </c>
      <c r="DY102" s="397">
        <v>1.0</v>
      </c>
      <c r="DZ102" s="398" t="s">
        <v>131</v>
      </c>
      <c r="EA102" s="398" t="s">
        <v>202</v>
      </c>
      <c r="EB102" s="389"/>
      <c r="EC102" s="398" t="s">
        <v>139</v>
      </c>
      <c r="ED102" s="389"/>
      <c r="EE102" s="389"/>
      <c r="EF102" s="398" t="s">
        <v>158</v>
      </c>
      <c r="EG102" s="397">
        <f t="shared" si="134"/>
        <v>1543</v>
      </c>
      <c r="EH102" s="397">
        <f t="shared" si="124"/>
        <v>1543</v>
      </c>
      <c r="EI102" s="383">
        <f t="shared" si="153"/>
        <v>23.45856238</v>
      </c>
    </row>
    <row r="103" ht="15.75" customHeight="1">
      <c r="A103" s="279" t="s">
        <v>598</v>
      </c>
      <c r="B103" s="423" t="s">
        <v>129</v>
      </c>
      <c r="C103" s="281">
        <v>45556.0</v>
      </c>
      <c r="D103" s="407">
        <v>43.0</v>
      </c>
      <c r="E103" s="406" t="s">
        <v>153</v>
      </c>
      <c r="F103" s="407">
        <v>183.0</v>
      </c>
      <c r="G103" s="424">
        <v>96.0</v>
      </c>
      <c r="H103" s="406" t="s">
        <v>131</v>
      </c>
      <c r="I103" s="407">
        <v>3.0</v>
      </c>
      <c r="J103" s="425">
        <v>44562.0</v>
      </c>
      <c r="K103" s="406" t="s">
        <v>131</v>
      </c>
      <c r="L103" s="407">
        <v>1.0</v>
      </c>
      <c r="M103" s="425">
        <v>44013.0</v>
      </c>
      <c r="N103" s="407">
        <v>0.0</v>
      </c>
      <c r="O103" s="425">
        <v>44013.0</v>
      </c>
      <c r="P103" s="406" t="s">
        <v>132</v>
      </c>
      <c r="Q103" s="426"/>
      <c r="R103" s="426"/>
      <c r="S103" s="426"/>
      <c r="T103" s="426"/>
      <c r="U103" s="426"/>
      <c r="V103" s="285" t="str">
        <f t="shared" si="97"/>
        <v>Paciente ambulatorio</v>
      </c>
      <c r="W103" s="406" t="s">
        <v>183</v>
      </c>
      <c r="X103" s="406" t="s">
        <v>132</v>
      </c>
      <c r="Y103" s="407">
        <v>3.0</v>
      </c>
      <c r="Z103" s="407">
        <v>1.0</v>
      </c>
      <c r="AA103" s="407">
        <v>3.0</v>
      </c>
      <c r="AB103" s="407">
        <v>3.0</v>
      </c>
      <c r="AC103" s="407">
        <v>3.0</v>
      </c>
      <c r="AD103" s="407">
        <v>3.0</v>
      </c>
      <c r="AE103" s="407">
        <v>3.0</v>
      </c>
      <c r="AF103" s="407">
        <v>1.0</v>
      </c>
      <c r="AG103" s="407">
        <v>1.0</v>
      </c>
      <c r="AH103" s="407">
        <v>3.0</v>
      </c>
      <c r="AI103" s="407">
        <v>1.0</v>
      </c>
      <c r="AJ103" s="407">
        <v>1.0</v>
      </c>
      <c r="AK103" s="427"/>
      <c r="AL103" s="384" t="s">
        <v>132</v>
      </c>
      <c r="AM103" s="280" t="s">
        <v>132</v>
      </c>
      <c r="AN103" s="280" t="s">
        <v>132</v>
      </c>
      <c r="AO103" s="280" t="s">
        <v>132</v>
      </c>
      <c r="AP103" s="280" t="s">
        <v>132</v>
      </c>
      <c r="AQ103" s="280" t="s">
        <v>132</v>
      </c>
      <c r="AR103" s="280" t="s">
        <v>132</v>
      </c>
      <c r="AS103" s="280" t="s">
        <v>132</v>
      </c>
      <c r="AT103" s="280" t="s">
        <v>132</v>
      </c>
      <c r="AU103" s="280" t="s">
        <v>132</v>
      </c>
      <c r="AV103" s="280" t="s">
        <v>132</v>
      </c>
      <c r="AW103" s="280" t="s">
        <v>132</v>
      </c>
      <c r="AX103" s="280" t="s">
        <v>131</v>
      </c>
      <c r="AY103" s="383">
        <v>9.0</v>
      </c>
      <c r="AZ103" s="389"/>
      <c r="BA103" s="389"/>
      <c r="BB103" s="280" t="s">
        <v>135</v>
      </c>
      <c r="BC103" s="421">
        <v>2.0</v>
      </c>
      <c r="BD103" s="383">
        <v>1.0</v>
      </c>
      <c r="BE103" s="383">
        <v>1.0</v>
      </c>
      <c r="BF103" s="383">
        <v>1.0</v>
      </c>
      <c r="BG103" s="383">
        <v>1.0</v>
      </c>
      <c r="BH103" s="383">
        <v>2.0</v>
      </c>
      <c r="BI103" s="391" t="str">
        <f t="shared" si="3"/>
        <v>11112</v>
      </c>
      <c r="BJ103" s="409">
        <v>80.0</v>
      </c>
      <c r="BK103" s="409">
        <v>4.0</v>
      </c>
      <c r="BL103" s="409">
        <v>5.0</v>
      </c>
      <c r="BM103" s="409">
        <v>2.0</v>
      </c>
      <c r="BN103" s="409">
        <v>4.0</v>
      </c>
      <c r="BO103" s="409">
        <v>4.0</v>
      </c>
      <c r="BP103" s="409">
        <v>1.0</v>
      </c>
      <c r="BQ103" s="409">
        <v>3.0</v>
      </c>
      <c r="BR103" s="409">
        <v>4.0</v>
      </c>
      <c r="BS103" s="409">
        <v>3.0</v>
      </c>
      <c r="BT103" s="409">
        <v>2.0</v>
      </c>
      <c r="BU103" s="312">
        <f t="shared" si="184"/>
        <v>2</v>
      </c>
      <c r="BV103" s="312">
        <f t="shared" si="185"/>
        <v>4</v>
      </c>
      <c r="BW103" s="312">
        <f t="shared" si="186"/>
        <v>32</v>
      </c>
      <c r="BX103" s="392" t="str">
        <f t="shared" si="169"/>
        <v>FATIGA</v>
      </c>
      <c r="BY103" s="383">
        <v>1.0</v>
      </c>
      <c r="BZ103" s="383">
        <v>0.0</v>
      </c>
      <c r="CA103" s="383">
        <v>45.0</v>
      </c>
      <c r="CB103" s="383">
        <v>1.0</v>
      </c>
      <c r="CC103" s="383">
        <v>2.0</v>
      </c>
      <c r="CD103" s="383">
        <v>30.0</v>
      </c>
      <c r="CE103" s="383">
        <v>4.0</v>
      </c>
      <c r="CF103" s="383">
        <v>0.0</v>
      </c>
      <c r="CG103" s="383">
        <v>20.0</v>
      </c>
      <c r="CH103" s="383">
        <v>13.0</v>
      </c>
      <c r="CI103" s="383">
        <v>0.0</v>
      </c>
      <c r="CJ103" s="312">
        <f t="shared" si="170"/>
        <v>1224</v>
      </c>
      <c r="CK103" s="391">
        <f t="shared" si="171"/>
        <v>6</v>
      </c>
      <c r="CL103" s="391" t="b">
        <f t="shared" si="172"/>
        <v>0</v>
      </c>
      <c r="CM103" s="391" t="str">
        <f t="shared" si="173"/>
        <v>Nivel de actividad física moderado</v>
      </c>
      <c r="CN103" s="393" t="str">
        <f t="shared" si="11"/>
        <v>Nivel de actividad física moderado</v>
      </c>
      <c r="CO103" s="409">
        <v>23.0</v>
      </c>
      <c r="CP103" s="409">
        <v>90.0</v>
      </c>
      <c r="CQ103" s="394">
        <f t="shared" si="174"/>
        <v>3</v>
      </c>
      <c r="CR103" s="409">
        <v>6.0</v>
      </c>
      <c r="CS103" s="409">
        <v>30.0</v>
      </c>
      <c r="CT103" s="409">
        <v>7.5</v>
      </c>
      <c r="CU103" s="409">
        <v>5.0</v>
      </c>
      <c r="CV103" s="409">
        <v>3.0</v>
      </c>
      <c r="CW103" s="409">
        <v>3.0</v>
      </c>
      <c r="CX103" s="409">
        <v>2.0</v>
      </c>
      <c r="CY103" s="409">
        <v>0.0</v>
      </c>
      <c r="CZ103" s="409">
        <v>2.0</v>
      </c>
      <c r="DA103" s="409">
        <v>0.0</v>
      </c>
      <c r="DB103" s="409">
        <v>3.0</v>
      </c>
      <c r="DC103" s="409">
        <v>0.0</v>
      </c>
      <c r="DD103" s="409">
        <v>0.0</v>
      </c>
      <c r="DE103" s="420"/>
      <c r="DF103" s="420"/>
      <c r="DG103" s="312">
        <f t="shared" si="39"/>
        <v>10</v>
      </c>
      <c r="DH103" s="409">
        <v>1.0</v>
      </c>
      <c r="DI103" s="409">
        <v>0.0</v>
      </c>
      <c r="DJ103" s="409">
        <v>3.0</v>
      </c>
      <c r="DK103" s="409">
        <v>1.0</v>
      </c>
      <c r="DL103" s="312">
        <f t="shared" si="175"/>
        <v>66.66666667</v>
      </c>
      <c r="DM103" s="312">
        <f t="shared" si="176"/>
        <v>2</v>
      </c>
      <c r="DN103" s="312">
        <f t="shared" si="177"/>
        <v>2</v>
      </c>
      <c r="DO103" s="312">
        <f t="shared" si="178"/>
        <v>3</v>
      </c>
      <c r="DP103" s="312">
        <f t="shared" si="179"/>
        <v>2</v>
      </c>
      <c r="DQ103" s="312">
        <f t="shared" si="180"/>
        <v>2</v>
      </c>
      <c r="DR103" s="312">
        <f t="shared" ref="DR103:DS103" si="187">(DH103)</f>
        <v>1</v>
      </c>
      <c r="DS103" s="312">
        <f t="shared" si="187"/>
        <v>0</v>
      </c>
      <c r="DT103" s="395">
        <f t="shared" si="182"/>
        <v>12</v>
      </c>
      <c r="DU103" s="396" t="str">
        <f t="shared" si="183"/>
        <v>poor sleep quality</v>
      </c>
      <c r="DV103" s="397">
        <v>3.0</v>
      </c>
      <c r="DW103" s="398" t="s">
        <v>149</v>
      </c>
      <c r="DX103" s="398" t="s">
        <v>146</v>
      </c>
      <c r="DY103" s="397">
        <v>1.0</v>
      </c>
      <c r="DZ103" s="398" t="s">
        <v>131</v>
      </c>
      <c r="EA103" s="398" t="s">
        <v>167</v>
      </c>
      <c r="EB103" s="389"/>
      <c r="EC103" s="398" t="s">
        <v>139</v>
      </c>
      <c r="ED103" s="389"/>
      <c r="EE103" s="389"/>
      <c r="EF103" s="398" t="s">
        <v>141</v>
      </c>
      <c r="EG103" s="397">
        <f t="shared" si="134"/>
        <v>1543</v>
      </c>
      <c r="EH103" s="397">
        <f t="shared" si="124"/>
        <v>1543</v>
      </c>
      <c r="EI103" s="383">
        <f t="shared" si="153"/>
        <v>28.66612918</v>
      </c>
    </row>
    <row r="104" ht="15.75" customHeight="1">
      <c r="A104" s="279" t="s">
        <v>601</v>
      </c>
      <c r="B104" s="423" t="s">
        <v>129</v>
      </c>
      <c r="C104" s="281">
        <v>45556.0</v>
      </c>
      <c r="D104" s="435">
        <v>64.0</v>
      </c>
      <c r="E104" s="381" t="s">
        <v>130</v>
      </c>
      <c r="F104" s="404">
        <v>162.0</v>
      </c>
      <c r="G104" s="436">
        <v>55.0</v>
      </c>
      <c r="H104" s="405" t="s">
        <v>131</v>
      </c>
      <c r="I104" s="404">
        <v>6.0</v>
      </c>
      <c r="J104" s="437">
        <v>45330.0</v>
      </c>
      <c r="K104" s="381" t="s">
        <v>131</v>
      </c>
      <c r="L104" s="404">
        <v>1.0</v>
      </c>
      <c r="M104" s="437">
        <v>44166.0</v>
      </c>
      <c r="N104" s="404">
        <v>0.0</v>
      </c>
      <c r="O104" s="425"/>
      <c r="P104" s="381" t="s">
        <v>132</v>
      </c>
      <c r="Q104" s="438"/>
      <c r="R104" s="438"/>
      <c r="S104" s="406"/>
      <c r="T104" s="426"/>
      <c r="U104" s="406"/>
      <c r="V104" s="285" t="str">
        <f t="shared" si="97"/>
        <v>Paciente ambulatorio</v>
      </c>
      <c r="W104" s="381" t="s">
        <v>143</v>
      </c>
      <c r="X104" s="381" t="s">
        <v>132</v>
      </c>
      <c r="Y104" s="404">
        <v>2.0</v>
      </c>
      <c r="Z104" s="404">
        <v>2.0</v>
      </c>
      <c r="AA104" s="404">
        <v>2.0</v>
      </c>
      <c r="AB104" s="404">
        <v>2.0</v>
      </c>
      <c r="AC104" s="404">
        <v>3.0</v>
      </c>
      <c r="AD104" s="404">
        <v>2.0</v>
      </c>
      <c r="AE104" s="404">
        <v>3.0</v>
      </c>
      <c r="AF104" s="404">
        <v>3.0</v>
      </c>
      <c r="AG104" s="404">
        <v>3.0</v>
      </c>
      <c r="AH104" s="404">
        <v>2.0</v>
      </c>
      <c r="AI104" s="404">
        <v>3.0</v>
      </c>
      <c r="AJ104" s="404">
        <v>3.0</v>
      </c>
      <c r="AK104" s="412" t="s">
        <v>602</v>
      </c>
      <c r="AL104" s="384" t="s">
        <v>132</v>
      </c>
      <c r="AM104" s="381" t="s">
        <v>132</v>
      </c>
      <c r="AN104" s="381" t="s">
        <v>132</v>
      </c>
      <c r="AO104" s="381" t="s">
        <v>131</v>
      </c>
      <c r="AP104" s="381" t="s">
        <v>132</v>
      </c>
      <c r="AQ104" s="381" t="s">
        <v>132</v>
      </c>
      <c r="AR104" s="381" t="s">
        <v>132</v>
      </c>
      <c r="AS104" s="381" t="s">
        <v>132</v>
      </c>
      <c r="AT104" s="381" t="s">
        <v>132</v>
      </c>
      <c r="AU104" s="381" t="s">
        <v>132</v>
      </c>
      <c r="AV104" s="381" t="s">
        <v>131</v>
      </c>
      <c r="AW104" s="381" t="s">
        <v>603</v>
      </c>
      <c r="AX104" s="381" t="s">
        <v>132</v>
      </c>
      <c r="AY104" s="389"/>
      <c r="AZ104" s="389"/>
      <c r="BA104" s="389"/>
      <c r="BB104" s="381" t="s">
        <v>135</v>
      </c>
      <c r="BC104" s="412">
        <v>2.0</v>
      </c>
      <c r="BD104" s="413">
        <v>3.0</v>
      </c>
      <c r="BE104" s="404">
        <v>3.0</v>
      </c>
      <c r="BF104" s="404">
        <v>1.0</v>
      </c>
      <c r="BG104" s="404">
        <v>2.0</v>
      </c>
      <c r="BH104" s="404">
        <v>3.0</v>
      </c>
      <c r="BI104" s="391" t="str">
        <f t="shared" si="3"/>
        <v>33123</v>
      </c>
      <c r="BJ104" s="404">
        <v>90.0</v>
      </c>
      <c r="BK104" s="404">
        <v>2.0</v>
      </c>
      <c r="BL104" s="404">
        <v>2.0</v>
      </c>
      <c r="BM104" s="404">
        <v>1.0</v>
      </c>
      <c r="BN104" s="404">
        <v>5.0</v>
      </c>
      <c r="BO104" s="404">
        <v>1.0</v>
      </c>
      <c r="BP104" s="404">
        <v>1.0</v>
      </c>
      <c r="BQ104" s="404">
        <v>1.0</v>
      </c>
      <c r="BR104" s="404">
        <v>1.0</v>
      </c>
      <c r="BS104" s="404">
        <v>1.0</v>
      </c>
      <c r="BT104" s="404">
        <v>5.0</v>
      </c>
      <c r="BU104" s="312"/>
      <c r="BV104" s="312"/>
      <c r="BW104" s="312"/>
      <c r="BX104" s="392" t="str">
        <f t="shared" si="169"/>
        <v>NO HAY FATIGA</v>
      </c>
      <c r="BY104" s="383">
        <v>2.0</v>
      </c>
      <c r="BZ104" s="404">
        <v>1.0</v>
      </c>
      <c r="CA104" s="404">
        <v>0.0</v>
      </c>
      <c r="CB104" s="404">
        <v>2.0</v>
      </c>
      <c r="CC104" s="404">
        <v>1.0</v>
      </c>
      <c r="CD104" s="404">
        <v>0.0</v>
      </c>
      <c r="CE104" s="404">
        <v>3.0</v>
      </c>
      <c r="CF104" s="404">
        <v>1.0</v>
      </c>
      <c r="CG104" s="404">
        <v>0.0</v>
      </c>
      <c r="CH104" s="404">
        <v>3.0</v>
      </c>
      <c r="CI104" s="404">
        <v>0.0</v>
      </c>
      <c r="CJ104" s="312">
        <f t="shared" si="170"/>
        <v>2034</v>
      </c>
      <c r="CK104" s="391">
        <f t="shared" si="171"/>
        <v>7</v>
      </c>
      <c r="CL104" s="391" t="b">
        <f t="shared" ref="CL104:CL105" si="189">IF(CJ106&gt;3000,IF(CK106&gt;6,"Nivel de actividad física alto"),IF(CJ106&gt;1500,IF(BY106&gt;2,"Nivel de actividad física alto")))</f>
        <v>0</v>
      </c>
      <c r="CM104" s="391" t="str">
        <f t="shared" si="173"/>
        <v>Nivel de actividad física moderado</v>
      </c>
      <c r="CN104" s="393" t="str">
        <f t="shared" si="11"/>
        <v>Nivel de actividad física moderado</v>
      </c>
      <c r="CO104" s="404">
        <v>23.0</v>
      </c>
      <c r="CP104" s="404">
        <v>10.0</v>
      </c>
      <c r="CQ104" s="394">
        <f t="shared" si="174"/>
        <v>0</v>
      </c>
      <c r="CR104" s="404">
        <v>7.0</v>
      </c>
      <c r="CS104" s="404">
        <v>30.0</v>
      </c>
      <c r="CT104" s="404">
        <v>8.5</v>
      </c>
      <c r="CU104" s="404">
        <v>6.0</v>
      </c>
      <c r="CV104" s="404">
        <v>0.0</v>
      </c>
      <c r="CW104" s="404">
        <v>3.0</v>
      </c>
      <c r="CX104" s="404">
        <v>2.0</v>
      </c>
      <c r="CY104" s="404">
        <v>0.0</v>
      </c>
      <c r="CZ104" s="404">
        <v>0.0</v>
      </c>
      <c r="DA104" s="404">
        <v>0.0</v>
      </c>
      <c r="DB104" s="404">
        <v>2.0</v>
      </c>
      <c r="DC104" s="404">
        <v>1.0</v>
      </c>
      <c r="DD104" s="404">
        <v>0.0</v>
      </c>
      <c r="DE104" s="404">
        <v>0.0</v>
      </c>
      <c r="DF104" s="408"/>
      <c r="DG104" s="312">
        <f t="shared" si="39"/>
        <v>8</v>
      </c>
      <c r="DH104" s="404">
        <v>1.0</v>
      </c>
      <c r="DI104" s="404">
        <v>0.0</v>
      </c>
      <c r="DJ104" s="404">
        <v>0.0</v>
      </c>
      <c r="DK104" s="404">
        <v>0.0</v>
      </c>
      <c r="DL104" s="312">
        <f t="shared" si="175"/>
        <v>70.58823529</v>
      </c>
      <c r="DM104" s="312">
        <f t="shared" si="176"/>
        <v>1</v>
      </c>
      <c r="DN104" s="312">
        <f t="shared" si="177"/>
        <v>1</v>
      </c>
      <c r="DO104" s="312">
        <f t="shared" si="178"/>
        <v>0</v>
      </c>
      <c r="DP104" s="312">
        <f t="shared" si="179"/>
        <v>0</v>
      </c>
      <c r="DQ104" s="312">
        <f t="shared" si="180"/>
        <v>2</v>
      </c>
      <c r="DR104" s="312">
        <f t="shared" ref="DR104:DS104" si="188">(DH104)</f>
        <v>1</v>
      </c>
      <c r="DS104" s="312">
        <f t="shared" si="188"/>
        <v>0</v>
      </c>
      <c r="DT104" s="395">
        <f t="shared" si="182"/>
        <v>5</v>
      </c>
      <c r="DU104" s="396" t="str">
        <f t="shared" si="183"/>
        <v>good sleep quality</v>
      </c>
      <c r="DV104" s="415">
        <v>1.0</v>
      </c>
      <c r="DW104" s="398" t="s">
        <v>314</v>
      </c>
      <c r="DX104" s="416" t="s">
        <v>146</v>
      </c>
      <c r="DY104" s="415">
        <v>2.0</v>
      </c>
      <c r="DZ104" s="416" t="s">
        <v>131</v>
      </c>
      <c r="EA104" s="416" t="s">
        <v>162</v>
      </c>
      <c r="EB104" s="389"/>
      <c r="EC104" s="416" t="s">
        <v>172</v>
      </c>
      <c r="ED104" s="416" t="s">
        <v>140</v>
      </c>
      <c r="EE104" s="411" t="s">
        <v>132</v>
      </c>
      <c r="EF104" s="416" t="s">
        <v>151</v>
      </c>
      <c r="EG104" s="397">
        <f t="shared" si="134"/>
        <v>1390</v>
      </c>
      <c r="EH104" s="397">
        <f t="shared" si="124"/>
        <v>45556</v>
      </c>
      <c r="EI104" s="383">
        <f t="shared" si="153"/>
        <v>20.95717116</v>
      </c>
    </row>
    <row r="105" ht="15.75" customHeight="1">
      <c r="A105" s="279" t="s">
        <v>606</v>
      </c>
      <c r="B105" s="423" t="s">
        <v>129</v>
      </c>
      <c r="C105" s="281">
        <v>45556.0</v>
      </c>
      <c r="D105" s="435">
        <v>46.0</v>
      </c>
      <c r="E105" s="280" t="s">
        <v>153</v>
      </c>
      <c r="F105" s="404">
        <v>178.0</v>
      </c>
      <c r="G105" s="436">
        <v>78.0</v>
      </c>
      <c r="H105" s="405" t="s">
        <v>132</v>
      </c>
      <c r="I105" s="407">
        <v>4.0</v>
      </c>
      <c r="J105" s="425">
        <v>45170.0</v>
      </c>
      <c r="K105" s="406" t="s">
        <v>131</v>
      </c>
      <c r="L105" s="404">
        <v>2.0</v>
      </c>
      <c r="M105" s="437">
        <v>43983.0</v>
      </c>
      <c r="N105" s="407">
        <v>0.0</v>
      </c>
      <c r="O105" s="437">
        <v>44256.0</v>
      </c>
      <c r="P105" s="406" t="s">
        <v>132</v>
      </c>
      <c r="Q105" s="439"/>
      <c r="R105" s="439"/>
      <c r="S105" s="426"/>
      <c r="T105" s="426"/>
      <c r="U105" s="426"/>
      <c r="V105" s="285" t="str">
        <f t="shared" si="97"/>
        <v>Paciente ambulatorio</v>
      </c>
      <c r="W105" s="381" t="s">
        <v>143</v>
      </c>
      <c r="X105" s="406" t="s">
        <v>132</v>
      </c>
      <c r="Y105" s="404">
        <v>2.0</v>
      </c>
      <c r="Z105" s="404">
        <v>2.0</v>
      </c>
      <c r="AA105" s="407">
        <v>2.0</v>
      </c>
      <c r="AB105" s="407">
        <v>2.0</v>
      </c>
      <c r="AC105" s="404">
        <v>3.0</v>
      </c>
      <c r="AD105" s="404">
        <v>2.0</v>
      </c>
      <c r="AE105" s="404">
        <v>2.0</v>
      </c>
      <c r="AF105" s="404">
        <v>3.0</v>
      </c>
      <c r="AG105" s="407">
        <v>3.0</v>
      </c>
      <c r="AH105" s="404">
        <v>3.0</v>
      </c>
      <c r="AI105" s="407">
        <v>3.0</v>
      </c>
      <c r="AJ105" s="404">
        <v>3.0</v>
      </c>
      <c r="AK105" s="427"/>
      <c r="AL105" s="384" t="s">
        <v>132</v>
      </c>
      <c r="AM105" s="280" t="s">
        <v>132</v>
      </c>
      <c r="AN105" s="280" t="s">
        <v>132</v>
      </c>
      <c r="AO105" s="280" t="s">
        <v>132</v>
      </c>
      <c r="AP105" s="280" t="s">
        <v>132</v>
      </c>
      <c r="AQ105" s="280" t="s">
        <v>132</v>
      </c>
      <c r="AR105" s="280" t="s">
        <v>132</v>
      </c>
      <c r="AS105" s="280" t="s">
        <v>132</v>
      </c>
      <c r="AT105" s="280" t="s">
        <v>132</v>
      </c>
      <c r="AU105" s="280" t="s">
        <v>132</v>
      </c>
      <c r="AV105" s="381" t="s">
        <v>132</v>
      </c>
      <c r="AW105" s="280"/>
      <c r="AX105" s="381" t="s">
        <v>165</v>
      </c>
      <c r="AY105" s="389"/>
      <c r="AZ105" s="389"/>
      <c r="BA105" s="411">
        <v>2.0</v>
      </c>
      <c r="BB105" s="280" t="s">
        <v>145</v>
      </c>
      <c r="BC105" s="388"/>
      <c r="BD105" s="390">
        <v>1.0</v>
      </c>
      <c r="BE105" s="383">
        <v>1.0</v>
      </c>
      <c r="BF105" s="404">
        <v>1.0</v>
      </c>
      <c r="BG105" s="404">
        <v>1.0</v>
      </c>
      <c r="BH105" s="404">
        <v>1.0</v>
      </c>
      <c r="BI105" s="391" t="str">
        <f t="shared" si="3"/>
        <v>11111</v>
      </c>
      <c r="BJ105" s="404">
        <v>90.0</v>
      </c>
      <c r="BK105" s="404">
        <v>2.0</v>
      </c>
      <c r="BL105" s="404">
        <v>2.0</v>
      </c>
      <c r="BM105" s="404">
        <v>1.0</v>
      </c>
      <c r="BN105" s="404">
        <v>5.0</v>
      </c>
      <c r="BO105" s="404">
        <v>2.0</v>
      </c>
      <c r="BP105" s="404">
        <v>1.0</v>
      </c>
      <c r="BQ105" s="404">
        <v>2.0</v>
      </c>
      <c r="BR105" s="404">
        <v>2.0</v>
      </c>
      <c r="BS105" s="404">
        <v>2.0</v>
      </c>
      <c r="BT105" s="404">
        <v>4.0</v>
      </c>
      <c r="BU105" s="312">
        <f t="shared" ref="BU105:BU107" si="191">IF(BN105=1,5,IF(BN105=2,4,IF(BN105=3,3,IF(BN105=4,2,IF(BN105=5,1)))))</f>
        <v>1</v>
      </c>
      <c r="BV105" s="312">
        <f t="shared" ref="BV105:BV107" si="192">IF(BT105=1,5,IF(BT105=2,4,IF(BT105=3,3,IF(BT105=4,2,IF(BT105=5,1)))))</f>
        <v>2</v>
      </c>
      <c r="BW105" s="312">
        <f t="shared" ref="BW105:BW108" si="193">SUM(BK105,BL105,BM105,BO105,BP105,BQ105,BR105,BS105,BT105,BV105)</f>
        <v>20</v>
      </c>
      <c r="BX105" s="392" t="str">
        <f t="shared" si="169"/>
        <v>NO HAY FATIGA</v>
      </c>
      <c r="BY105" s="404">
        <v>6.0</v>
      </c>
      <c r="BZ105" s="404">
        <v>1.0</v>
      </c>
      <c r="CA105" s="383">
        <v>0.0</v>
      </c>
      <c r="CB105" s="383">
        <v>0.0</v>
      </c>
      <c r="CC105" s="383">
        <v>0.0</v>
      </c>
      <c r="CD105" s="383">
        <v>0.0</v>
      </c>
      <c r="CE105" s="404">
        <v>7.0</v>
      </c>
      <c r="CF105" s="404">
        <v>0.0</v>
      </c>
      <c r="CG105" s="404">
        <v>30.0</v>
      </c>
      <c r="CH105" s="404">
        <v>1.0</v>
      </c>
      <c r="CI105" s="383">
        <v>0.0</v>
      </c>
      <c r="CJ105" s="312">
        <f t="shared" si="170"/>
        <v>3573</v>
      </c>
      <c r="CK105" s="391">
        <f t="shared" si="171"/>
        <v>13</v>
      </c>
      <c r="CL105" s="391" t="b">
        <f t="shared" si="189"/>
        <v>0</v>
      </c>
      <c r="CM105" s="391" t="str">
        <f t="shared" si="173"/>
        <v>Nivel de actividad física moderado</v>
      </c>
      <c r="CN105" s="393" t="str">
        <f t="shared" si="11"/>
        <v>Nivel de actividad física moderado</v>
      </c>
      <c r="CO105" s="404">
        <v>3.0</v>
      </c>
      <c r="CP105" s="404">
        <v>30.0</v>
      </c>
      <c r="CQ105" s="394">
        <f t="shared" si="174"/>
        <v>1</v>
      </c>
      <c r="CR105" s="404">
        <v>12.0</v>
      </c>
      <c r="CS105" s="404">
        <v>0.0</v>
      </c>
      <c r="CT105" s="404">
        <v>9.0</v>
      </c>
      <c r="CU105" s="404">
        <v>8.0</v>
      </c>
      <c r="CV105" s="404">
        <v>2.0</v>
      </c>
      <c r="CW105" s="409">
        <v>3.0</v>
      </c>
      <c r="CX105" s="404">
        <v>3.0</v>
      </c>
      <c r="CY105" s="409">
        <v>0.0</v>
      </c>
      <c r="CZ105" s="409">
        <v>0.0</v>
      </c>
      <c r="DA105" s="409">
        <v>0.0</v>
      </c>
      <c r="DB105" s="404">
        <v>0.0</v>
      </c>
      <c r="DC105" s="409">
        <v>0.0</v>
      </c>
      <c r="DD105" s="409">
        <v>0.0</v>
      </c>
      <c r="DE105" s="409">
        <v>0.0</v>
      </c>
      <c r="DF105" s="420"/>
      <c r="DG105" s="312">
        <f t="shared" si="39"/>
        <v>6</v>
      </c>
      <c r="DH105" s="404">
        <v>0.0</v>
      </c>
      <c r="DI105" s="409">
        <v>0.0</v>
      </c>
      <c r="DJ105" s="404">
        <v>2.0</v>
      </c>
      <c r="DK105" s="404">
        <v>1.0</v>
      </c>
      <c r="DL105" s="312">
        <f t="shared" si="175"/>
        <v>88.88888889</v>
      </c>
      <c r="DM105" s="312">
        <f t="shared" si="176"/>
        <v>0</v>
      </c>
      <c r="DN105" s="312">
        <f t="shared" si="177"/>
        <v>1</v>
      </c>
      <c r="DO105" s="312">
        <f t="shared" si="178"/>
        <v>2</v>
      </c>
      <c r="DP105" s="312">
        <f t="shared" si="179"/>
        <v>2</v>
      </c>
      <c r="DQ105" s="312">
        <f t="shared" si="180"/>
        <v>0</v>
      </c>
      <c r="DR105" s="312">
        <f t="shared" ref="DR105:DS105" si="190">(DH105)</f>
        <v>0</v>
      </c>
      <c r="DS105" s="312">
        <f t="shared" si="190"/>
        <v>0</v>
      </c>
      <c r="DT105" s="395">
        <f t="shared" si="182"/>
        <v>5</v>
      </c>
      <c r="DU105" s="396" t="str">
        <f t="shared" si="183"/>
        <v>good sleep quality</v>
      </c>
      <c r="DV105" s="415">
        <v>0.0</v>
      </c>
      <c r="DW105" s="398"/>
      <c r="DX105" s="398" t="s">
        <v>146</v>
      </c>
      <c r="DY105" s="415">
        <v>2.0</v>
      </c>
      <c r="DZ105" s="398" t="s">
        <v>131</v>
      </c>
      <c r="EA105" s="416" t="s">
        <v>178</v>
      </c>
      <c r="EB105" s="389"/>
      <c r="EC105" s="416" t="s">
        <v>222</v>
      </c>
      <c r="ED105" s="411" t="s">
        <v>131</v>
      </c>
      <c r="EE105" s="398" t="s">
        <v>132</v>
      </c>
      <c r="EF105" s="416" t="s">
        <v>235</v>
      </c>
      <c r="EG105" s="397">
        <f t="shared" si="134"/>
        <v>1573</v>
      </c>
      <c r="EH105" s="397">
        <f t="shared" si="124"/>
        <v>1300</v>
      </c>
      <c r="EI105" s="383">
        <f t="shared" si="153"/>
        <v>24.61810377</v>
      </c>
    </row>
    <row r="106" ht="15.75" customHeight="1">
      <c r="A106" s="279" t="s">
        <v>604</v>
      </c>
      <c r="B106" s="423" t="s">
        <v>129</v>
      </c>
      <c r="C106" s="281">
        <v>45556.0</v>
      </c>
      <c r="D106" s="435">
        <v>52.0</v>
      </c>
      <c r="E106" s="406" t="s">
        <v>130</v>
      </c>
      <c r="F106" s="404">
        <v>170.0</v>
      </c>
      <c r="G106" s="436">
        <v>65.0</v>
      </c>
      <c r="H106" s="440" t="s">
        <v>131</v>
      </c>
      <c r="I106" s="404">
        <v>4.0</v>
      </c>
      <c r="J106" s="437">
        <v>44735.0</v>
      </c>
      <c r="K106" s="406" t="s">
        <v>131</v>
      </c>
      <c r="L106" s="404">
        <v>1.0</v>
      </c>
      <c r="M106" s="437">
        <v>44409.0</v>
      </c>
      <c r="N106" s="407">
        <v>1.0</v>
      </c>
      <c r="O106" s="425">
        <v>44921.0</v>
      </c>
      <c r="P106" s="406" t="s">
        <v>132</v>
      </c>
      <c r="Q106" s="439"/>
      <c r="R106" s="439"/>
      <c r="S106" s="426"/>
      <c r="T106" s="426"/>
      <c r="U106" s="426"/>
      <c r="V106" s="285" t="str">
        <f t="shared" si="97"/>
        <v>Paciente ambulatorio</v>
      </c>
      <c r="W106" s="381" t="s">
        <v>143</v>
      </c>
      <c r="X106" s="406" t="s">
        <v>132</v>
      </c>
      <c r="Y106" s="404">
        <v>3.0</v>
      </c>
      <c r="Z106" s="404">
        <v>2.0</v>
      </c>
      <c r="AA106" s="404">
        <v>1.0</v>
      </c>
      <c r="AB106" s="404">
        <v>3.0</v>
      </c>
      <c r="AC106" s="404">
        <v>3.0</v>
      </c>
      <c r="AD106" s="404">
        <v>3.0</v>
      </c>
      <c r="AE106" s="404">
        <v>3.0</v>
      </c>
      <c r="AF106" s="404">
        <v>3.0</v>
      </c>
      <c r="AG106" s="407">
        <v>3.0</v>
      </c>
      <c r="AH106" s="404">
        <v>3.0</v>
      </c>
      <c r="AI106" s="404">
        <v>3.0</v>
      </c>
      <c r="AJ106" s="404">
        <v>3.0</v>
      </c>
      <c r="AK106" s="427"/>
      <c r="AL106" s="384" t="s">
        <v>132</v>
      </c>
      <c r="AM106" s="280" t="s">
        <v>132</v>
      </c>
      <c r="AN106" s="280" t="s">
        <v>132</v>
      </c>
      <c r="AO106" s="280" t="s">
        <v>132</v>
      </c>
      <c r="AP106" s="280" t="s">
        <v>132</v>
      </c>
      <c r="AQ106" s="280" t="s">
        <v>132</v>
      </c>
      <c r="AR106" s="280" t="s">
        <v>132</v>
      </c>
      <c r="AS106" s="280" t="s">
        <v>132</v>
      </c>
      <c r="AT106" s="280" t="s">
        <v>132</v>
      </c>
      <c r="AU106" s="280" t="s">
        <v>132</v>
      </c>
      <c r="AV106" s="381" t="s">
        <v>131</v>
      </c>
      <c r="AW106" s="411" t="s">
        <v>605</v>
      </c>
      <c r="AX106" s="381" t="s">
        <v>132</v>
      </c>
      <c r="AY106" s="389"/>
      <c r="AZ106" s="389"/>
      <c r="BA106" s="383"/>
      <c r="BB106" s="381" t="s">
        <v>192</v>
      </c>
      <c r="BC106" s="412">
        <v>2.0</v>
      </c>
      <c r="BD106" s="390">
        <v>1.0</v>
      </c>
      <c r="BE106" s="404">
        <v>1.0</v>
      </c>
      <c r="BF106" s="404">
        <v>1.0</v>
      </c>
      <c r="BG106" s="404">
        <v>1.0</v>
      </c>
      <c r="BH106" s="404">
        <v>2.0</v>
      </c>
      <c r="BI106" s="391" t="str">
        <f t="shared" si="3"/>
        <v>11112</v>
      </c>
      <c r="BJ106" s="404">
        <v>75.0</v>
      </c>
      <c r="BK106" s="404">
        <v>2.0</v>
      </c>
      <c r="BL106" s="409">
        <v>2.0</v>
      </c>
      <c r="BM106" s="404">
        <v>2.0</v>
      </c>
      <c r="BN106" s="404">
        <v>4.0</v>
      </c>
      <c r="BO106" s="409">
        <v>2.0</v>
      </c>
      <c r="BP106" s="404">
        <v>2.0</v>
      </c>
      <c r="BQ106" s="409">
        <v>1.0</v>
      </c>
      <c r="BR106" s="404">
        <v>1.0</v>
      </c>
      <c r="BS106" s="404">
        <v>2.0</v>
      </c>
      <c r="BT106" s="404">
        <v>4.0</v>
      </c>
      <c r="BU106" s="312">
        <f t="shared" si="191"/>
        <v>2</v>
      </c>
      <c r="BV106" s="312">
        <f t="shared" si="192"/>
        <v>2</v>
      </c>
      <c r="BW106" s="312">
        <f t="shared" si="193"/>
        <v>20</v>
      </c>
      <c r="BX106" s="392" t="str">
        <f t="shared" si="169"/>
        <v>NO HAY FATIGA</v>
      </c>
      <c r="BY106" s="383">
        <v>0.0</v>
      </c>
      <c r="BZ106" s="383">
        <v>0.0</v>
      </c>
      <c r="CA106" s="383">
        <v>0.0</v>
      </c>
      <c r="CB106" s="383">
        <v>0.0</v>
      </c>
      <c r="CC106" s="383">
        <v>0.0</v>
      </c>
      <c r="CD106" s="383">
        <v>0.0</v>
      </c>
      <c r="CE106" s="404">
        <v>7.0</v>
      </c>
      <c r="CF106" s="383">
        <v>1.0</v>
      </c>
      <c r="CG106" s="383">
        <v>0.0</v>
      </c>
      <c r="CH106" s="383">
        <v>4.0</v>
      </c>
      <c r="CI106" s="383">
        <v>0.0</v>
      </c>
      <c r="CJ106" s="312">
        <f t="shared" si="170"/>
        <v>1386</v>
      </c>
      <c r="CK106" s="391">
        <f t="shared" si="171"/>
        <v>7</v>
      </c>
      <c r="CL106" s="391" t="str">
        <f>IF(CJ105&gt;3000,IF(CK105&gt;6,"Nivel de actividad física alto"),IF(CJ105&gt;1500,IF(BY105&gt;2,"Nivel de actividad física alto")))</f>
        <v>Nivel de actividad física alto</v>
      </c>
      <c r="CM106" s="391" t="str">
        <f t="shared" si="173"/>
        <v>Nivel de actividad física moderado</v>
      </c>
      <c r="CN106" s="393" t="str">
        <f t="shared" si="11"/>
        <v>Nivel de actividad física alto</v>
      </c>
      <c r="CO106" s="414">
        <v>0.9375</v>
      </c>
      <c r="CP106" s="404">
        <v>5.0</v>
      </c>
      <c r="CQ106" s="394">
        <f t="shared" si="174"/>
        <v>0</v>
      </c>
      <c r="CR106" s="404">
        <v>6.0</v>
      </c>
      <c r="CS106" s="404">
        <v>7.0</v>
      </c>
      <c r="CT106" s="404">
        <v>7.5</v>
      </c>
      <c r="CU106" s="404">
        <v>7.0</v>
      </c>
      <c r="CV106" s="404">
        <v>0.0</v>
      </c>
      <c r="CW106" s="404">
        <v>2.0</v>
      </c>
      <c r="CX106" s="404">
        <v>2.0</v>
      </c>
      <c r="CY106" s="409">
        <v>3.0</v>
      </c>
      <c r="CZ106" s="409">
        <v>0.0</v>
      </c>
      <c r="DA106" s="404">
        <v>0.0</v>
      </c>
      <c r="DB106" s="409">
        <v>3.0</v>
      </c>
      <c r="DC106" s="404">
        <v>0.0</v>
      </c>
      <c r="DD106" s="409">
        <v>0.0</v>
      </c>
      <c r="DE106" s="411">
        <v>3.0</v>
      </c>
      <c r="DF106" s="411" t="s">
        <v>244</v>
      </c>
      <c r="DG106" s="312">
        <f t="shared" si="39"/>
        <v>13</v>
      </c>
      <c r="DH106" s="409">
        <v>2.0</v>
      </c>
      <c r="DI106" s="409">
        <v>0.0</v>
      </c>
      <c r="DJ106" s="404">
        <v>0.0</v>
      </c>
      <c r="DK106" s="404">
        <v>0.0</v>
      </c>
      <c r="DL106" s="312">
        <f t="shared" si="175"/>
        <v>93.33333333</v>
      </c>
      <c r="DM106" s="312">
        <f t="shared" si="176"/>
        <v>0</v>
      </c>
      <c r="DN106" s="312">
        <f t="shared" si="177"/>
        <v>2</v>
      </c>
      <c r="DO106" s="312">
        <f t="shared" si="178"/>
        <v>0</v>
      </c>
      <c r="DP106" s="312">
        <f t="shared" si="179"/>
        <v>0</v>
      </c>
      <c r="DQ106" s="312">
        <f t="shared" si="180"/>
        <v>0</v>
      </c>
      <c r="DR106" s="312">
        <f t="shared" ref="DR106:DS106" si="194">(DH106)</f>
        <v>2</v>
      </c>
      <c r="DS106" s="312">
        <f t="shared" si="194"/>
        <v>0</v>
      </c>
      <c r="DT106" s="395">
        <f t="shared" si="182"/>
        <v>4</v>
      </c>
      <c r="DU106" s="396" t="str">
        <f t="shared" si="183"/>
        <v>good sleep quality</v>
      </c>
      <c r="DV106" s="415">
        <v>3.0</v>
      </c>
      <c r="DW106" s="398" t="s">
        <v>149</v>
      </c>
      <c r="DX106" s="398" t="s">
        <v>146</v>
      </c>
      <c r="DY106" s="415">
        <v>2.0</v>
      </c>
      <c r="DZ106" s="398" t="s">
        <v>131</v>
      </c>
      <c r="EA106" s="398" t="s">
        <v>147</v>
      </c>
      <c r="EB106" s="389"/>
      <c r="EC106" s="416" t="s">
        <v>139</v>
      </c>
      <c r="ED106" s="411" t="s">
        <v>131</v>
      </c>
      <c r="EE106" s="411" t="s">
        <v>131</v>
      </c>
      <c r="EF106" s="416" t="s">
        <v>203</v>
      </c>
      <c r="EG106" s="397">
        <f t="shared" si="134"/>
        <v>1147</v>
      </c>
      <c r="EH106" s="397">
        <f t="shared" si="124"/>
        <v>635</v>
      </c>
      <c r="EI106" s="383">
        <f t="shared" si="153"/>
        <v>22.49134948</v>
      </c>
    </row>
    <row r="107" ht="15.75" customHeight="1">
      <c r="A107" s="279" t="s">
        <v>607</v>
      </c>
      <c r="B107" s="423" t="s">
        <v>129</v>
      </c>
      <c r="C107" s="281">
        <v>45556.0</v>
      </c>
      <c r="D107" s="441">
        <v>47.0</v>
      </c>
      <c r="E107" s="381" t="s">
        <v>153</v>
      </c>
      <c r="F107" s="404">
        <v>163.0</v>
      </c>
      <c r="G107" s="442">
        <v>67.0</v>
      </c>
      <c r="H107" s="406" t="s">
        <v>131</v>
      </c>
      <c r="I107" s="404">
        <v>5.0</v>
      </c>
      <c r="J107" s="443">
        <v>44914.0</v>
      </c>
      <c r="K107" s="406" t="s">
        <v>131</v>
      </c>
      <c r="L107" s="407">
        <v>1.0</v>
      </c>
      <c r="M107" s="437">
        <v>44562.0</v>
      </c>
      <c r="N107" s="404">
        <v>2.0</v>
      </c>
      <c r="O107" s="444">
        <v>44013.0</v>
      </c>
      <c r="P107" s="406" t="s">
        <v>132</v>
      </c>
      <c r="Q107" s="439"/>
      <c r="R107" s="439"/>
      <c r="S107" s="426"/>
      <c r="T107" s="426"/>
      <c r="U107" s="426"/>
      <c r="V107" s="285" t="str">
        <f t="shared" si="97"/>
        <v>Paciente ambulatorio</v>
      </c>
      <c r="W107" s="406" t="s">
        <v>183</v>
      </c>
      <c r="X107" s="406" t="s">
        <v>132</v>
      </c>
      <c r="Y107" s="407">
        <v>3.0</v>
      </c>
      <c r="Z107" s="407">
        <v>1.0</v>
      </c>
      <c r="AA107" s="407">
        <v>3.0</v>
      </c>
      <c r="AB107" s="407">
        <v>3.0</v>
      </c>
      <c r="AC107" s="404">
        <v>2.0</v>
      </c>
      <c r="AD107" s="404">
        <v>2.0</v>
      </c>
      <c r="AE107" s="404">
        <v>2.0</v>
      </c>
      <c r="AF107" s="404">
        <v>3.0</v>
      </c>
      <c r="AG107" s="407">
        <v>3.0</v>
      </c>
      <c r="AH107" s="404">
        <v>3.0</v>
      </c>
      <c r="AI107" s="407">
        <v>3.0</v>
      </c>
      <c r="AJ107" s="404">
        <v>3.0</v>
      </c>
      <c r="AK107" s="412" t="s">
        <v>608</v>
      </c>
      <c r="AL107" s="384" t="s">
        <v>132</v>
      </c>
      <c r="AM107" s="280" t="s">
        <v>132</v>
      </c>
      <c r="AN107" s="280" t="s">
        <v>132</v>
      </c>
      <c r="AO107" s="280" t="s">
        <v>132</v>
      </c>
      <c r="AP107" s="280" t="s">
        <v>132</v>
      </c>
      <c r="AQ107" s="280" t="s">
        <v>132</v>
      </c>
      <c r="AR107" s="280" t="s">
        <v>132</v>
      </c>
      <c r="AS107" s="280" t="s">
        <v>132</v>
      </c>
      <c r="AT107" s="280" t="s">
        <v>132</v>
      </c>
      <c r="AU107" s="280" t="s">
        <v>132</v>
      </c>
      <c r="AV107" s="381" t="s">
        <v>132</v>
      </c>
      <c r="AW107" s="389"/>
      <c r="AX107" s="381" t="s">
        <v>132</v>
      </c>
      <c r="AY107" s="383"/>
      <c r="AZ107" s="383"/>
      <c r="BA107" s="389"/>
      <c r="BB107" s="381" t="s">
        <v>192</v>
      </c>
      <c r="BC107" s="436">
        <v>2.0</v>
      </c>
      <c r="BD107" s="413">
        <v>1.0</v>
      </c>
      <c r="BE107" s="404">
        <v>1.0</v>
      </c>
      <c r="BF107" s="404">
        <v>1.0</v>
      </c>
      <c r="BG107" s="404">
        <v>2.0</v>
      </c>
      <c r="BH107" s="404">
        <v>2.0</v>
      </c>
      <c r="BI107" s="391" t="str">
        <f t="shared" si="3"/>
        <v>11122</v>
      </c>
      <c r="BJ107" s="404">
        <v>72.0</v>
      </c>
      <c r="BK107" s="404">
        <v>3.0</v>
      </c>
      <c r="BL107" s="404">
        <v>2.0</v>
      </c>
      <c r="BM107" s="409">
        <v>2.0</v>
      </c>
      <c r="BN107" s="404">
        <v>5.0</v>
      </c>
      <c r="BO107" s="404">
        <v>3.0</v>
      </c>
      <c r="BP107" s="404">
        <v>2.0</v>
      </c>
      <c r="BQ107" s="409">
        <v>2.0</v>
      </c>
      <c r="BR107" s="409">
        <v>2.0</v>
      </c>
      <c r="BS107" s="404">
        <v>2.0</v>
      </c>
      <c r="BT107" s="404">
        <v>4.0</v>
      </c>
      <c r="BU107" s="312">
        <f t="shared" si="191"/>
        <v>1</v>
      </c>
      <c r="BV107" s="312">
        <f t="shared" si="192"/>
        <v>2</v>
      </c>
      <c r="BW107" s="312">
        <f t="shared" si="193"/>
        <v>24</v>
      </c>
      <c r="BX107" s="392" t="str">
        <f t="shared" si="169"/>
        <v>FATIGA</v>
      </c>
      <c r="BY107" s="404">
        <v>2.0</v>
      </c>
      <c r="BZ107" s="404">
        <v>1.0</v>
      </c>
      <c r="CA107" s="404">
        <v>30.0</v>
      </c>
      <c r="CB107" s="404">
        <v>1.0</v>
      </c>
      <c r="CC107" s="404">
        <v>1.0</v>
      </c>
      <c r="CD107" s="383">
        <v>0.0</v>
      </c>
      <c r="CE107" s="404">
        <v>1.0</v>
      </c>
      <c r="CF107" s="383">
        <v>0.0</v>
      </c>
      <c r="CG107" s="404">
        <v>10.0</v>
      </c>
      <c r="CH107" s="404">
        <v>10.0</v>
      </c>
      <c r="CI107" s="404">
        <v>0.0</v>
      </c>
      <c r="CJ107" s="312">
        <f t="shared" si="170"/>
        <v>1713</v>
      </c>
      <c r="CK107" s="391">
        <f t="shared" si="171"/>
        <v>4</v>
      </c>
      <c r="CL107" s="391" t="str">
        <f>IF(CJ108&gt;3000,IF(CK108&gt;6,"Nivel de actividad física alto"),IF(CJ108&gt;1500,IF(BY108&gt;2,"Nivel de actividad física alto")))</f>
        <v>Nivel de actividad física alto</v>
      </c>
      <c r="CM107" s="391" t="b">
        <f t="shared" si="173"/>
        <v>0</v>
      </c>
      <c r="CN107" s="393" t="str">
        <f t="shared" si="11"/>
        <v>Nivel de actividad física alto</v>
      </c>
      <c r="CO107" s="414">
        <v>0.9791666666666666</v>
      </c>
      <c r="CP107" s="404">
        <v>30.0</v>
      </c>
      <c r="CQ107" s="394">
        <f t="shared" si="174"/>
        <v>1</v>
      </c>
      <c r="CR107" s="409">
        <v>6.0</v>
      </c>
      <c r="CS107" s="404">
        <v>30.0</v>
      </c>
      <c r="CT107" s="404">
        <v>7.0</v>
      </c>
      <c r="CU107" s="404">
        <v>4.0</v>
      </c>
      <c r="CV107" s="409">
        <v>2.0</v>
      </c>
      <c r="CW107" s="409">
        <v>3.0</v>
      </c>
      <c r="CX107" s="409">
        <v>3.0</v>
      </c>
      <c r="CY107" s="404">
        <v>2.0</v>
      </c>
      <c r="CZ107" s="404">
        <v>1.0</v>
      </c>
      <c r="DA107" s="404">
        <v>1.0</v>
      </c>
      <c r="DB107" s="404">
        <v>2.0</v>
      </c>
      <c r="DC107" s="404">
        <v>0.0</v>
      </c>
      <c r="DD107" s="404">
        <v>0.0</v>
      </c>
      <c r="DE107" s="411">
        <v>0.0</v>
      </c>
      <c r="DF107" s="420"/>
      <c r="DG107" s="312">
        <f t="shared" si="39"/>
        <v>12</v>
      </c>
      <c r="DH107" s="409">
        <v>2.0</v>
      </c>
      <c r="DI107" s="409">
        <v>0.0</v>
      </c>
      <c r="DJ107" s="404">
        <v>3.0</v>
      </c>
      <c r="DK107" s="404">
        <v>1.0</v>
      </c>
      <c r="DL107" s="312">
        <f t="shared" si="175"/>
        <v>57.14285714</v>
      </c>
      <c r="DM107" s="312">
        <f t="shared" si="176"/>
        <v>3</v>
      </c>
      <c r="DN107" s="312">
        <f t="shared" si="177"/>
        <v>2</v>
      </c>
      <c r="DO107" s="312">
        <f t="shared" si="178"/>
        <v>2</v>
      </c>
      <c r="DP107" s="312">
        <f t="shared" si="179"/>
        <v>2</v>
      </c>
      <c r="DQ107" s="312">
        <f t="shared" si="180"/>
        <v>3</v>
      </c>
      <c r="DR107" s="312">
        <f t="shared" ref="DR107:DS107" si="195">(DH107)</f>
        <v>2</v>
      </c>
      <c r="DS107" s="312">
        <f t="shared" si="195"/>
        <v>0</v>
      </c>
      <c r="DT107" s="395">
        <f t="shared" si="182"/>
        <v>14</v>
      </c>
      <c r="DU107" s="396" t="str">
        <f t="shared" si="183"/>
        <v>poor sleep quality</v>
      </c>
      <c r="DV107" s="415">
        <v>2.0</v>
      </c>
      <c r="DW107" s="398" t="s">
        <v>149</v>
      </c>
      <c r="DX107" s="398" t="s">
        <v>146</v>
      </c>
      <c r="DY107" s="415" t="s">
        <v>156</v>
      </c>
      <c r="DZ107" s="398" t="s">
        <v>131</v>
      </c>
      <c r="EA107" s="416" t="s">
        <v>167</v>
      </c>
      <c r="EB107" s="389"/>
      <c r="EC107" s="398" t="s">
        <v>172</v>
      </c>
      <c r="ED107" s="411" t="s">
        <v>140</v>
      </c>
      <c r="EE107" s="411" t="s">
        <v>131</v>
      </c>
      <c r="EF107" s="416" t="s">
        <v>141</v>
      </c>
      <c r="EG107" s="397">
        <f t="shared" si="134"/>
        <v>994</v>
      </c>
      <c r="EH107" s="397">
        <f t="shared" si="124"/>
        <v>1543</v>
      </c>
      <c r="EI107" s="383">
        <f t="shared" si="153"/>
        <v>25.21735858</v>
      </c>
    </row>
    <row r="108" ht="15.75" customHeight="1">
      <c r="A108" s="279" t="s">
        <v>609</v>
      </c>
      <c r="B108" s="423" t="s">
        <v>129</v>
      </c>
      <c r="C108" s="281">
        <v>45556.0</v>
      </c>
      <c r="D108" s="445">
        <v>69.0</v>
      </c>
      <c r="E108" s="381" t="s">
        <v>153</v>
      </c>
      <c r="F108" s="423">
        <v>170.0</v>
      </c>
      <c r="G108" s="446">
        <v>78.0</v>
      </c>
      <c r="H108" s="406" t="s">
        <v>131</v>
      </c>
      <c r="I108" s="423">
        <v>5.0</v>
      </c>
      <c r="J108" s="447">
        <v>45171.0</v>
      </c>
      <c r="K108" s="381" t="s">
        <v>132</v>
      </c>
      <c r="L108" s="311"/>
      <c r="M108" s="311"/>
      <c r="N108" s="311"/>
      <c r="O108" s="311"/>
      <c r="P108" s="311"/>
      <c r="Q108" s="311"/>
      <c r="R108" s="311"/>
      <c r="S108" s="311"/>
      <c r="T108" s="311"/>
      <c r="U108" s="311"/>
      <c r="V108" s="285" t="str">
        <f t="shared" si="97"/>
        <v>No infectado</v>
      </c>
      <c r="W108" s="311"/>
      <c r="X108" s="311"/>
      <c r="Y108" s="311"/>
      <c r="Z108" s="311"/>
      <c r="AA108" s="311"/>
      <c r="AB108" s="311"/>
      <c r="AC108" s="311"/>
      <c r="AD108" s="311"/>
      <c r="AE108" s="311"/>
      <c r="AF108" s="311"/>
      <c r="AG108" s="311"/>
      <c r="AH108" s="311"/>
      <c r="AI108" s="311"/>
      <c r="AJ108" s="311"/>
      <c r="AK108" s="311"/>
      <c r="AL108" s="422" t="s">
        <v>132</v>
      </c>
      <c r="AM108" s="280" t="s">
        <v>132</v>
      </c>
      <c r="AN108" s="280" t="s">
        <v>132</v>
      </c>
      <c r="AO108" s="280" t="s">
        <v>132</v>
      </c>
      <c r="AP108" s="280" t="s">
        <v>132</v>
      </c>
      <c r="AQ108" s="280" t="s">
        <v>132</v>
      </c>
      <c r="AR108" s="280" t="s">
        <v>132</v>
      </c>
      <c r="AS108" s="280" t="s">
        <v>132</v>
      </c>
      <c r="AT108" s="381" t="s">
        <v>131</v>
      </c>
      <c r="AU108" s="381" t="s">
        <v>131</v>
      </c>
      <c r="AV108" s="381" t="s">
        <v>132</v>
      </c>
      <c r="AW108" s="279"/>
      <c r="AX108" s="422" t="s">
        <v>131</v>
      </c>
      <c r="AY108" s="422">
        <v>5.0</v>
      </c>
      <c r="AZ108" s="422">
        <v>40.0</v>
      </c>
      <c r="BA108" s="279"/>
      <c r="BB108" s="422" t="s">
        <v>192</v>
      </c>
      <c r="BC108" s="430">
        <v>2.0</v>
      </c>
      <c r="BD108" s="429">
        <v>1.0</v>
      </c>
      <c r="BE108" s="422">
        <v>1.0</v>
      </c>
      <c r="BF108" s="422">
        <v>1.0</v>
      </c>
      <c r="BG108" s="422">
        <v>1.0</v>
      </c>
      <c r="BH108" s="422">
        <v>2.0</v>
      </c>
      <c r="BI108" s="287" t="str">
        <f t="shared" si="3"/>
        <v>11112</v>
      </c>
      <c r="BJ108" s="422">
        <v>95.0</v>
      </c>
      <c r="BK108" s="422">
        <v>1.0</v>
      </c>
      <c r="BL108" s="422">
        <v>1.0</v>
      </c>
      <c r="BM108" s="422">
        <v>2.0</v>
      </c>
      <c r="BN108" s="422">
        <v>5.0</v>
      </c>
      <c r="BO108" s="422">
        <v>1.0</v>
      </c>
      <c r="BP108" s="422">
        <v>1.0</v>
      </c>
      <c r="BQ108" s="422">
        <v>1.0</v>
      </c>
      <c r="BR108" s="422">
        <v>1.0</v>
      </c>
      <c r="BS108" s="422">
        <v>1.0</v>
      </c>
      <c r="BT108" s="422">
        <v>4.0</v>
      </c>
      <c r="BU108" s="288">
        <f>IF(BN108=1,5,IF(BN108=2,4,IF(BN108=3,3,IF(BN108=4,2,IF(BN108=5,1)))))</f>
        <v>1</v>
      </c>
      <c r="BV108" s="288">
        <f>IF(BT108=1,5,IF(BT108=2,4,IF(BT108=3,3,IF(BT108=4,2,IF(BT108=5,1)))))</f>
        <v>2</v>
      </c>
      <c r="BW108" s="288">
        <f t="shared" si="193"/>
        <v>15</v>
      </c>
      <c r="BX108" s="288" t="str">
        <f>IF(BW108&lt;22,"NO HAY FATIGA",IF(BW108&lt;35,"FATIGA","FATIGA EXTREMA"))</f>
        <v>NO HAY FATIGA</v>
      </c>
      <c r="BY108" s="422">
        <v>0.0</v>
      </c>
      <c r="BZ108" s="422">
        <v>0.0</v>
      </c>
      <c r="CA108" s="422">
        <v>0.0</v>
      </c>
      <c r="CB108" s="422">
        <v>7.0</v>
      </c>
      <c r="CC108" s="422">
        <v>4.0</v>
      </c>
      <c r="CD108" s="422">
        <v>0.0</v>
      </c>
      <c r="CE108" s="422">
        <v>4.0</v>
      </c>
      <c r="CF108" s="422">
        <v>1.0</v>
      </c>
      <c r="CG108" s="422">
        <v>0.0</v>
      </c>
      <c r="CH108" s="422">
        <v>7.0</v>
      </c>
      <c r="CI108" s="422">
        <v>0.0</v>
      </c>
      <c r="CJ108" s="312">
        <f t="shared" si="170"/>
        <v>7512</v>
      </c>
      <c r="CK108" s="391">
        <f t="shared" si="171"/>
        <v>11</v>
      </c>
      <c r="CL108" s="391" t="b">
        <f>IF(CJ111&gt;3000,IF(CK111&gt;6,"Nivel de actividad física alto"),IF(CJ111&gt;1500,IF(BY111&gt;2,"Nivel de actividad física alto")))</f>
        <v>0</v>
      </c>
      <c r="CM108" s="391" t="str">
        <f t="shared" si="173"/>
        <v>Nivel de actividad física moderado</v>
      </c>
      <c r="CN108" s="393" t="str">
        <f t="shared" si="11"/>
        <v>Nivel de actividad física moderado</v>
      </c>
      <c r="CO108" s="448">
        <v>0.0625</v>
      </c>
      <c r="CP108" s="422">
        <v>15.0</v>
      </c>
      <c r="CQ108" s="394">
        <f t="shared" si="174"/>
        <v>0</v>
      </c>
      <c r="CR108" s="422">
        <v>7.0</v>
      </c>
      <c r="CS108" s="422">
        <v>0.0</v>
      </c>
      <c r="CT108" s="422">
        <v>5.5</v>
      </c>
      <c r="CU108" s="422">
        <v>5.0</v>
      </c>
      <c r="CV108" s="422">
        <v>0.0</v>
      </c>
      <c r="CW108" s="422">
        <v>3.0</v>
      </c>
      <c r="CX108" s="422">
        <v>0.0</v>
      </c>
      <c r="CY108" s="422">
        <v>0.0</v>
      </c>
      <c r="CZ108" s="422">
        <v>0.0</v>
      </c>
      <c r="DA108" s="422">
        <v>0.0</v>
      </c>
      <c r="DB108" s="422">
        <v>0.0</v>
      </c>
      <c r="DC108" s="422">
        <v>0.0</v>
      </c>
      <c r="DD108" s="422">
        <v>0.0</v>
      </c>
      <c r="DE108" s="422">
        <v>0.0</v>
      </c>
      <c r="DF108" s="422"/>
      <c r="DG108" s="312">
        <f t="shared" si="39"/>
        <v>3</v>
      </c>
      <c r="DH108" s="422">
        <v>1.0</v>
      </c>
      <c r="DI108" s="422">
        <v>0.0</v>
      </c>
      <c r="DJ108" s="422">
        <v>2.0</v>
      </c>
      <c r="DK108" s="422">
        <v>0.0</v>
      </c>
      <c r="DL108" s="312">
        <f t="shared" si="175"/>
        <v>90.90909091</v>
      </c>
      <c r="DM108" s="312">
        <f t="shared" si="176"/>
        <v>2</v>
      </c>
      <c r="DN108" s="312">
        <f t="shared" si="177"/>
        <v>1</v>
      </c>
      <c r="DO108" s="312">
        <f t="shared" si="178"/>
        <v>0</v>
      </c>
      <c r="DP108" s="312">
        <f t="shared" si="179"/>
        <v>1</v>
      </c>
      <c r="DQ108" s="312">
        <f t="shared" si="180"/>
        <v>0</v>
      </c>
      <c r="DR108" s="312">
        <f t="shared" ref="DR108:DS108" si="196">(DH108)</f>
        <v>1</v>
      </c>
      <c r="DS108" s="312">
        <f t="shared" si="196"/>
        <v>0</v>
      </c>
      <c r="DT108" s="395">
        <f t="shared" si="182"/>
        <v>5</v>
      </c>
      <c r="DU108" s="396" t="str">
        <f t="shared" si="183"/>
        <v>good sleep quality</v>
      </c>
      <c r="DV108" s="431">
        <v>0.0</v>
      </c>
      <c r="DW108" s="292"/>
      <c r="DX108" s="431" t="s">
        <v>146</v>
      </c>
      <c r="DY108" s="431">
        <v>1.0</v>
      </c>
      <c r="DZ108" s="431" t="s">
        <v>131</v>
      </c>
      <c r="EA108" s="431" t="s">
        <v>167</v>
      </c>
      <c r="EB108" s="292"/>
      <c r="EC108" s="431" t="s">
        <v>261</v>
      </c>
      <c r="ED108" s="431" t="s">
        <v>131</v>
      </c>
      <c r="EE108" s="431" t="s">
        <v>235</v>
      </c>
      <c r="EF108" s="431" t="s">
        <v>235</v>
      </c>
      <c r="EG108" s="432">
        <f t="shared" si="134"/>
        <v>45556</v>
      </c>
      <c r="EH108" s="432">
        <f t="shared" si="124"/>
        <v>45556</v>
      </c>
      <c r="EI108" s="383">
        <f t="shared" si="153"/>
        <v>26.98961938</v>
      </c>
    </row>
    <row r="109" ht="15.75" customHeight="1">
      <c r="A109" s="132" t="s">
        <v>610</v>
      </c>
      <c r="B109" s="134" t="s">
        <v>175</v>
      </c>
      <c r="C109" s="316">
        <v>45563.0</v>
      </c>
      <c r="D109" s="141">
        <v>55.0</v>
      </c>
      <c r="E109" s="122" t="s">
        <v>130</v>
      </c>
      <c r="F109" s="134">
        <v>158.0</v>
      </c>
      <c r="G109" s="143">
        <v>70.0</v>
      </c>
      <c r="H109" s="122" t="s">
        <v>131</v>
      </c>
      <c r="I109" s="134">
        <v>5.0</v>
      </c>
      <c r="J109" s="349"/>
      <c r="K109" s="122" t="s">
        <v>131</v>
      </c>
      <c r="L109" s="134">
        <v>2.0</v>
      </c>
      <c r="M109" s="351">
        <v>44682.0</v>
      </c>
      <c r="O109" s="351">
        <v>45323.0</v>
      </c>
      <c r="P109" s="104" t="s">
        <v>132</v>
      </c>
      <c r="V109" s="121" t="str">
        <f t="shared" si="97"/>
        <v>Paciente ambulatorio</v>
      </c>
      <c r="W109" s="122" t="s">
        <v>176</v>
      </c>
      <c r="X109" s="122" t="s">
        <v>132</v>
      </c>
      <c r="Y109" s="145">
        <v>1.0</v>
      </c>
      <c r="Z109" s="145">
        <v>1.0</v>
      </c>
      <c r="AA109" s="145">
        <v>3.0</v>
      </c>
      <c r="AB109" s="145">
        <v>3.0</v>
      </c>
      <c r="AC109" s="145">
        <v>3.0</v>
      </c>
      <c r="AD109" s="145">
        <v>2.0</v>
      </c>
      <c r="AE109" s="145">
        <v>2.0</v>
      </c>
      <c r="AF109" s="145">
        <v>1.0</v>
      </c>
      <c r="AG109" s="145">
        <v>1.0</v>
      </c>
      <c r="AH109" s="145">
        <v>3.0</v>
      </c>
      <c r="AI109" s="145">
        <v>1.0</v>
      </c>
      <c r="AJ109" s="145">
        <v>1.0</v>
      </c>
      <c r="AK109" s="449" t="s">
        <v>611</v>
      </c>
      <c r="AL109" s="134" t="s">
        <v>132</v>
      </c>
      <c r="AM109" s="134" t="s">
        <v>132</v>
      </c>
      <c r="AN109" s="134" t="s">
        <v>132</v>
      </c>
      <c r="AO109" s="134" t="s">
        <v>132</v>
      </c>
      <c r="AP109" s="134" t="s">
        <v>132</v>
      </c>
      <c r="AQ109" s="134" t="s">
        <v>132</v>
      </c>
      <c r="AR109" s="134" t="s">
        <v>132</v>
      </c>
      <c r="AS109" s="134" t="s">
        <v>132</v>
      </c>
      <c r="AT109" s="134" t="s">
        <v>132</v>
      </c>
      <c r="AU109" s="134" t="s">
        <v>132</v>
      </c>
      <c r="AV109" s="134" t="s">
        <v>132</v>
      </c>
      <c r="AW109" s="327"/>
      <c r="AX109" s="134" t="s">
        <v>132</v>
      </c>
      <c r="AY109" s="327"/>
      <c r="AZ109" s="327"/>
      <c r="BA109" s="327"/>
      <c r="BB109" s="122" t="s">
        <v>145</v>
      </c>
      <c r="BC109" s="327"/>
      <c r="BD109" s="134">
        <v>2.0</v>
      </c>
      <c r="BE109" s="134">
        <v>1.0</v>
      </c>
      <c r="BF109" s="134">
        <v>4.0</v>
      </c>
      <c r="BG109" s="134">
        <v>3.0</v>
      </c>
      <c r="BH109" s="134">
        <v>2.0</v>
      </c>
      <c r="BI109" s="301" t="str">
        <f t="shared" si="3"/>
        <v>21432</v>
      </c>
      <c r="BJ109" s="134">
        <v>50.0</v>
      </c>
      <c r="BK109" s="134">
        <v>2.0</v>
      </c>
      <c r="BL109" s="134">
        <v>4.0</v>
      </c>
      <c r="BM109" s="134">
        <v>4.0</v>
      </c>
      <c r="BN109" s="134">
        <v>2.0</v>
      </c>
      <c r="BO109" s="134">
        <v>4.0</v>
      </c>
      <c r="BP109" s="134">
        <v>4.0</v>
      </c>
      <c r="BQ109" s="134">
        <v>5.0</v>
      </c>
      <c r="BR109" s="134">
        <v>5.0</v>
      </c>
      <c r="BS109" s="134">
        <v>5.0</v>
      </c>
      <c r="BT109" s="134">
        <v>1.0</v>
      </c>
      <c r="BY109" s="134">
        <v>0.0</v>
      </c>
      <c r="BZ109" s="134">
        <v>0.0</v>
      </c>
      <c r="CA109" s="134">
        <v>0.0</v>
      </c>
      <c r="CB109" s="134">
        <v>1.0</v>
      </c>
      <c r="CC109" s="134">
        <v>1.0</v>
      </c>
      <c r="CD109" s="134">
        <v>30.0</v>
      </c>
      <c r="CE109" s="134">
        <v>5.0</v>
      </c>
      <c r="CF109" s="134">
        <v>0.0</v>
      </c>
      <c r="CG109" s="134">
        <v>20.0</v>
      </c>
      <c r="CH109" s="134">
        <v>5.0</v>
      </c>
      <c r="CI109" s="327"/>
      <c r="CO109" s="348">
        <v>0.020833333333333332</v>
      </c>
      <c r="CP109" s="134">
        <v>10.0</v>
      </c>
      <c r="CR109" s="134">
        <v>9.0</v>
      </c>
      <c r="CS109" s="134">
        <v>0.0</v>
      </c>
      <c r="CT109" s="327"/>
      <c r="CU109" s="134">
        <v>7.0</v>
      </c>
      <c r="CV109" s="134">
        <v>1.0</v>
      </c>
      <c r="CW109" s="134">
        <v>3.0</v>
      </c>
      <c r="CX109" s="134">
        <v>3.0</v>
      </c>
      <c r="CY109" s="134">
        <v>0.0</v>
      </c>
      <c r="CZ109" s="134">
        <v>1.0</v>
      </c>
      <c r="DA109" s="134">
        <v>3.0</v>
      </c>
      <c r="DB109" s="134">
        <v>3.0</v>
      </c>
      <c r="DC109" s="134">
        <v>0.0</v>
      </c>
      <c r="DD109" s="134">
        <v>2.0</v>
      </c>
      <c r="DE109" s="134">
        <v>3.0</v>
      </c>
      <c r="DF109" s="327"/>
      <c r="DH109" s="145">
        <v>1.0</v>
      </c>
      <c r="DI109" s="145">
        <v>0.0</v>
      </c>
      <c r="DJ109" s="145">
        <v>3.0</v>
      </c>
      <c r="DK109" s="145">
        <v>3.0</v>
      </c>
      <c r="DL109" s="303" t="str">
        <f t="shared" si="175"/>
        <v>#DIV/0!</v>
      </c>
      <c r="DM109" s="303">
        <f t="shared" si="176"/>
        <v>0</v>
      </c>
      <c r="DN109" s="303">
        <f t="shared" si="177"/>
        <v>0</v>
      </c>
      <c r="DO109" s="303">
        <f t="shared" si="178"/>
        <v>1</v>
      </c>
      <c r="DP109" s="303">
        <f t="shared" si="179"/>
        <v>3</v>
      </c>
      <c r="DQ109" s="303" t="str">
        <f t="shared" si="180"/>
        <v>#DIV/0!</v>
      </c>
      <c r="DR109" s="303">
        <f t="shared" ref="DR109:DS109" si="197">(DH109)</f>
        <v>1</v>
      </c>
      <c r="DS109" s="303">
        <f t="shared" si="197"/>
        <v>0</v>
      </c>
      <c r="DT109" s="366" t="str">
        <f t="shared" si="182"/>
        <v>#DIV/0!</v>
      </c>
      <c r="DU109" s="367" t="str">
        <f t="shared" si="183"/>
        <v>#DIV/0!</v>
      </c>
      <c r="DV109" s="368">
        <v>3.0</v>
      </c>
      <c r="DW109" s="322" t="s">
        <v>136</v>
      </c>
      <c r="DX109" s="322" t="s">
        <v>146</v>
      </c>
      <c r="DY109" s="368">
        <v>1.0</v>
      </c>
      <c r="DZ109" s="322" t="s">
        <v>131</v>
      </c>
      <c r="EA109" s="322" t="s">
        <v>147</v>
      </c>
      <c r="EB109" s="359"/>
      <c r="EC109" s="322" t="s">
        <v>612</v>
      </c>
      <c r="ED109" s="358" t="s">
        <v>131</v>
      </c>
      <c r="EE109" s="358" t="s">
        <v>131</v>
      </c>
      <c r="EF109" s="322" t="s">
        <v>140</v>
      </c>
      <c r="EG109" s="370">
        <f t="shared" si="134"/>
        <v>881</v>
      </c>
      <c r="EH109" s="370">
        <f t="shared" si="124"/>
        <v>240</v>
      </c>
      <c r="EI109" s="119">
        <f t="shared" si="153"/>
        <v>28.04037814</v>
      </c>
    </row>
    <row r="110" ht="15.75" customHeight="1">
      <c r="A110" s="315" t="s">
        <v>613</v>
      </c>
      <c r="B110" s="134" t="s">
        <v>175</v>
      </c>
      <c r="C110" s="316">
        <v>45563.0</v>
      </c>
      <c r="D110" s="141">
        <v>54.0</v>
      </c>
      <c r="E110" s="122" t="s">
        <v>130</v>
      </c>
      <c r="F110" s="134">
        <v>163.0</v>
      </c>
      <c r="G110" s="143">
        <v>100.0</v>
      </c>
      <c r="H110" s="122" t="s">
        <v>131</v>
      </c>
      <c r="I110" s="134">
        <v>6.0</v>
      </c>
      <c r="J110" s="349">
        <v>45261.0</v>
      </c>
      <c r="K110" s="122" t="s">
        <v>131</v>
      </c>
      <c r="L110" s="134">
        <v>1.0</v>
      </c>
      <c r="M110" s="351">
        <v>45323.0</v>
      </c>
      <c r="P110" s="104" t="s">
        <v>132</v>
      </c>
      <c r="V110" s="121" t="str">
        <f t="shared" si="97"/>
        <v>Paciente ambulatorio</v>
      </c>
      <c r="W110" s="122" t="s">
        <v>176</v>
      </c>
      <c r="X110" s="122" t="s">
        <v>132</v>
      </c>
      <c r="Y110" s="134">
        <v>2.0</v>
      </c>
      <c r="Z110" s="134">
        <v>1.0</v>
      </c>
      <c r="AA110" s="134">
        <v>3.0</v>
      </c>
      <c r="AB110" s="134">
        <v>3.0</v>
      </c>
      <c r="AC110" s="134">
        <v>2.0</v>
      </c>
      <c r="AD110" s="134">
        <v>1.0</v>
      </c>
      <c r="AE110" s="134">
        <v>3.0</v>
      </c>
      <c r="AF110" s="134">
        <v>1.0</v>
      </c>
      <c r="AG110" s="134">
        <v>3.0</v>
      </c>
      <c r="AH110" s="134">
        <v>1.0</v>
      </c>
      <c r="AI110" s="134">
        <v>1.0</v>
      </c>
      <c r="AJ110" s="134">
        <v>3.0</v>
      </c>
      <c r="AK110" s="134" t="s">
        <v>614</v>
      </c>
      <c r="AL110" s="399" t="s">
        <v>132</v>
      </c>
      <c r="AM110" s="54" t="s">
        <v>132</v>
      </c>
      <c r="AN110" s="54" t="s">
        <v>132</v>
      </c>
      <c r="AO110" s="122" t="s">
        <v>131</v>
      </c>
      <c r="AP110" s="54" t="s">
        <v>132</v>
      </c>
      <c r="AQ110" s="54" t="s">
        <v>132</v>
      </c>
      <c r="AR110" s="54" t="s">
        <v>132</v>
      </c>
      <c r="AS110" s="54" t="s">
        <v>132</v>
      </c>
      <c r="AT110" s="54" t="s">
        <v>132</v>
      </c>
      <c r="AU110" s="54" t="s">
        <v>132</v>
      </c>
      <c r="AV110" s="122" t="s">
        <v>131</v>
      </c>
      <c r="AW110" s="134" t="s">
        <v>615</v>
      </c>
      <c r="AX110" s="54" t="s">
        <v>132</v>
      </c>
      <c r="AY110" s="119"/>
      <c r="AZ110" s="119"/>
      <c r="BA110" s="359"/>
      <c r="BB110" s="122" t="s">
        <v>569</v>
      </c>
      <c r="BC110" s="450">
        <v>3.0</v>
      </c>
      <c r="BD110" s="451">
        <v>2.0</v>
      </c>
      <c r="BE110" s="145">
        <v>1.0</v>
      </c>
      <c r="BF110" s="145">
        <v>2.0</v>
      </c>
      <c r="BG110" s="145">
        <v>2.0</v>
      </c>
      <c r="BH110" s="145">
        <v>3.0</v>
      </c>
      <c r="BI110" s="301" t="str">
        <f t="shared" si="3"/>
        <v>21223</v>
      </c>
      <c r="BJ110" s="145">
        <v>70.0</v>
      </c>
      <c r="BK110" s="145">
        <v>2.0</v>
      </c>
      <c r="BL110" s="145">
        <v>2.0</v>
      </c>
      <c r="BM110" s="145">
        <v>3.0</v>
      </c>
      <c r="BN110" s="145">
        <v>2.0</v>
      </c>
      <c r="BO110" s="145">
        <v>2.0</v>
      </c>
      <c r="BP110" s="145">
        <v>2.0</v>
      </c>
      <c r="BQ110" s="145">
        <v>2.0</v>
      </c>
      <c r="BR110" s="145">
        <v>2.0</v>
      </c>
      <c r="BS110" s="145">
        <v>3.0</v>
      </c>
      <c r="BT110" s="145">
        <v>2.0</v>
      </c>
      <c r="BU110" s="302">
        <f t="shared" ref="BU110:BU118" si="199">IF(BN110=1,5,IF(BN110=2,4,IF(BN110=3,3,IF(BN110=4,2,IF(BN110=5,1)))))</f>
        <v>4</v>
      </c>
      <c r="BV110" s="302">
        <f t="shared" ref="BV110:BV118" si="200">IF(BT110=1,5,IF(BT110=2,4,IF(BT110=3,3,IF(BT110=4,2,IF(BT110=5,1)))))</f>
        <v>4</v>
      </c>
      <c r="BW110" s="302">
        <f t="shared" ref="BW110:BW123" si="201">SUM(BK110,BL110,BM110,BO110,BP110,BQ110,BR110,BS110,BT110,BV110)</f>
        <v>24</v>
      </c>
      <c r="BX110" s="302" t="str">
        <f t="shared" ref="BX110:BX118" si="202">IF(BW110&lt;22,"NO HAY FATIGA",IF(BW110&lt;35,"FATIGA","FATIGA EXTREMA"))</f>
        <v>FATIGA</v>
      </c>
      <c r="BY110" s="145">
        <v>1.0</v>
      </c>
      <c r="BZ110" s="145">
        <v>1.0</v>
      </c>
      <c r="CA110" s="145">
        <v>0.0</v>
      </c>
      <c r="CB110" s="145">
        <v>0.0</v>
      </c>
      <c r="CC110" s="145">
        <v>0.0</v>
      </c>
      <c r="CD110" s="145">
        <v>0.0</v>
      </c>
      <c r="CE110" s="145">
        <v>5.0</v>
      </c>
      <c r="CF110" s="145">
        <v>0.0</v>
      </c>
      <c r="CG110" s="145">
        <v>20.0</v>
      </c>
      <c r="CH110" s="145">
        <v>12.0</v>
      </c>
      <c r="CI110" s="145">
        <v>0.0</v>
      </c>
      <c r="CJ110" s="303">
        <f t="shared" ref="CJ110:CJ118" si="203">(8*BY110*(BZ110*60+CA110)+4*CB110*(CC110*60+CD110)+3.3*CE110*(CF110*60+CG110))</f>
        <v>810</v>
      </c>
      <c r="CK110" s="361">
        <f t="shared" ref="CK110:CK118" si="204">(BY110+CB110+CE110)</f>
        <v>6</v>
      </c>
      <c r="CL110" s="361" t="b">
        <f t="shared" ref="CL110:CL113" si="205">IF(CJ112&gt;3000,IF(CK112&gt;6,"Nivel de actividad física alto"),IF(CJ112&gt;1500,IF(BY112&gt;2,"Nivel de actividad física alto")))</f>
        <v>0</v>
      </c>
      <c r="CM110" s="361" t="str">
        <f t="shared" ref="CM110:CM118" si="206">IF(BY110&gt;2,(IF(BZ110*60+CA110&gt;25,"Nivel de actividad física moderado")),IF(CB110+CE110&gt;5,IF(CC110*60+CD110+CF110*60+CG110&gt;30,"Nivel de actividad física moderado"),IF(CJ110&gt;600,(IF(CK110&gt;5,"Nivel de actividad física moderado")))))</f>
        <v>Nivel de actividad física moderado</v>
      </c>
      <c r="CN110" s="363" t="str">
        <f t="shared" ref="CN110:CN123" si="207">IF(CL110="Nivel de actividad física alto","Nivel de actividad física alto",IF(CM110="Nivel de actividad física moderado","Nivel de actividad física moderado","Nivel de actividad física bajo"))</f>
        <v>Nivel de actividad física moderado</v>
      </c>
      <c r="CO110" s="364">
        <v>0.020833333333333332</v>
      </c>
      <c r="CP110" s="145">
        <v>120.0</v>
      </c>
      <c r="CQ110" s="365">
        <f t="shared" ref="CQ110:CQ117" si="208">IF(CP110&gt;60,3,IF(CP110&gt;30,2,IF(CP110&gt;15,1,0)))</f>
        <v>3</v>
      </c>
      <c r="CR110" s="145">
        <v>8.0</v>
      </c>
      <c r="CS110" s="145">
        <v>0.0</v>
      </c>
      <c r="CT110" s="145">
        <v>7.45</v>
      </c>
      <c r="CU110" s="145">
        <v>4.0</v>
      </c>
      <c r="CV110" s="145">
        <v>3.0</v>
      </c>
      <c r="CW110" s="145">
        <v>3.0</v>
      </c>
      <c r="CX110" s="145">
        <v>0.0</v>
      </c>
      <c r="CY110" s="145">
        <v>3.0</v>
      </c>
      <c r="CZ110" s="145">
        <v>0.0</v>
      </c>
      <c r="DA110" s="145">
        <v>0.0</v>
      </c>
      <c r="DB110" s="145">
        <v>3.0</v>
      </c>
      <c r="DC110" s="145">
        <v>0.0</v>
      </c>
      <c r="DD110" s="145">
        <v>1.0</v>
      </c>
      <c r="DE110" s="358">
        <v>2.0</v>
      </c>
      <c r="DF110" s="358" t="s">
        <v>616</v>
      </c>
      <c r="DG110" s="303">
        <f t="shared" ref="DG110:DG123" si="209">SUM(CW110:DF110)</f>
        <v>12</v>
      </c>
      <c r="DH110" s="132">
        <v>3.0</v>
      </c>
      <c r="DI110" s="132">
        <v>0.0</v>
      </c>
      <c r="DJ110" s="132">
        <v>3.0</v>
      </c>
      <c r="DK110" s="132">
        <v>2.0</v>
      </c>
      <c r="DL110" s="303">
        <f t="shared" si="175"/>
        <v>53.69127517</v>
      </c>
      <c r="DM110" s="303">
        <f t="shared" si="176"/>
        <v>3</v>
      </c>
      <c r="DN110" s="303">
        <f t="shared" si="177"/>
        <v>2</v>
      </c>
      <c r="DO110" s="303">
        <f t="shared" si="178"/>
        <v>3</v>
      </c>
      <c r="DP110" s="303">
        <f t="shared" si="179"/>
        <v>3</v>
      </c>
      <c r="DQ110" s="303">
        <f t="shared" si="180"/>
        <v>3</v>
      </c>
      <c r="DR110" s="303">
        <f t="shared" ref="DR110:DS110" si="198">(DH110)</f>
        <v>3</v>
      </c>
      <c r="DS110" s="303">
        <f t="shared" si="198"/>
        <v>0</v>
      </c>
      <c r="DT110" s="366">
        <f t="shared" si="182"/>
        <v>17</v>
      </c>
      <c r="DU110" s="367" t="str">
        <f t="shared" si="183"/>
        <v>poor sleep quality</v>
      </c>
      <c r="DV110" s="321">
        <v>1.0</v>
      </c>
      <c r="DW110" s="321" t="s">
        <v>617</v>
      </c>
      <c r="DX110" s="321" t="s">
        <v>146</v>
      </c>
      <c r="DY110" s="321">
        <v>2.0</v>
      </c>
      <c r="DZ110" s="321" t="s">
        <v>131</v>
      </c>
      <c r="EA110" s="321" t="s">
        <v>157</v>
      </c>
      <c r="EB110" s="305"/>
      <c r="EC110" s="321" t="s">
        <v>139</v>
      </c>
      <c r="ED110" s="321" t="s">
        <v>140</v>
      </c>
      <c r="EE110" s="321" t="s">
        <v>131</v>
      </c>
      <c r="EF110" s="321" t="s">
        <v>141</v>
      </c>
      <c r="EG110" s="370">
        <f t="shared" si="134"/>
        <v>240</v>
      </c>
      <c r="EH110" s="433">
        <f t="shared" si="124"/>
        <v>45563</v>
      </c>
      <c r="EI110" s="119">
        <f t="shared" si="153"/>
        <v>37.63784862</v>
      </c>
    </row>
    <row r="111" ht="15.75" customHeight="1">
      <c r="A111" s="423" t="s">
        <v>618</v>
      </c>
      <c r="B111" s="423" t="s">
        <v>129</v>
      </c>
      <c r="C111" s="452">
        <v>45570.0</v>
      </c>
      <c r="D111" s="445">
        <v>47.0</v>
      </c>
      <c r="E111" s="381" t="s">
        <v>130</v>
      </c>
      <c r="F111" s="423">
        <v>161.0</v>
      </c>
      <c r="G111" s="446">
        <v>65.0</v>
      </c>
      <c r="H111" s="381" t="s">
        <v>131</v>
      </c>
      <c r="I111" s="423">
        <v>2.0</v>
      </c>
      <c r="J111" s="311"/>
      <c r="K111" s="381" t="s">
        <v>131</v>
      </c>
      <c r="L111" s="423">
        <v>1.0</v>
      </c>
      <c r="M111" s="434">
        <v>44585.0</v>
      </c>
      <c r="N111" s="404" t="s">
        <v>131</v>
      </c>
      <c r="O111" s="311"/>
      <c r="P111" s="381" t="s">
        <v>132</v>
      </c>
      <c r="Q111" s="311"/>
      <c r="R111" s="311"/>
      <c r="S111" s="311"/>
      <c r="T111" s="311"/>
      <c r="U111" s="311"/>
      <c r="V111" s="285" t="str">
        <f t="shared" si="97"/>
        <v>Paciente ambulatorio</v>
      </c>
      <c r="W111" s="381" t="s">
        <v>143</v>
      </c>
      <c r="X111" s="381" t="s">
        <v>132</v>
      </c>
      <c r="Y111" s="423">
        <v>3.0</v>
      </c>
      <c r="Z111" s="423">
        <v>2.0</v>
      </c>
      <c r="AA111" s="423">
        <v>3.0</v>
      </c>
      <c r="AB111" s="423">
        <v>3.0</v>
      </c>
      <c r="AC111" s="423">
        <v>2.0</v>
      </c>
      <c r="AD111" s="423">
        <v>3.0</v>
      </c>
      <c r="AE111" s="423">
        <v>2.0</v>
      </c>
      <c r="AF111" s="423">
        <v>3.0</v>
      </c>
      <c r="AG111" s="423">
        <v>3.0</v>
      </c>
      <c r="AH111" s="423">
        <v>3.0</v>
      </c>
      <c r="AI111" s="423">
        <v>1.0</v>
      </c>
      <c r="AJ111" s="423">
        <v>3.0</v>
      </c>
      <c r="AK111" s="423" t="s">
        <v>619</v>
      </c>
      <c r="AL111" s="405" t="s">
        <v>132</v>
      </c>
      <c r="AM111" s="381" t="s">
        <v>132</v>
      </c>
      <c r="AN111" s="381" t="s">
        <v>132</v>
      </c>
      <c r="AO111" s="381" t="s">
        <v>132</v>
      </c>
      <c r="AP111" s="381" t="s">
        <v>132</v>
      </c>
      <c r="AQ111" s="381" t="s">
        <v>132</v>
      </c>
      <c r="AR111" s="381" t="s">
        <v>132</v>
      </c>
      <c r="AS111" s="381" t="s">
        <v>132</v>
      </c>
      <c r="AT111" s="381" t="s">
        <v>132</v>
      </c>
      <c r="AU111" s="381" t="s">
        <v>132</v>
      </c>
      <c r="AV111" s="381" t="s">
        <v>131</v>
      </c>
      <c r="AW111" s="423" t="s">
        <v>620</v>
      </c>
      <c r="AX111" s="381" t="s">
        <v>132</v>
      </c>
      <c r="AY111" s="383"/>
      <c r="AZ111" s="383"/>
      <c r="BA111" s="389"/>
      <c r="BB111" s="381" t="s">
        <v>145</v>
      </c>
      <c r="BC111" s="436"/>
      <c r="BD111" s="413">
        <v>1.0</v>
      </c>
      <c r="BE111" s="404">
        <v>1.0</v>
      </c>
      <c r="BF111" s="404">
        <v>1.0</v>
      </c>
      <c r="BG111" s="404">
        <v>2.0</v>
      </c>
      <c r="BH111" s="404">
        <v>1.0</v>
      </c>
      <c r="BI111" s="287" t="str">
        <f t="shared" si="3"/>
        <v>11121</v>
      </c>
      <c r="BJ111" s="404">
        <v>80.0</v>
      </c>
      <c r="BK111" s="404">
        <v>2.0</v>
      </c>
      <c r="BL111" s="404">
        <v>2.0</v>
      </c>
      <c r="BM111" s="404">
        <v>2.0</v>
      </c>
      <c r="BN111" s="404">
        <v>5.0</v>
      </c>
      <c r="BO111" s="404">
        <v>2.0</v>
      </c>
      <c r="BP111" s="404">
        <v>1.0</v>
      </c>
      <c r="BQ111" s="404">
        <v>2.0</v>
      </c>
      <c r="BR111" s="404">
        <v>2.0</v>
      </c>
      <c r="BS111" s="404">
        <v>2.0</v>
      </c>
      <c r="BT111" s="404">
        <v>5.0</v>
      </c>
      <c r="BU111" s="288">
        <f t="shared" si="199"/>
        <v>1</v>
      </c>
      <c r="BV111" s="288">
        <f t="shared" si="200"/>
        <v>1</v>
      </c>
      <c r="BW111" s="288">
        <f t="shared" si="201"/>
        <v>21</v>
      </c>
      <c r="BX111" s="288" t="str">
        <f t="shared" si="202"/>
        <v>NO HAY FATIGA</v>
      </c>
      <c r="BY111" s="404"/>
      <c r="BZ111" s="404"/>
      <c r="CA111" s="404"/>
      <c r="CB111" s="404">
        <v>2.0</v>
      </c>
      <c r="CC111" s="404">
        <v>1.0</v>
      </c>
      <c r="CD111" s="404">
        <v>15.0</v>
      </c>
      <c r="CE111" s="404">
        <v>6.0</v>
      </c>
      <c r="CF111" s="404">
        <v>0.0</v>
      </c>
      <c r="CG111" s="404">
        <v>30.0</v>
      </c>
      <c r="CH111" s="404">
        <v>6.0</v>
      </c>
      <c r="CI111" s="404">
        <v>0.0</v>
      </c>
      <c r="CJ111" s="312">
        <f t="shared" si="203"/>
        <v>1194</v>
      </c>
      <c r="CK111" s="391">
        <f t="shared" si="204"/>
        <v>8</v>
      </c>
      <c r="CL111" s="391" t="b">
        <f t="shared" si="205"/>
        <v>0</v>
      </c>
      <c r="CM111" s="391" t="str">
        <f t="shared" si="206"/>
        <v>Nivel de actividad física moderado</v>
      </c>
      <c r="CN111" s="393" t="str">
        <f t="shared" si="207"/>
        <v>Nivel de actividad física moderado</v>
      </c>
      <c r="CO111" s="404">
        <v>0.0</v>
      </c>
      <c r="CP111" s="404">
        <v>30.0</v>
      </c>
      <c r="CQ111" s="394">
        <f t="shared" si="208"/>
        <v>1</v>
      </c>
      <c r="CR111" s="404">
        <v>7.0</v>
      </c>
      <c r="CS111" s="404">
        <v>30.0</v>
      </c>
      <c r="CT111" s="404">
        <v>7.5</v>
      </c>
      <c r="CU111" s="404">
        <v>6.0</v>
      </c>
      <c r="CV111" s="404">
        <v>2.0</v>
      </c>
      <c r="CW111" s="404">
        <v>3.0</v>
      </c>
      <c r="CX111" s="404">
        <v>3.0</v>
      </c>
      <c r="CY111" s="404">
        <v>0.0</v>
      </c>
      <c r="CZ111" s="404">
        <v>1.0</v>
      </c>
      <c r="DA111" s="404">
        <v>0.0</v>
      </c>
      <c r="DB111" s="404">
        <v>1.0</v>
      </c>
      <c r="DC111" s="404">
        <v>0.0</v>
      </c>
      <c r="DD111" s="404">
        <v>1.0</v>
      </c>
      <c r="DE111" s="411">
        <v>1.0</v>
      </c>
      <c r="DF111" s="411" t="s">
        <v>621</v>
      </c>
      <c r="DG111" s="312">
        <f t="shared" si="209"/>
        <v>10</v>
      </c>
      <c r="DH111" s="422">
        <v>1.0</v>
      </c>
      <c r="DI111" s="422">
        <v>0.0</v>
      </c>
      <c r="DJ111" s="422">
        <v>1.0</v>
      </c>
      <c r="DK111" s="422">
        <v>0.0</v>
      </c>
      <c r="DL111" s="312">
        <f t="shared" si="175"/>
        <v>80</v>
      </c>
      <c r="DM111" s="312">
        <f t="shared" si="176"/>
        <v>1</v>
      </c>
      <c r="DN111" s="312">
        <f t="shared" si="177"/>
        <v>2</v>
      </c>
      <c r="DO111" s="312">
        <f t="shared" si="178"/>
        <v>2</v>
      </c>
      <c r="DP111" s="312">
        <f t="shared" si="179"/>
        <v>1</v>
      </c>
      <c r="DQ111" s="312">
        <f t="shared" si="180"/>
        <v>1</v>
      </c>
      <c r="DR111" s="312">
        <f t="shared" ref="DR111:DS111" si="210">(DH111)</f>
        <v>1</v>
      </c>
      <c r="DS111" s="312">
        <f t="shared" si="210"/>
        <v>0</v>
      </c>
      <c r="DT111" s="395">
        <f t="shared" si="182"/>
        <v>8</v>
      </c>
      <c r="DU111" s="396" t="str">
        <f t="shared" si="183"/>
        <v>poor sleep quality</v>
      </c>
      <c r="DV111" s="431">
        <v>0.0</v>
      </c>
      <c r="DW111" s="431" t="s">
        <v>622</v>
      </c>
      <c r="DX111" s="431" t="s">
        <v>146</v>
      </c>
      <c r="DY111" s="431">
        <v>2.0</v>
      </c>
      <c r="DZ111" s="431" t="s">
        <v>131</v>
      </c>
      <c r="EA111" s="431" t="s">
        <v>162</v>
      </c>
      <c r="EB111" s="292"/>
      <c r="EC111" s="431" t="s">
        <v>139</v>
      </c>
      <c r="ED111" s="431"/>
      <c r="EE111" s="431"/>
      <c r="EF111" s="431" t="s">
        <v>151</v>
      </c>
      <c r="EG111" s="397">
        <f t="shared" si="134"/>
        <v>985</v>
      </c>
      <c r="EH111" s="453">
        <f t="shared" si="124"/>
        <v>45570</v>
      </c>
      <c r="EI111" s="383">
        <f t="shared" si="153"/>
        <v>25.07619305</v>
      </c>
    </row>
    <row r="112" ht="15.75" customHeight="1">
      <c r="A112" s="134" t="s">
        <v>623</v>
      </c>
      <c r="B112" s="134" t="s">
        <v>175</v>
      </c>
      <c r="C112" s="350">
        <v>45570.0</v>
      </c>
      <c r="D112" s="141">
        <v>29.0</v>
      </c>
      <c r="E112" s="122" t="s">
        <v>130</v>
      </c>
      <c r="F112" s="134">
        <v>167.0</v>
      </c>
      <c r="G112" s="143">
        <v>78.0</v>
      </c>
      <c r="H112" s="122" t="s">
        <v>131</v>
      </c>
      <c r="I112" s="134">
        <v>3.0</v>
      </c>
      <c r="J112" s="351">
        <v>44562.0</v>
      </c>
      <c r="K112" s="122" t="s">
        <v>131</v>
      </c>
      <c r="L112" s="134">
        <v>4.0</v>
      </c>
      <c r="M112" s="351"/>
      <c r="N112" s="145">
        <v>3.0</v>
      </c>
      <c r="O112" s="351">
        <v>45505.0</v>
      </c>
      <c r="P112" s="122" t="s">
        <v>132</v>
      </c>
      <c r="V112" s="121" t="str">
        <f t="shared" si="97"/>
        <v>Paciente ambulatorio</v>
      </c>
      <c r="W112" s="122" t="s">
        <v>176</v>
      </c>
      <c r="X112" s="122" t="s">
        <v>131</v>
      </c>
      <c r="Y112" s="134">
        <v>2.0</v>
      </c>
      <c r="Z112" s="134">
        <v>1.0</v>
      </c>
      <c r="AA112" s="134">
        <v>2.0</v>
      </c>
      <c r="AB112" s="134">
        <v>2.0</v>
      </c>
      <c r="AC112" s="134">
        <v>1.0</v>
      </c>
      <c r="AD112" s="134">
        <v>1.0</v>
      </c>
      <c r="AE112" s="134">
        <v>2.0</v>
      </c>
      <c r="AF112" s="134">
        <v>1.0</v>
      </c>
      <c r="AG112" s="134">
        <v>1.0</v>
      </c>
      <c r="AH112" s="134">
        <v>1.0</v>
      </c>
      <c r="AI112" s="134">
        <v>1.0</v>
      </c>
      <c r="AJ112" s="134">
        <v>1.0</v>
      </c>
      <c r="AK112" s="134" t="s">
        <v>624</v>
      </c>
      <c r="AL112" s="399" t="s">
        <v>132</v>
      </c>
      <c r="AM112" s="122" t="s">
        <v>132</v>
      </c>
      <c r="AN112" s="122" t="s">
        <v>132</v>
      </c>
      <c r="AO112" s="122" t="s">
        <v>132</v>
      </c>
      <c r="AP112" s="122" t="s">
        <v>132</v>
      </c>
      <c r="AQ112" s="122" t="s">
        <v>132</v>
      </c>
      <c r="AR112" s="122" t="s">
        <v>132</v>
      </c>
      <c r="AS112" s="122" t="s">
        <v>132</v>
      </c>
      <c r="AT112" s="122" t="s">
        <v>132</v>
      </c>
      <c r="AU112" s="122" t="s">
        <v>132</v>
      </c>
      <c r="AV112" s="122" t="s">
        <v>131</v>
      </c>
      <c r="AW112" s="134" t="s">
        <v>625</v>
      </c>
      <c r="AX112" s="122" t="s">
        <v>165</v>
      </c>
      <c r="AY112" s="119"/>
      <c r="AZ112" s="119"/>
      <c r="BA112" s="358">
        <v>1.0</v>
      </c>
      <c r="BB112" s="122" t="s">
        <v>145</v>
      </c>
      <c r="BC112" s="450"/>
      <c r="BD112" s="451">
        <v>2.0</v>
      </c>
      <c r="BE112" s="145">
        <v>2.0</v>
      </c>
      <c r="BF112" s="145">
        <v>3.0</v>
      </c>
      <c r="BG112" s="145">
        <v>3.0</v>
      </c>
      <c r="BH112" s="145">
        <v>5.0</v>
      </c>
      <c r="BI112" s="301" t="str">
        <f t="shared" si="3"/>
        <v>22335</v>
      </c>
      <c r="BJ112" s="145">
        <v>20.0</v>
      </c>
      <c r="BK112" s="145">
        <v>4.0</v>
      </c>
      <c r="BL112" s="145">
        <v>5.0</v>
      </c>
      <c r="BM112" s="145">
        <v>5.0</v>
      </c>
      <c r="BN112" s="145">
        <v>2.0</v>
      </c>
      <c r="BO112" s="145">
        <v>5.0</v>
      </c>
      <c r="BP112" s="145">
        <v>5.0</v>
      </c>
      <c r="BQ112" s="145">
        <v>4.0</v>
      </c>
      <c r="BR112" s="145">
        <v>4.0</v>
      </c>
      <c r="BS112" s="145">
        <v>5.0</v>
      </c>
      <c r="BT112" s="145">
        <v>2.0</v>
      </c>
      <c r="BU112" s="302">
        <f t="shared" si="199"/>
        <v>4</v>
      </c>
      <c r="BV112" s="302">
        <f t="shared" si="200"/>
        <v>4</v>
      </c>
      <c r="BW112" s="302">
        <f t="shared" si="201"/>
        <v>43</v>
      </c>
      <c r="BX112" s="302" t="str">
        <f t="shared" si="202"/>
        <v>FATIGA EXTREMA</v>
      </c>
      <c r="BY112" s="145">
        <v>0.0</v>
      </c>
      <c r="BZ112" s="145">
        <v>0.0</v>
      </c>
      <c r="CA112" s="145">
        <v>0.0</v>
      </c>
      <c r="CB112" s="145">
        <v>0.0</v>
      </c>
      <c r="CC112" s="145">
        <v>0.0</v>
      </c>
      <c r="CD112" s="145">
        <v>0.0</v>
      </c>
      <c r="CE112" s="145">
        <v>5.0</v>
      </c>
      <c r="CF112" s="145">
        <v>0.0</v>
      </c>
      <c r="CG112" s="145">
        <v>15.0</v>
      </c>
      <c r="CH112" s="145">
        <v>8.0</v>
      </c>
      <c r="CI112" s="145">
        <v>0.0</v>
      </c>
      <c r="CJ112" s="303">
        <f t="shared" si="203"/>
        <v>247.5</v>
      </c>
      <c r="CK112" s="361">
        <f t="shared" si="204"/>
        <v>5</v>
      </c>
      <c r="CL112" s="361" t="b">
        <f t="shared" si="205"/>
        <v>0</v>
      </c>
      <c r="CM112" s="361" t="b">
        <f t="shared" si="206"/>
        <v>0</v>
      </c>
      <c r="CN112" s="363" t="str">
        <f t="shared" si="207"/>
        <v>Nivel de actividad física bajo</v>
      </c>
      <c r="CO112" s="145">
        <v>21.0</v>
      </c>
      <c r="CP112" s="145">
        <v>20.0</v>
      </c>
      <c r="CQ112" s="365">
        <f t="shared" si="208"/>
        <v>1</v>
      </c>
      <c r="CR112" s="145">
        <v>8.0</v>
      </c>
      <c r="CS112" s="145">
        <v>0.0</v>
      </c>
      <c r="CT112" s="145">
        <v>11.0</v>
      </c>
      <c r="CU112" s="145">
        <v>12.0</v>
      </c>
      <c r="CV112" s="145">
        <v>2.0</v>
      </c>
      <c r="CW112" s="145">
        <v>2.0</v>
      </c>
      <c r="CX112" s="145">
        <v>2.0</v>
      </c>
      <c r="CY112" s="145">
        <v>0.0</v>
      </c>
      <c r="CZ112" s="145">
        <v>1.0</v>
      </c>
      <c r="DA112" s="145">
        <v>2.0</v>
      </c>
      <c r="DB112" s="145">
        <v>0.0</v>
      </c>
      <c r="DC112" s="145">
        <v>2.0</v>
      </c>
      <c r="DD112" s="145">
        <v>3.0</v>
      </c>
      <c r="DE112" s="358">
        <v>0.0</v>
      </c>
      <c r="DF112" s="358"/>
      <c r="DG112" s="303">
        <f t="shared" si="209"/>
        <v>12</v>
      </c>
      <c r="DH112" s="454">
        <v>3.0</v>
      </c>
      <c r="DI112" s="132">
        <v>3.0</v>
      </c>
      <c r="DJ112" s="132">
        <v>0.0</v>
      </c>
      <c r="DK112" s="132">
        <v>3.0</v>
      </c>
      <c r="DL112" s="303">
        <f t="shared" si="175"/>
        <v>109.0909091</v>
      </c>
      <c r="DM112" s="303">
        <f t="shared" si="176"/>
        <v>0</v>
      </c>
      <c r="DN112" s="303">
        <f>IF(DH112&gt;18,3,IF(DH112&gt;9,2,IF(DH112&gt;=1,1,0)))</f>
        <v>1</v>
      </c>
      <c r="DO112" s="303">
        <f t="shared" si="178"/>
        <v>2</v>
      </c>
      <c r="DP112" s="303" t="str">
        <f>IF(#REF!+DK112&gt;=5,3,IF(#REF!+DK112&gt;=3,2,IF(#REF!+DK112&gt;=1,1,0)))</f>
        <v>#REF!</v>
      </c>
      <c r="DQ112" s="303">
        <f t="shared" si="180"/>
        <v>0</v>
      </c>
      <c r="DR112" s="303">
        <f t="shared" ref="DR112:DS112" si="211">(DI112)</f>
        <v>3</v>
      </c>
      <c r="DS112" s="303">
        <f t="shared" si="211"/>
        <v>0</v>
      </c>
      <c r="DT112" s="366" t="str">
        <f t="shared" si="182"/>
        <v>#REF!</v>
      </c>
      <c r="DU112" s="367" t="str">
        <f t="shared" si="183"/>
        <v>#REF!</v>
      </c>
      <c r="DV112" s="321">
        <v>3.0</v>
      </c>
      <c r="DW112" s="321"/>
      <c r="DX112" s="321" t="s">
        <v>146</v>
      </c>
      <c r="DY112" s="321">
        <v>2.0</v>
      </c>
      <c r="DZ112" s="321" t="s">
        <v>131</v>
      </c>
      <c r="EA112" s="321" t="s">
        <v>147</v>
      </c>
      <c r="EB112" s="305"/>
      <c r="EC112" s="321" t="s">
        <v>261</v>
      </c>
      <c r="ED112" s="321"/>
      <c r="EE112" s="321" t="s">
        <v>132</v>
      </c>
      <c r="EF112" s="321" t="s">
        <v>140</v>
      </c>
      <c r="EG112" s="370">
        <f t="shared" si="134"/>
        <v>45570</v>
      </c>
      <c r="EH112" s="370">
        <f t="shared" si="124"/>
        <v>65</v>
      </c>
      <c r="EI112" s="119">
        <f t="shared" si="153"/>
        <v>27.96801606</v>
      </c>
    </row>
    <row r="113" ht="15.75" customHeight="1">
      <c r="A113" s="423" t="s">
        <v>626</v>
      </c>
      <c r="B113" s="423" t="s">
        <v>129</v>
      </c>
      <c r="C113" s="452">
        <v>45570.0</v>
      </c>
      <c r="D113" s="445">
        <v>52.0</v>
      </c>
      <c r="E113" s="381" t="s">
        <v>153</v>
      </c>
      <c r="F113" s="423">
        <v>174.0</v>
      </c>
      <c r="G113" s="446">
        <v>95.0</v>
      </c>
      <c r="H113" s="381" t="s">
        <v>131</v>
      </c>
      <c r="I113" s="423">
        <v>3.0</v>
      </c>
      <c r="J113" s="447">
        <v>44615.0</v>
      </c>
      <c r="K113" s="381" t="s">
        <v>131</v>
      </c>
      <c r="L113" s="423">
        <v>1.0</v>
      </c>
      <c r="M113" s="434">
        <v>44593.0</v>
      </c>
      <c r="N113" s="404" t="s">
        <v>131</v>
      </c>
      <c r="O113" s="311"/>
      <c r="P113" s="381" t="s">
        <v>132</v>
      </c>
      <c r="Q113" s="311"/>
      <c r="R113" s="311"/>
      <c r="S113" s="311"/>
      <c r="T113" s="311"/>
      <c r="U113" s="311"/>
      <c r="V113" s="285" t="str">
        <f t="shared" si="97"/>
        <v>Paciente ambulatorio</v>
      </c>
      <c r="W113" s="381" t="s">
        <v>143</v>
      </c>
      <c r="X113" s="381" t="s">
        <v>132</v>
      </c>
      <c r="Y113" s="423">
        <v>3.0</v>
      </c>
      <c r="Z113" s="423">
        <v>3.0</v>
      </c>
      <c r="AA113" s="423">
        <v>3.0</v>
      </c>
      <c r="AB113" s="423">
        <v>3.0</v>
      </c>
      <c r="AC113" s="423">
        <v>3.0</v>
      </c>
      <c r="AD113" s="423">
        <v>2.0</v>
      </c>
      <c r="AE113" s="423">
        <v>3.0</v>
      </c>
      <c r="AF113" s="423">
        <v>3.0</v>
      </c>
      <c r="AG113" s="423">
        <v>3.0</v>
      </c>
      <c r="AH113" s="423">
        <v>2.0</v>
      </c>
      <c r="AI113" s="423">
        <v>3.0</v>
      </c>
      <c r="AJ113" s="423">
        <v>3.0</v>
      </c>
      <c r="AK113" s="311"/>
      <c r="AL113" s="405" t="s">
        <v>132</v>
      </c>
      <c r="AM113" s="381" t="s">
        <v>132</v>
      </c>
      <c r="AN113" s="381" t="s">
        <v>132</v>
      </c>
      <c r="AO113" s="381" t="s">
        <v>131</v>
      </c>
      <c r="AP113" s="381" t="s">
        <v>132</v>
      </c>
      <c r="AQ113" s="381" t="s">
        <v>132</v>
      </c>
      <c r="AR113" s="381" t="s">
        <v>132</v>
      </c>
      <c r="AS113" s="381" t="s">
        <v>132</v>
      </c>
      <c r="AT113" s="381" t="s">
        <v>132</v>
      </c>
      <c r="AU113" s="381" t="s">
        <v>132</v>
      </c>
      <c r="AV113" s="381" t="s">
        <v>131</v>
      </c>
      <c r="AW113" s="423" t="s">
        <v>627</v>
      </c>
      <c r="AX113" s="381" t="s">
        <v>132</v>
      </c>
      <c r="AY113" s="383"/>
      <c r="AZ113" s="383"/>
      <c r="BA113" s="389"/>
      <c r="BB113" s="381" t="s">
        <v>135</v>
      </c>
      <c r="BC113" s="436">
        <v>4.0</v>
      </c>
      <c r="BD113" s="413">
        <v>1.0</v>
      </c>
      <c r="BE113" s="404">
        <v>1.0</v>
      </c>
      <c r="BF113" s="404">
        <v>1.0</v>
      </c>
      <c r="BG113" s="404">
        <v>3.0</v>
      </c>
      <c r="BH113" s="404">
        <v>1.0</v>
      </c>
      <c r="BI113" s="287" t="str">
        <f t="shared" si="3"/>
        <v>11131</v>
      </c>
      <c r="BJ113" s="404">
        <v>90.0</v>
      </c>
      <c r="BK113" s="404">
        <v>1.0</v>
      </c>
      <c r="BL113" s="404">
        <v>1.0</v>
      </c>
      <c r="BM113" s="404">
        <v>2.0</v>
      </c>
      <c r="BN113" s="404">
        <v>5.0</v>
      </c>
      <c r="BO113" s="404">
        <v>1.0</v>
      </c>
      <c r="BP113" s="404">
        <v>2.0</v>
      </c>
      <c r="BQ113" s="404">
        <v>1.0</v>
      </c>
      <c r="BR113" s="404">
        <v>2.0</v>
      </c>
      <c r="BS113" s="404">
        <v>1.0</v>
      </c>
      <c r="BT113" s="404">
        <v>4.0</v>
      </c>
      <c r="BU113" s="288">
        <f t="shared" si="199"/>
        <v>1</v>
      </c>
      <c r="BV113" s="288">
        <f t="shared" si="200"/>
        <v>2</v>
      </c>
      <c r="BW113" s="288">
        <f t="shared" si="201"/>
        <v>17</v>
      </c>
      <c r="BX113" s="288" t="str">
        <f t="shared" si="202"/>
        <v>NO HAY FATIGA</v>
      </c>
      <c r="BY113" s="404">
        <v>0.0</v>
      </c>
      <c r="BZ113" s="404">
        <v>0.0</v>
      </c>
      <c r="CA113" s="404">
        <v>0.0</v>
      </c>
      <c r="CB113" s="404">
        <v>1.0</v>
      </c>
      <c r="CC113" s="404">
        <v>1.0</v>
      </c>
      <c r="CD113" s="404">
        <v>30.0</v>
      </c>
      <c r="CE113" s="404">
        <v>2.0</v>
      </c>
      <c r="CF113" s="404">
        <v>0.0</v>
      </c>
      <c r="CG113" s="404">
        <v>30.0</v>
      </c>
      <c r="CH113" s="404">
        <v>5.0</v>
      </c>
      <c r="CI113" s="404">
        <v>0.0</v>
      </c>
      <c r="CJ113" s="312">
        <f t="shared" si="203"/>
        <v>558</v>
      </c>
      <c r="CK113" s="391">
        <f t="shared" si="204"/>
        <v>3</v>
      </c>
      <c r="CL113" s="391" t="b">
        <f t="shared" si="205"/>
        <v>0</v>
      </c>
      <c r="CM113" s="391" t="b">
        <f t="shared" si="206"/>
        <v>0</v>
      </c>
      <c r="CN113" s="393" t="str">
        <f t="shared" si="207"/>
        <v>Nivel de actividad física bajo</v>
      </c>
      <c r="CO113" s="404">
        <v>0.0</v>
      </c>
      <c r="CP113" s="404">
        <v>5.0</v>
      </c>
      <c r="CQ113" s="394">
        <f t="shared" si="208"/>
        <v>0</v>
      </c>
      <c r="CR113" s="404">
        <v>6.0</v>
      </c>
      <c r="CS113" s="404">
        <v>20.0</v>
      </c>
      <c r="CT113" s="404">
        <v>6.33</v>
      </c>
      <c r="CU113" s="404">
        <v>6.0</v>
      </c>
      <c r="CV113" s="404">
        <v>0.0</v>
      </c>
      <c r="CW113" s="404">
        <v>1.0</v>
      </c>
      <c r="CX113" s="404">
        <v>2.0</v>
      </c>
      <c r="CY113" s="404">
        <v>0.0</v>
      </c>
      <c r="CZ113" s="404">
        <v>0.0</v>
      </c>
      <c r="DA113" s="404">
        <v>0.0</v>
      </c>
      <c r="DB113" s="404">
        <v>0.0</v>
      </c>
      <c r="DC113" s="404">
        <v>0.0</v>
      </c>
      <c r="DD113" s="404">
        <v>0.0</v>
      </c>
      <c r="DE113" s="411">
        <v>0.0</v>
      </c>
      <c r="DF113" s="411"/>
      <c r="DG113" s="312">
        <f t="shared" si="209"/>
        <v>3</v>
      </c>
      <c r="DH113" s="422">
        <v>1.0</v>
      </c>
      <c r="DI113" s="422">
        <v>0.0</v>
      </c>
      <c r="DJ113" s="422">
        <v>0.0</v>
      </c>
      <c r="DK113" s="422">
        <v>0.0</v>
      </c>
      <c r="DL113" s="312">
        <f t="shared" si="175"/>
        <v>94.78672986</v>
      </c>
      <c r="DM113" s="312">
        <f t="shared" si="176"/>
        <v>1</v>
      </c>
      <c r="DN113" s="312">
        <f t="shared" ref="DN113:DN118" si="213">IF(DG113&gt;18,3,IF(DG113&gt;9,2,IF(DG113&gt;=1,1,0)))</f>
        <v>1</v>
      </c>
      <c r="DO113" s="312">
        <f t="shared" si="178"/>
        <v>0</v>
      </c>
      <c r="DP113" s="312">
        <f t="shared" ref="DP113:DP118" si="214">IF(DJ113+DK113&gt;=5,3,IF(DJ113+DK113&gt;=3,2,IF(DJ113+DK113&gt;=1,1,0)))</f>
        <v>0</v>
      </c>
      <c r="DQ113" s="312">
        <f t="shared" si="180"/>
        <v>0</v>
      </c>
      <c r="DR113" s="312">
        <f t="shared" ref="DR113:DS113" si="212">(DH113)</f>
        <v>1</v>
      </c>
      <c r="DS113" s="312">
        <f t="shared" si="212"/>
        <v>0</v>
      </c>
      <c r="DT113" s="395">
        <f t="shared" si="182"/>
        <v>3</v>
      </c>
      <c r="DU113" s="396" t="str">
        <f t="shared" si="183"/>
        <v>good sleep quality</v>
      </c>
      <c r="DV113" s="431">
        <v>3.0</v>
      </c>
      <c r="DW113" s="431" t="s">
        <v>149</v>
      </c>
      <c r="DX113" s="431" t="s">
        <v>146</v>
      </c>
      <c r="DY113" s="431">
        <v>2.0</v>
      </c>
      <c r="DZ113" s="431" t="s">
        <v>131</v>
      </c>
      <c r="EA113" s="431" t="s">
        <v>162</v>
      </c>
      <c r="EB113" s="292"/>
      <c r="EC113" s="431" t="s">
        <v>139</v>
      </c>
      <c r="ED113" s="431" t="s">
        <v>131</v>
      </c>
      <c r="EE113" s="431"/>
      <c r="EF113" s="431" t="s">
        <v>158</v>
      </c>
      <c r="EG113" s="397">
        <f t="shared" si="134"/>
        <v>977</v>
      </c>
      <c r="EH113" s="453">
        <f t="shared" si="124"/>
        <v>45570</v>
      </c>
      <c r="EI113" s="383">
        <f t="shared" si="153"/>
        <v>31.37798917</v>
      </c>
    </row>
    <row r="114" ht="15.75" customHeight="1">
      <c r="A114" s="134" t="s">
        <v>628</v>
      </c>
      <c r="B114" s="134" t="s">
        <v>175</v>
      </c>
      <c r="C114" s="350">
        <v>45570.0</v>
      </c>
      <c r="D114" s="141">
        <v>43.0</v>
      </c>
      <c r="E114" s="122" t="s">
        <v>130</v>
      </c>
      <c r="F114" s="134">
        <v>166.0</v>
      </c>
      <c r="G114" s="143">
        <v>69.0</v>
      </c>
      <c r="H114" s="122" t="s">
        <v>131</v>
      </c>
      <c r="I114" s="134">
        <v>6.0</v>
      </c>
      <c r="J114" s="351">
        <v>45108.0</v>
      </c>
      <c r="K114" s="122" t="s">
        <v>131</v>
      </c>
      <c r="L114" s="134">
        <v>2.0</v>
      </c>
      <c r="M114" s="351">
        <v>43952.0</v>
      </c>
      <c r="N114" s="145">
        <v>0.0</v>
      </c>
      <c r="O114" s="351">
        <v>45139.0</v>
      </c>
      <c r="P114" s="122" t="s">
        <v>132</v>
      </c>
      <c r="V114" s="121" t="str">
        <f t="shared" si="97"/>
        <v>Paciente ambulatorio</v>
      </c>
      <c r="W114" s="122" t="s">
        <v>190</v>
      </c>
      <c r="X114" s="122" t="s">
        <v>132</v>
      </c>
      <c r="Y114" s="134">
        <v>1.0</v>
      </c>
      <c r="Z114" s="134">
        <v>1.0</v>
      </c>
      <c r="AA114" s="134">
        <v>3.0</v>
      </c>
      <c r="AB114" s="134">
        <v>3.0</v>
      </c>
      <c r="AC114" s="134">
        <v>3.0</v>
      </c>
      <c r="AD114" s="134">
        <v>1.0</v>
      </c>
      <c r="AE114" s="134">
        <v>1.0</v>
      </c>
      <c r="AF114" s="134">
        <v>1.0</v>
      </c>
      <c r="AG114" s="134">
        <v>1.0</v>
      </c>
      <c r="AH114" s="134">
        <v>1.0</v>
      </c>
      <c r="AI114" s="134">
        <v>1.0</v>
      </c>
      <c r="AJ114" s="134">
        <v>1.0</v>
      </c>
      <c r="AK114" s="134" t="s">
        <v>624</v>
      </c>
      <c r="AL114" s="399" t="s">
        <v>132</v>
      </c>
      <c r="AM114" s="122" t="s">
        <v>132</v>
      </c>
      <c r="AN114" s="122" t="s">
        <v>132</v>
      </c>
      <c r="AO114" s="122" t="s">
        <v>132</v>
      </c>
      <c r="AP114" s="122" t="s">
        <v>132</v>
      </c>
      <c r="AQ114" s="122" t="s">
        <v>132</v>
      </c>
      <c r="AR114" s="122" t="s">
        <v>132</v>
      </c>
      <c r="AS114" s="122" t="s">
        <v>132</v>
      </c>
      <c r="AT114" s="122" t="s">
        <v>132</v>
      </c>
      <c r="AU114" s="122" t="s">
        <v>132</v>
      </c>
      <c r="AV114" s="122" t="s">
        <v>131</v>
      </c>
      <c r="AW114" s="327"/>
      <c r="AX114" s="122" t="s">
        <v>131</v>
      </c>
      <c r="AY114" s="145">
        <v>3.0</v>
      </c>
      <c r="AZ114" s="145">
        <v>20.0</v>
      </c>
      <c r="BA114" s="359"/>
      <c r="BB114" s="122" t="s">
        <v>145</v>
      </c>
      <c r="BC114" s="450"/>
      <c r="BD114" s="451">
        <v>3.0</v>
      </c>
      <c r="BE114" s="145">
        <v>3.0</v>
      </c>
      <c r="BF114" s="145">
        <v>4.0</v>
      </c>
      <c r="BG114" s="145">
        <v>5.0</v>
      </c>
      <c r="BH114" s="145">
        <v>2.0</v>
      </c>
      <c r="BI114" s="301" t="str">
        <f t="shared" si="3"/>
        <v>33452</v>
      </c>
      <c r="BJ114" s="145">
        <v>30.0</v>
      </c>
      <c r="BK114" s="145">
        <v>3.0</v>
      </c>
      <c r="BL114" s="145">
        <v>3.0</v>
      </c>
      <c r="BM114" s="145">
        <v>2.0</v>
      </c>
      <c r="BN114" s="145">
        <v>1.0</v>
      </c>
      <c r="BO114" s="145">
        <v>3.0</v>
      </c>
      <c r="BP114" s="145">
        <v>3.0</v>
      </c>
      <c r="BQ114" s="145">
        <v>2.0</v>
      </c>
      <c r="BR114" s="145">
        <v>2.0</v>
      </c>
      <c r="BS114" s="145">
        <v>2.0</v>
      </c>
      <c r="BT114" s="145">
        <v>2.0</v>
      </c>
      <c r="BU114" s="302">
        <f t="shared" si="199"/>
        <v>5</v>
      </c>
      <c r="BV114" s="302">
        <f t="shared" si="200"/>
        <v>4</v>
      </c>
      <c r="BW114" s="302">
        <f t="shared" si="201"/>
        <v>26</v>
      </c>
      <c r="BX114" s="302" t="str">
        <f t="shared" si="202"/>
        <v>FATIGA</v>
      </c>
      <c r="BY114" s="145">
        <v>0.0</v>
      </c>
      <c r="BZ114" s="145">
        <v>0.0</v>
      </c>
      <c r="CA114" s="145">
        <v>0.0</v>
      </c>
      <c r="CB114" s="145">
        <v>0.0</v>
      </c>
      <c r="CC114" s="145">
        <v>0.0</v>
      </c>
      <c r="CD114" s="145">
        <v>0.0</v>
      </c>
      <c r="CE114" s="145">
        <v>6.0</v>
      </c>
      <c r="CF114" s="145">
        <v>0.0</v>
      </c>
      <c r="CG114" s="145">
        <v>45.0</v>
      </c>
      <c r="CH114" s="145">
        <v>6.0</v>
      </c>
      <c r="CI114" s="145">
        <v>0.0</v>
      </c>
      <c r="CJ114" s="303">
        <f t="shared" si="203"/>
        <v>891</v>
      </c>
      <c r="CK114" s="361">
        <f t="shared" si="204"/>
        <v>6</v>
      </c>
      <c r="CL114" s="361" t="b">
        <f t="shared" ref="CL114:CL118" si="216">IF(CJ117&gt;3000,IF(CK117&gt;6,"Nivel de actividad física alto"),IF(CJ117&gt;1500,IF(BY117&gt;2,"Nivel de actividad física alto")))</f>
        <v>0</v>
      </c>
      <c r="CM114" s="361" t="str">
        <f t="shared" si="206"/>
        <v>Nivel de actividad física moderado</v>
      </c>
      <c r="CN114" s="363" t="str">
        <f t="shared" si="207"/>
        <v>Nivel de actividad física moderado</v>
      </c>
      <c r="CO114" s="364">
        <v>0.9375</v>
      </c>
      <c r="CP114" s="145">
        <v>10.0</v>
      </c>
      <c r="CQ114" s="365">
        <f t="shared" si="208"/>
        <v>0</v>
      </c>
      <c r="CR114" s="145">
        <v>9.0</v>
      </c>
      <c r="CS114" s="145">
        <v>0.0</v>
      </c>
      <c r="CT114" s="145">
        <v>10.5</v>
      </c>
      <c r="CU114" s="145">
        <v>10.0</v>
      </c>
      <c r="CV114" s="145">
        <v>2.0</v>
      </c>
      <c r="CW114" s="145">
        <v>3.0</v>
      </c>
      <c r="CX114" s="145">
        <v>1.0</v>
      </c>
      <c r="CY114" s="145">
        <v>0.0</v>
      </c>
      <c r="CZ114" s="145">
        <v>1.0</v>
      </c>
      <c r="DA114" s="145">
        <v>3.0</v>
      </c>
      <c r="DB114" s="145">
        <v>2.0</v>
      </c>
      <c r="DC114" s="145">
        <v>0.0</v>
      </c>
      <c r="DD114" s="145">
        <v>3.0</v>
      </c>
      <c r="DE114" s="358">
        <v>0.0</v>
      </c>
      <c r="DF114" s="358"/>
      <c r="DG114" s="303">
        <f t="shared" si="209"/>
        <v>13</v>
      </c>
      <c r="DH114" s="132">
        <v>1.0</v>
      </c>
      <c r="DI114" s="132">
        <v>3.0</v>
      </c>
      <c r="DJ114" s="132">
        <v>1.0</v>
      </c>
      <c r="DK114" s="132">
        <v>0.0</v>
      </c>
      <c r="DL114" s="303">
        <f t="shared" si="175"/>
        <v>95.23809524</v>
      </c>
      <c r="DM114" s="303">
        <f t="shared" si="176"/>
        <v>0</v>
      </c>
      <c r="DN114" s="303">
        <f t="shared" si="213"/>
        <v>2</v>
      </c>
      <c r="DO114" s="303">
        <f t="shared" si="178"/>
        <v>1</v>
      </c>
      <c r="DP114" s="303">
        <f t="shared" si="214"/>
        <v>1</v>
      </c>
      <c r="DQ114" s="303">
        <f t="shared" si="180"/>
        <v>0</v>
      </c>
      <c r="DR114" s="303">
        <f t="shared" ref="DR114:DS114" si="215">(DH114)</f>
        <v>1</v>
      </c>
      <c r="DS114" s="303">
        <f t="shared" si="215"/>
        <v>3</v>
      </c>
      <c r="DT114" s="366">
        <f t="shared" si="182"/>
        <v>8</v>
      </c>
      <c r="DU114" s="367" t="str">
        <f t="shared" si="183"/>
        <v>poor sleep quality</v>
      </c>
      <c r="DV114" s="321">
        <v>0.0</v>
      </c>
      <c r="DW114" s="321"/>
      <c r="DX114" s="321" t="s">
        <v>146</v>
      </c>
      <c r="DY114" s="321">
        <v>1.0</v>
      </c>
      <c r="DZ114" s="321" t="s">
        <v>131</v>
      </c>
      <c r="EA114" s="321" t="s">
        <v>157</v>
      </c>
      <c r="EB114" s="305"/>
      <c r="EC114" s="321" t="s">
        <v>219</v>
      </c>
      <c r="ED114" s="321"/>
      <c r="EE114" s="321" t="s">
        <v>132</v>
      </c>
      <c r="EF114" s="321" t="s">
        <v>140</v>
      </c>
      <c r="EG114" s="370">
        <f t="shared" si="134"/>
        <v>1618</v>
      </c>
      <c r="EH114" s="370">
        <f t="shared" si="124"/>
        <v>431</v>
      </c>
      <c r="EI114" s="119">
        <f t="shared" si="153"/>
        <v>25.03991871</v>
      </c>
    </row>
    <row r="115" ht="15.75" customHeight="1">
      <c r="A115" s="134" t="s">
        <v>629</v>
      </c>
      <c r="B115" s="134" t="s">
        <v>175</v>
      </c>
      <c r="C115" s="350">
        <v>45570.0</v>
      </c>
      <c r="D115" s="141">
        <v>50.0</v>
      </c>
      <c r="E115" s="122" t="s">
        <v>153</v>
      </c>
      <c r="F115" s="134">
        <v>169.0</v>
      </c>
      <c r="G115" s="143">
        <v>82.0</v>
      </c>
      <c r="H115" s="122" t="s">
        <v>131</v>
      </c>
      <c r="I115" s="134">
        <v>2.0</v>
      </c>
      <c r="J115" s="347">
        <v>44465.0</v>
      </c>
      <c r="K115" s="122" t="s">
        <v>131</v>
      </c>
      <c r="L115" s="134">
        <v>2.0</v>
      </c>
      <c r="M115" s="347">
        <v>44136.0</v>
      </c>
      <c r="N115" s="145">
        <v>0.0</v>
      </c>
      <c r="O115" s="351">
        <v>44562.0</v>
      </c>
      <c r="P115" s="122" t="s">
        <v>132</v>
      </c>
      <c r="V115" s="121" t="str">
        <f t="shared" si="97"/>
        <v>Paciente ambulatorio</v>
      </c>
      <c r="W115" s="122" t="s">
        <v>183</v>
      </c>
      <c r="X115" s="122" t="s">
        <v>132</v>
      </c>
      <c r="Y115" s="134">
        <v>2.0</v>
      </c>
      <c r="Z115" s="134">
        <v>2.0</v>
      </c>
      <c r="AA115" s="134">
        <v>2.0</v>
      </c>
      <c r="AB115" s="134">
        <v>3.0</v>
      </c>
      <c r="AC115" s="134">
        <v>3.0</v>
      </c>
      <c r="AD115" s="134">
        <v>2.0</v>
      </c>
      <c r="AE115" s="134">
        <v>2.0</v>
      </c>
      <c r="AF115" s="134">
        <v>3.0</v>
      </c>
      <c r="AG115" s="134">
        <v>3.0</v>
      </c>
      <c r="AH115" s="134">
        <v>3.0</v>
      </c>
      <c r="AI115" s="134">
        <v>3.0</v>
      </c>
      <c r="AJ115" s="134">
        <v>3.0</v>
      </c>
      <c r="AK115" s="134" t="s">
        <v>630</v>
      </c>
      <c r="AL115" s="399" t="s">
        <v>132</v>
      </c>
      <c r="AM115" s="122" t="s">
        <v>132</v>
      </c>
      <c r="AN115" s="122" t="s">
        <v>132</v>
      </c>
      <c r="AO115" s="122" t="s">
        <v>132</v>
      </c>
      <c r="AP115" s="122" t="s">
        <v>132</v>
      </c>
      <c r="AQ115" s="122" t="s">
        <v>132</v>
      </c>
      <c r="AR115" s="122" t="s">
        <v>132</v>
      </c>
      <c r="AS115" s="122" t="s">
        <v>132</v>
      </c>
      <c r="AT115" s="122" t="s">
        <v>132</v>
      </c>
      <c r="AU115" s="122" t="s">
        <v>132</v>
      </c>
      <c r="AV115" s="122" t="s">
        <v>132</v>
      </c>
      <c r="AX115" s="122" t="s">
        <v>132</v>
      </c>
      <c r="BB115" s="122" t="s">
        <v>135</v>
      </c>
      <c r="BC115" s="134">
        <v>2.0</v>
      </c>
      <c r="BD115" s="134">
        <v>1.0</v>
      </c>
      <c r="BE115" s="134">
        <v>1.0</v>
      </c>
      <c r="BF115" s="134">
        <v>1.0</v>
      </c>
      <c r="BG115" s="134">
        <v>1.0</v>
      </c>
      <c r="BH115" s="134">
        <v>1.0</v>
      </c>
      <c r="BI115" s="301" t="str">
        <f t="shared" si="3"/>
        <v>11111</v>
      </c>
      <c r="BJ115" s="134">
        <v>100.0</v>
      </c>
      <c r="BK115" s="134">
        <v>2.0</v>
      </c>
      <c r="BL115" s="134">
        <v>2.0</v>
      </c>
      <c r="BM115" s="134">
        <v>1.0</v>
      </c>
      <c r="BN115" s="134">
        <v>5.0</v>
      </c>
      <c r="BO115" s="134">
        <v>2.0</v>
      </c>
      <c r="BP115" s="134">
        <v>2.0</v>
      </c>
      <c r="BQ115" s="134">
        <v>2.0</v>
      </c>
      <c r="BR115" s="134">
        <v>1.0</v>
      </c>
      <c r="BS115" s="134">
        <v>2.0</v>
      </c>
      <c r="BT115" s="134">
        <v>4.0</v>
      </c>
      <c r="BU115" s="302">
        <f t="shared" si="199"/>
        <v>1</v>
      </c>
      <c r="BV115" s="302">
        <f t="shared" si="200"/>
        <v>2</v>
      </c>
      <c r="BW115" s="302">
        <f t="shared" si="201"/>
        <v>20</v>
      </c>
      <c r="BX115" s="302" t="str">
        <f t="shared" si="202"/>
        <v>NO HAY FATIGA</v>
      </c>
      <c r="BY115" s="134">
        <v>2.0</v>
      </c>
      <c r="BZ115" s="134">
        <v>1.0</v>
      </c>
      <c r="CA115" s="134">
        <v>0.0</v>
      </c>
      <c r="CB115" s="134">
        <v>4.0</v>
      </c>
      <c r="CC115" s="134">
        <v>0.0</v>
      </c>
      <c r="CD115" s="134">
        <v>30.0</v>
      </c>
      <c r="CE115" s="134">
        <v>0.0</v>
      </c>
      <c r="CF115" s="134">
        <v>0.0</v>
      </c>
      <c r="CG115" s="134">
        <v>0.0</v>
      </c>
      <c r="CH115" s="134">
        <v>6.0</v>
      </c>
      <c r="CI115" s="134">
        <v>0.0</v>
      </c>
      <c r="CJ115" s="303">
        <f t="shared" si="203"/>
        <v>1440</v>
      </c>
      <c r="CK115" s="361">
        <f t="shared" si="204"/>
        <v>6</v>
      </c>
      <c r="CL115" s="361" t="b">
        <f t="shared" si="216"/>
        <v>0</v>
      </c>
      <c r="CM115" s="361" t="str">
        <f t="shared" si="206"/>
        <v>Nivel de actividad física moderado</v>
      </c>
      <c r="CN115" s="363" t="str">
        <f t="shared" si="207"/>
        <v>Nivel de actividad física moderado</v>
      </c>
      <c r="CO115" s="134">
        <v>0.0</v>
      </c>
      <c r="CP115" s="134">
        <v>30.0</v>
      </c>
      <c r="CQ115" s="365">
        <f t="shared" si="208"/>
        <v>1</v>
      </c>
      <c r="CR115" s="134">
        <v>7.0</v>
      </c>
      <c r="CS115" s="134">
        <v>0.0</v>
      </c>
      <c r="CT115" s="134">
        <v>7.0</v>
      </c>
      <c r="CU115" s="134">
        <v>6.0</v>
      </c>
      <c r="CV115" s="134">
        <v>1.0</v>
      </c>
      <c r="CW115" s="134">
        <v>3.0</v>
      </c>
      <c r="CX115" s="134">
        <v>3.0</v>
      </c>
      <c r="CY115" s="134">
        <v>0.0</v>
      </c>
      <c r="CZ115" s="134">
        <v>0.0</v>
      </c>
      <c r="DA115" s="134">
        <v>0.0</v>
      </c>
      <c r="DB115" s="134">
        <v>0.0</v>
      </c>
      <c r="DC115" s="134">
        <v>0.0</v>
      </c>
      <c r="DD115" s="134">
        <v>0.0</v>
      </c>
      <c r="DE115" s="134">
        <v>0.0</v>
      </c>
      <c r="DG115" s="303">
        <f t="shared" si="209"/>
        <v>6</v>
      </c>
      <c r="DH115" s="134">
        <v>1.0</v>
      </c>
      <c r="DI115" s="134">
        <v>0.0</v>
      </c>
      <c r="DJ115" s="134">
        <v>3.0</v>
      </c>
      <c r="DK115" s="134">
        <v>0.0</v>
      </c>
      <c r="DL115" s="303">
        <f t="shared" si="175"/>
        <v>85.71428571</v>
      </c>
      <c r="DM115" s="303">
        <f t="shared" si="176"/>
        <v>1</v>
      </c>
      <c r="DN115" s="303">
        <f t="shared" si="213"/>
        <v>1</v>
      </c>
      <c r="DO115" s="303">
        <f t="shared" si="178"/>
        <v>1</v>
      </c>
      <c r="DP115" s="303">
        <f t="shared" si="214"/>
        <v>2</v>
      </c>
      <c r="DQ115" s="303">
        <f t="shared" si="180"/>
        <v>0</v>
      </c>
      <c r="DR115" s="303">
        <f t="shared" ref="DR115:DS115" si="217">(DH115)</f>
        <v>1</v>
      </c>
      <c r="DS115" s="303">
        <f t="shared" si="217"/>
        <v>0</v>
      </c>
      <c r="DT115" s="366">
        <f t="shared" si="182"/>
        <v>6</v>
      </c>
      <c r="DU115" s="367" t="str">
        <f t="shared" si="183"/>
        <v>poor sleep quality</v>
      </c>
      <c r="DV115" s="134">
        <v>0.0</v>
      </c>
      <c r="DX115" s="321" t="s">
        <v>137</v>
      </c>
      <c r="DY115" s="321">
        <v>1.0</v>
      </c>
      <c r="DZ115" s="321" t="s">
        <v>131</v>
      </c>
      <c r="EA115" s="321" t="s">
        <v>162</v>
      </c>
      <c r="EC115" s="321" t="s">
        <v>172</v>
      </c>
      <c r="EE115" s="321" t="s">
        <v>132</v>
      </c>
      <c r="EF115" s="321" t="s">
        <v>151</v>
      </c>
      <c r="EG115" s="370">
        <f t="shared" si="134"/>
        <v>1434</v>
      </c>
      <c r="EH115" s="370">
        <f t="shared" si="124"/>
        <v>1008</v>
      </c>
      <c r="EI115" s="119">
        <f t="shared" si="153"/>
        <v>28.71047932</v>
      </c>
    </row>
    <row r="116" ht="15.75" customHeight="1">
      <c r="A116" s="134" t="s">
        <v>631</v>
      </c>
      <c r="B116" s="134" t="s">
        <v>175</v>
      </c>
      <c r="C116" s="174">
        <v>45619.0</v>
      </c>
      <c r="D116" s="144">
        <v>53.0</v>
      </c>
      <c r="E116" s="122" t="s">
        <v>153</v>
      </c>
      <c r="F116" s="145">
        <v>176.0</v>
      </c>
      <c r="G116" s="135">
        <v>110.0</v>
      </c>
      <c r="H116" s="122" t="s">
        <v>131</v>
      </c>
      <c r="I116" s="145">
        <v>3.0</v>
      </c>
      <c r="J116" s="455">
        <v>44682.0</v>
      </c>
      <c r="K116" s="122" t="s">
        <v>131</v>
      </c>
      <c r="L116" s="145">
        <v>1.0</v>
      </c>
      <c r="M116" s="355">
        <v>44896.0</v>
      </c>
      <c r="N116" s="122">
        <v>2.0</v>
      </c>
      <c r="O116" s="456"/>
      <c r="P116" s="122" t="s">
        <v>132</v>
      </c>
      <c r="Q116" s="104"/>
      <c r="R116" s="104"/>
      <c r="S116" s="104"/>
      <c r="T116" s="104"/>
      <c r="U116" s="104"/>
      <c r="V116" s="121" t="str">
        <f t="shared" si="97"/>
        <v>Paciente ambulatorio</v>
      </c>
      <c r="W116" s="122" t="s">
        <v>183</v>
      </c>
      <c r="X116" s="122" t="s">
        <v>132</v>
      </c>
      <c r="Y116" s="145">
        <v>2.0</v>
      </c>
      <c r="Z116" s="145">
        <v>1.0</v>
      </c>
      <c r="AA116" s="145">
        <v>3.0</v>
      </c>
      <c r="AB116" s="145">
        <v>2.0</v>
      </c>
      <c r="AC116" s="145">
        <v>1.0</v>
      </c>
      <c r="AD116" s="145">
        <v>1.0</v>
      </c>
      <c r="AE116" s="145">
        <v>1.0</v>
      </c>
      <c r="AF116" s="145">
        <v>1.0</v>
      </c>
      <c r="AG116" s="145">
        <v>1.0</v>
      </c>
      <c r="AH116" s="145">
        <v>3.0</v>
      </c>
      <c r="AI116" s="145">
        <v>1.0</v>
      </c>
      <c r="AJ116" s="145">
        <v>1.0</v>
      </c>
      <c r="AK116" s="127"/>
      <c r="AL116" s="399" t="s">
        <v>132</v>
      </c>
      <c r="AM116" s="122" t="s">
        <v>132</v>
      </c>
      <c r="AN116" s="122" t="s">
        <v>132</v>
      </c>
      <c r="AO116" s="122" t="s">
        <v>132</v>
      </c>
      <c r="AP116" s="122" t="s">
        <v>132</v>
      </c>
      <c r="AQ116" s="122" t="s">
        <v>132</v>
      </c>
      <c r="AR116" s="122" t="s">
        <v>132</v>
      </c>
      <c r="AS116" s="122" t="s">
        <v>132</v>
      </c>
      <c r="AT116" s="122" t="s">
        <v>132</v>
      </c>
      <c r="AU116" s="122" t="s">
        <v>132</v>
      </c>
      <c r="AV116" s="122" t="s">
        <v>132</v>
      </c>
      <c r="AW116" s="104"/>
      <c r="AX116" s="122" t="s">
        <v>165</v>
      </c>
      <c r="AY116" s="457"/>
      <c r="AZ116" s="457"/>
      <c r="BA116" s="358">
        <v>9.0</v>
      </c>
      <c r="BB116" s="122" t="s">
        <v>145</v>
      </c>
      <c r="BC116" s="458"/>
      <c r="BD116" s="451">
        <v>1.0</v>
      </c>
      <c r="BE116" s="145">
        <v>2.0</v>
      </c>
      <c r="BF116" s="145">
        <v>2.0</v>
      </c>
      <c r="BG116" s="145">
        <v>2.0</v>
      </c>
      <c r="BH116" s="145">
        <v>2.0</v>
      </c>
      <c r="BI116" s="301" t="str">
        <f t="shared" si="3"/>
        <v>12222</v>
      </c>
      <c r="BJ116" s="145">
        <v>60.0</v>
      </c>
      <c r="BK116" s="145">
        <v>4.0</v>
      </c>
      <c r="BL116" s="145">
        <v>5.0</v>
      </c>
      <c r="BM116" s="145">
        <v>5.0</v>
      </c>
      <c r="BN116" s="145">
        <v>1.0</v>
      </c>
      <c r="BO116" s="145">
        <v>4.0</v>
      </c>
      <c r="BP116" s="145">
        <v>3.0</v>
      </c>
      <c r="BQ116" s="145">
        <v>3.0</v>
      </c>
      <c r="BR116" s="145">
        <v>3.0</v>
      </c>
      <c r="BS116" s="145">
        <v>3.0</v>
      </c>
      <c r="BT116" s="145">
        <v>2.0</v>
      </c>
      <c r="BU116" s="302">
        <f t="shared" si="199"/>
        <v>5</v>
      </c>
      <c r="BV116" s="302">
        <f t="shared" si="200"/>
        <v>4</v>
      </c>
      <c r="BW116" s="302">
        <f t="shared" si="201"/>
        <v>36</v>
      </c>
      <c r="BX116" s="302" t="str">
        <f t="shared" si="202"/>
        <v>FATIGA EXTREMA</v>
      </c>
      <c r="BY116" s="145">
        <v>1.0</v>
      </c>
      <c r="BZ116" s="145">
        <v>0.0</v>
      </c>
      <c r="CA116" s="145">
        <v>20.0</v>
      </c>
      <c r="CB116" s="145">
        <v>0.0</v>
      </c>
      <c r="CC116" s="145">
        <v>0.0</v>
      </c>
      <c r="CD116" s="145">
        <v>0.0</v>
      </c>
      <c r="CE116" s="145">
        <v>7.0</v>
      </c>
      <c r="CF116" s="145">
        <v>0.0</v>
      </c>
      <c r="CG116" s="145">
        <v>30.0</v>
      </c>
      <c r="CH116" s="145">
        <v>12.0</v>
      </c>
      <c r="CI116" s="145">
        <v>0.0</v>
      </c>
      <c r="CJ116" s="303">
        <f t="shared" si="203"/>
        <v>853</v>
      </c>
      <c r="CK116" s="361">
        <f t="shared" si="204"/>
        <v>8</v>
      </c>
      <c r="CL116" s="361" t="b">
        <f t="shared" si="216"/>
        <v>0</v>
      </c>
      <c r="CM116" s="361" t="b">
        <f t="shared" si="206"/>
        <v>0</v>
      </c>
      <c r="CN116" s="363" t="str">
        <f t="shared" si="207"/>
        <v>Nivel de actividad física bajo</v>
      </c>
      <c r="CO116" s="145">
        <v>24.0</v>
      </c>
      <c r="CP116" s="145">
        <v>20.0</v>
      </c>
      <c r="CQ116" s="365">
        <f t="shared" si="208"/>
        <v>1</v>
      </c>
      <c r="CR116" s="145">
        <v>6.0</v>
      </c>
      <c r="CS116" s="145">
        <v>30.0</v>
      </c>
      <c r="CT116" s="145">
        <v>6.5</v>
      </c>
      <c r="CU116" s="145">
        <v>5.0</v>
      </c>
      <c r="CV116" s="145">
        <v>1.0</v>
      </c>
      <c r="CW116" s="145">
        <v>3.0</v>
      </c>
      <c r="CX116" s="145">
        <v>3.0</v>
      </c>
      <c r="CY116" s="145">
        <v>2.0</v>
      </c>
      <c r="CZ116" s="145">
        <v>2.0</v>
      </c>
      <c r="DA116" s="145">
        <v>1.0</v>
      </c>
      <c r="DB116" s="145">
        <v>0.0</v>
      </c>
      <c r="DC116" s="145">
        <v>2.0</v>
      </c>
      <c r="DD116" s="145">
        <v>2.0</v>
      </c>
      <c r="DE116" s="134">
        <v>1.0</v>
      </c>
      <c r="DF116" s="358" t="s">
        <v>380</v>
      </c>
      <c r="DG116" s="303">
        <f t="shared" si="209"/>
        <v>16</v>
      </c>
      <c r="DH116" s="145">
        <v>2.0</v>
      </c>
      <c r="DI116" s="145">
        <v>0.0</v>
      </c>
      <c r="DJ116" s="145">
        <v>2.0</v>
      </c>
      <c r="DK116" s="145">
        <v>2.0</v>
      </c>
      <c r="DL116" s="303">
        <f t="shared" si="175"/>
        <v>76.92307692</v>
      </c>
      <c r="DM116" s="303">
        <f t="shared" si="176"/>
        <v>2</v>
      </c>
      <c r="DN116" s="303">
        <f t="shared" si="213"/>
        <v>2</v>
      </c>
      <c r="DO116" s="303">
        <f t="shared" si="178"/>
        <v>1</v>
      </c>
      <c r="DP116" s="303">
        <f t="shared" si="214"/>
        <v>2</v>
      </c>
      <c r="DQ116" s="303">
        <f t="shared" si="180"/>
        <v>1</v>
      </c>
      <c r="DR116" s="303">
        <f t="shared" ref="DR116:DS116" si="218">(DH116)</f>
        <v>2</v>
      </c>
      <c r="DS116" s="303">
        <f t="shared" si="218"/>
        <v>0</v>
      </c>
      <c r="DT116" s="366">
        <f t="shared" si="182"/>
        <v>10</v>
      </c>
      <c r="DU116" s="367" t="str">
        <f t="shared" si="183"/>
        <v>poor sleep quality</v>
      </c>
      <c r="DV116" s="368">
        <v>4.0</v>
      </c>
      <c r="DW116" s="322" t="s">
        <v>149</v>
      </c>
      <c r="DX116" s="322" t="s">
        <v>146</v>
      </c>
      <c r="DY116" s="459"/>
      <c r="DZ116" s="460"/>
      <c r="EA116" s="460"/>
      <c r="EB116" s="457"/>
      <c r="EC116" s="460"/>
      <c r="ED116" s="461"/>
      <c r="EE116" s="460"/>
      <c r="EF116" s="460"/>
      <c r="EG116" s="370">
        <f t="shared" si="134"/>
        <v>723</v>
      </c>
      <c r="EH116" s="370">
        <f t="shared" si="124"/>
        <v>45619</v>
      </c>
      <c r="EI116" s="119">
        <f t="shared" si="153"/>
        <v>35.51136364</v>
      </c>
    </row>
    <row r="117" ht="15.75" customHeight="1">
      <c r="A117" s="89" t="s">
        <v>632</v>
      </c>
      <c r="B117" s="134" t="s">
        <v>175</v>
      </c>
      <c r="C117" s="462">
        <v>45605.0</v>
      </c>
      <c r="D117" s="144">
        <v>42.0</v>
      </c>
      <c r="E117" s="122" t="s">
        <v>130</v>
      </c>
      <c r="F117" s="145">
        <v>171.0</v>
      </c>
      <c r="G117" s="135">
        <v>110.0</v>
      </c>
      <c r="H117" s="122" t="s">
        <v>131</v>
      </c>
      <c r="I117" s="145">
        <v>3.0</v>
      </c>
      <c r="J117" s="463">
        <v>44531.0</v>
      </c>
      <c r="K117" s="122" t="s">
        <v>131</v>
      </c>
      <c r="L117" s="145">
        <v>3.0</v>
      </c>
      <c r="M117" s="355">
        <v>44075.0</v>
      </c>
      <c r="N117" s="145">
        <v>0.0</v>
      </c>
      <c r="O117" s="464">
        <v>44593.0</v>
      </c>
      <c r="P117" s="122" t="s">
        <v>132</v>
      </c>
      <c r="Q117" s="104"/>
      <c r="R117" s="104"/>
      <c r="S117" s="104"/>
      <c r="T117" s="104"/>
      <c r="U117" s="104"/>
      <c r="V117" s="121" t="str">
        <f t="shared" si="97"/>
        <v>Paciente ambulatorio</v>
      </c>
      <c r="W117" s="122" t="s">
        <v>183</v>
      </c>
      <c r="X117" s="122" t="s">
        <v>132</v>
      </c>
      <c r="Y117" s="145">
        <v>1.0</v>
      </c>
      <c r="Z117" s="145">
        <v>2.0</v>
      </c>
      <c r="AA117" s="145">
        <v>2.0</v>
      </c>
      <c r="AB117" s="145">
        <v>2.0</v>
      </c>
      <c r="AC117" s="145">
        <v>2.0</v>
      </c>
      <c r="AD117" s="145">
        <v>1.0</v>
      </c>
      <c r="AE117" s="145">
        <v>1.0</v>
      </c>
      <c r="AF117" s="145">
        <v>1.0</v>
      </c>
      <c r="AG117" s="145">
        <v>3.0</v>
      </c>
      <c r="AH117" s="145">
        <v>1.0</v>
      </c>
      <c r="AI117" s="145">
        <v>1.0</v>
      </c>
      <c r="AJ117" s="145">
        <v>1.0</v>
      </c>
      <c r="AK117" s="104"/>
      <c r="AL117" s="399" t="s">
        <v>132</v>
      </c>
      <c r="AM117" s="122" t="s">
        <v>132</v>
      </c>
      <c r="AN117" s="122" t="s">
        <v>132</v>
      </c>
      <c r="AO117" s="122" t="s">
        <v>132</v>
      </c>
      <c r="AP117" s="122" t="s">
        <v>132</v>
      </c>
      <c r="AQ117" s="122" t="s">
        <v>132</v>
      </c>
      <c r="AR117" s="122" t="s">
        <v>132</v>
      </c>
      <c r="AS117" s="122" t="s">
        <v>132</v>
      </c>
      <c r="AT117" s="122" t="s">
        <v>132</v>
      </c>
      <c r="AU117" s="122" t="s">
        <v>132</v>
      </c>
      <c r="AV117" s="122" t="s">
        <v>131</v>
      </c>
      <c r="AW117" s="122" t="s">
        <v>633</v>
      </c>
      <c r="AX117" s="122"/>
      <c r="AY117" s="457"/>
      <c r="AZ117" s="457"/>
      <c r="BA117" s="457"/>
      <c r="BB117" s="104"/>
      <c r="BC117" s="465"/>
      <c r="BD117" s="451">
        <v>2.0</v>
      </c>
      <c r="BE117" s="145">
        <v>1.0</v>
      </c>
      <c r="BF117" s="145">
        <v>2.0</v>
      </c>
      <c r="BG117" s="145">
        <v>3.0</v>
      </c>
      <c r="BH117" s="145">
        <v>4.0</v>
      </c>
      <c r="BI117" s="301" t="str">
        <f t="shared" si="3"/>
        <v>21234</v>
      </c>
      <c r="BJ117" s="145">
        <v>50.0</v>
      </c>
      <c r="BK117" s="145">
        <v>4.0</v>
      </c>
      <c r="BL117" s="145">
        <v>4.0</v>
      </c>
      <c r="BM117" s="145">
        <v>2.0</v>
      </c>
      <c r="BN117" s="145">
        <v>2.0</v>
      </c>
      <c r="BO117" s="145">
        <v>3.0</v>
      </c>
      <c r="BP117" s="145">
        <v>4.0</v>
      </c>
      <c r="BQ117" s="145">
        <v>2.0</v>
      </c>
      <c r="BR117" s="145">
        <v>2.0</v>
      </c>
      <c r="BS117" s="145">
        <v>3.0</v>
      </c>
      <c r="BT117" s="145">
        <v>4.0</v>
      </c>
      <c r="BU117" s="302">
        <f t="shared" si="199"/>
        <v>4</v>
      </c>
      <c r="BV117" s="302">
        <f t="shared" si="200"/>
        <v>2</v>
      </c>
      <c r="BW117" s="302">
        <f t="shared" si="201"/>
        <v>30</v>
      </c>
      <c r="BX117" s="302" t="str">
        <f t="shared" si="202"/>
        <v>FATIGA</v>
      </c>
      <c r="BY117" s="358">
        <v>0.0</v>
      </c>
      <c r="BZ117" s="358">
        <v>0.0</v>
      </c>
      <c r="CA117" s="358">
        <v>0.0</v>
      </c>
      <c r="CB117" s="145">
        <v>7.0</v>
      </c>
      <c r="CC117" s="145">
        <v>0.0</v>
      </c>
      <c r="CD117" s="145">
        <v>30.0</v>
      </c>
      <c r="CE117" s="145">
        <v>3.0</v>
      </c>
      <c r="CF117" s="145">
        <v>1.0</v>
      </c>
      <c r="CG117" s="145">
        <v>0.0</v>
      </c>
      <c r="CH117" s="145">
        <v>6.0</v>
      </c>
      <c r="CI117" s="145">
        <v>0.0</v>
      </c>
      <c r="CJ117" s="303">
        <f t="shared" si="203"/>
        <v>1434</v>
      </c>
      <c r="CK117" s="361">
        <f t="shared" si="204"/>
        <v>10</v>
      </c>
      <c r="CL117" s="361" t="b">
        <f t="shared" si="216"/>
        <v>0</v>
      </c>
      <c r="CM117" s="361" t="str">
        <f t="shared" si="206"/>
        <v>Nivel de actividad física moderado</v>
      </c>
      <c r="CN117" s="363" t="str">
        <f t="shared" si="207"/>
        <v>Nivel de actividad física moderado</v>
      </c>
      <c r="CO117" s="145">
        <v>1.0</v>
      </c>
      <c r="CP117" s="145">
        <v>30.0</v>
      </c>
      <c r="CQ117" s="365">
        <f t="shared" si="208"/>
        <v>1</v>
      </c>
      <c r="CR117" s="145">
        <v>9.0</v>
      </c>
      <c r="CS117" s="145">
        <v>0.0</v>
      </c>
      <c r="CT117" s="145">
        <v>8.0</v>
      </c>
      <c r="CU117" s="145">
        <v>5.0</v>
      </c>
      <c r="CV117" s="145">
        <v>0.0</v>
      </c>
      <c r="CW117" s="145">
        <v>2.0</v>
      </c>
      <c r="CX117" s="145">
        <v>0.0</v>
      </c>
      <c r="CY117" s="145">
        <v>0.0</v>
      </c>
      <c r="CZ117" s="145">
        <v>0.0</v>
      </c>
      <c r="DA117" s="145">
        <v>2.0</v>
      </c>
      <c r="DB117" s="145">
        <v>3.0</v>
      </c>
      <c r="DC117" s="145">
        <v>3.0</v>
      </c>
      <c r="DD117" s="145">
        <v>3.0</v>
      </c>
      <c r="DE117" s="134">
        <v>2.0</v>
      </c>
      <c r="DF117" s="358" t="s">
        <v>634</v>
      </c>
      <c r="DG117" s="303">
        <f t="shared" si="209"/>
        <v>15</v>
      </c>
      <c r="DH117" s="145">
        <v>2.0</v>
      </c>
      <c r="DI117" s="145">
        <v>3.0</v>
      </c>
      <c r="DJ117" s="145">
        <v>3.0</v>
      </c>
      <c r="DK117" s="145">
        <v>3.0</v>
      </c>
      <c r="DL117" s="303">
        <f t="shared" si="175"/>
        <v>62.5</v>
      </c>
      <c r="DM117" s="303">
        <f t="shared" si="176"/>
        <v>2</v>
      </c>
      <c r="DN117" s="303">
        <f t="shared" si="213"/>
        <v>2</v>
      </c>
      <c r="DO117" s="303">
        <f t="shared" si="178"/>
        <v>1</v>
      </c>
      <c r="DP117" s="303">
        <f t="shared" si="214"/>
        <v>3</v>
      </c>
      <c r="DQ117" s="303">
        <f t="shared" si="180"/>
        <v>3</v>
      </c>
      <c r="DR117" s="303">
        <f t="shared" ref="DR117:DS117" si="219">(DH117)</f>
        <v>2</v>
      </c>
      <c r="DS117" s="303">
        <f t="shared" si="219"/>
        <v>3</v>
      </c>
      <c r="DT117" s="366">
        <f t="shared" si="182"/>
        <v>16</v>
      </c>
      <c r="DU117" s="367" t="str">
        <f t="shared" si="183"/>
        <v>poor sleep quality</v>
      </c>
      <c r="DV117" s="368">
        <v>3.0</v>
      </c>
      <c r="DW117" s="322" t="s">
        <v>635</v>
      </c>
      <c r="DX117" s="322" t="s">
        <v>146</v>
      </c>
      <c r="DY117" s="368">
        <v>1.0</v>
      </c>
      <c r="DZ117" s="322" t="s">
        <v>131</v>
      </c>
      <c r="EA117" s="322" t="s">
        <v>167</v>
      </c>
      <c r="EB117" s="457"/>
      <c r="EC117" s="322" t="s">
        <v>287</v>
      </c>
      <c r="ED117" s="358" t="s">
        <v>140</v>
      </c>
      <c r="EE117" s="358" t="s">
        <v>132</v>
      </c>
      <c r="EF117" s="322" t="s">
        <v>141</v>
      </c>
      <c r="EG117" s="370">
        <f t="shared" si="134"/>
        <v>1530</v>
      </c>
      <c r="EH117" s="370">
        <f t="shared" si="124"/>
        <v>1012</v>
      </c>
      <c r="EI117" s="119">
        <f t="shared" si="153"/>
        <v>37.6184125</v>
      </c>
    </row>
    <row r="118" ht="15.75" customHeight="1">
      <c r="A118" s="89" t="s">
        <v>636</v>
      </c>
      <c r="B118" s="134" t="s">
        <v>175</v>
      </c>
      <c r="C118" s="462">
        <v>45605.0</v>
      </c>
      <c r="D118" s="144">
        <v>38.0</v>
      </c>
      <c r="E118" s="122" t="s">
        <v>130</v>
      </c>
      <c r="F118" s="145">
        <v>160.0</v>
      </c>
      <c r="G118" s="135">
        <v>100.0</v>
      </c>
      <c r="H118" s="122" t="s">
        <v>131</v>
      </c>
      <c r="I118" s="145">
        <v>3.0</v>
      </c>
      <c r="J118" s="400"/>
      <c r="K118" s="122" t="s">
        <v>131</v>
      </c>
      <c r="L118" s="145">
        <v>2.0</v>
      </c>
      <c r="M118" s="464">
        <v>44044.0</v>
      </c>
      <c r="N118" s="145">
        <v>0.0</v>
      </c>
      <c r="O118" s="145">
        <v>2022.0</v>
      </c>
      <c r="P118" s="122" t="s">
        <v>132</v>
      </c>
      <c r="Q118" s="104"/>
      <c r="R118" s="104"/>
      <c r="S118" s="104"/>
      <c r="T118" s="104"/>
      <c r="U118" s="104"/>
      <c r="V118" s="121" t="str">
        <f t="shared" si="97"/>
        <v>Paciente ambulatorio</v>
      </c>
      <c r="W118" s="122" t="s">
        <v>183</v>
      </c>
      <c r="X118" s="122" t="s">
        <v>132</v>
      </c>
      <c r="Y118" s="145">
        <v>2.0</v>
      </c>
      <c r="Z118" s="145">
        <v>1.0</v>
      </c>
      <c r="AA118" s="145">
        <v>1.0</v>
      </c>
      <c r="AB118" s="145">
        <v>1.0</v>
      </c>
      <c r="AC118" s="145">
        <v>2.0</v>
      </c>
      <c r="AD118" s="145">
        <v>2.0</v>
      </c>
      <c r="AE118" s="145">
        <v>2.0</v>
      </c>
      <c r="AF118" s="145">
        <v>1.0</v>
      </c>
      <c r="AG118" s="145">
        <v>1.0</v>
      </c>
      <c r="AH118" s="145">
        <v>1.0</v>
      </c>
      <c r="AI118" s="145">
        <v>1.0</v>
      </c>
      <c r="AJ118" s="145">
        <v>1.0</v>
      </c>
      <c r="AK118" s="104"/>
      <c r="AL118" s="399" t="s">
        <v>132</v>
      </c>
      <c r="AM118" s="122" t="s">
        <v>132</v>
      </c>
      <c r="AN118" s="122" t="s">
        <v>132</v>
      </c>
      <c r="AO118" s="122" t="s">
        <v>132</v>
      </c>
      <c r="AP118" s="122" t="s">
        <v>132</v>
      </c>
      <c r="AQ118" s="122" t="s">
        <v>132</v>
      </c>
      <c r="AR118" s="122" t="s">
        <v>132</v>
      </c>
      <c r="AS118" s="122" t="s">
        <v>132</v>
      </c>
      <c r="AT118" s="122" t="s">
        <v>132</v>
      </c>
      <c r="AU118" s="122" t="s">
        <v>132</v>
      </c>
      <c r="AV118" s="122" t="s">
        <v>131</v>
      </c>
      <c r="AW118" s="122" t="s">
        <v>590</v>
      </c>
      <c r="AX118" s="122" t="s">
        <v>131</v>
      </c>
      <c r="AY118" s="358">
        <v>1.0</v>
      </c>
      <c r="AZ118" s="358">
        <v>2.0</v>
      </c>
      <c r="BA118" s="466"/>
      <c r="BB118" s="122" t="s">
        <v>145</v>
      </c>
      <c r="BC118" s="465"/>
      <c r="BD118" s="451">
        <v>1.0</v>
      </c>
      <c r="BE118" s="145">
        <v>1.0</v>
      </c>
      <c r="BF118" s="145">
        <v>2.0</v>
      </c>
      <c r="BG118" s="145">
        <v>1.0</v>
      </c>
      <c r="BH118" s="145">
        <v>2.0</v>
      </c>
      <c r="BI118" s="301" t="str">
        <f t="shared" si="3"/>
        <v>11212</v>
      </c>
      <c r="BJ118" s="145">
        <v>75.0</v>
      </c>
      <c r="BK118" s="128"/>
      <c r="BL118" s="128"/>
      <c r="BM118" s="128"/>
      <c r="BN118" s="128"/>
      <c r="BO118" s="128"/>
      <c r="BP118" s="128"/>
      <c r="BQ118" s="128"/>
      <c r="BR118" s="128"/>
      <c r="BS118" s="128"/>
      <c r="BT118" s="128"/>
      <c r="BU118" s="302" t="b">
        <f t="shared" si="199"/>
        <v>0</v>
      </c>
      <c r="BV118" s="302" t="b">
        <f t="shared" si="200"/>
        <v>0</v>
      </c>
      <c r="BW118" s="302">
        <f t="shared" si="201"/>
        <v>0</v>
      </c>
      <c r="BX118" s="302" t="str">
        <f t="shared" si="202"/>
        <v>NO HAY FATIGA</v>
      </c>
      <c r="BY118" s="145">
        <v>0.0</v>
      </c>
      <c r="BZ118" s="145">
        <v>0.0</v>
      </c>
      <c r="CA118" s="145">
        <v>0.0</v>
      </c>
      <c r="CB118" s="145">
        <v>0.0</v>
      </c>
      <c r="CC118" s="145">
        <v>0.0</v>
      </c>
      <c r="CD118" s="145">
        <v>0.0</v>
      </c>
      <c r="CE118" s="145">
        <v>5.0</v>
      </c>
      <c r="CF118" s="145">
        <v>0.0</v>
      </c>
      <c r="CG118" s="145">
        <v>15.0</v>
      </c>
      <c r="CH118" s="145">
        <v>8.0</v>
      </c>
      <c r="CI118" s="145">
        <v>0.0</v>
      </c>
      <c r="CJ118" s="303">
        <f t="shared" si="203"/>
        <v>247.5</v>
      </c>
      <c r="CK118" s="361">
        <f t="shared" si="204"/>
        <v>5</v>
      </c>
      <c r="CL118" s="361" t="b">
        <f t="shared" si="216"/>
        <v>0</v>
      </c>
      <c r="CM118" s="361" t="b">
        <f t="shared" si="206"/>
        <v>0</v>
      </c>
      <c r="CN118" s="363" t="str">
        <f t="shared" si="207"/>
        <v>Nivel de actividad física bajo</v>
      </c>
      <c r="CO118" s="145">
        <v>21.0</v>
      </c>
      <c r="CP118" s="145">
        <v>90.0</v>
      </c>
      <c r="CQ118" s="467"/>
      <c r="CR118" s="145">
        <v>5.0</v>
      </c>
      <c r="CS118" s="145">
        <v>30.0</v>
      </c>
      <c r="CT118" s="145">
        <v>8.5</v>
      </c>
      <c r="CU118" s="145">
        <v>4.0</v>
      </c>
      <c r="CV118" s="145">
        <v>3.0</v>
      </c>
      <c r="CW118" s="145">
        <v>3.0</v>
      </c>
      <c r="CX118" s="145">
        <v>3.0</v>
      </c>
      <c r="CY118" s="145">
        <v>0.0</v>
      </c>
      <c r="CZ118" s="145">
        <v>0.0</v>
      </c>
      <c r="DA118" s="145">
        <v>0.0</v>
      </c>
      <c r="DB118" s="145">
        <v>2.0</v>
      </c>
      <c r="DC118" s="145">
        <v>0.0</v>
      </c>
      <c r="DD118" s="145">
        <v>3.0</v>
      </c>
      <c r="DE118" s="134">
        <v>0.0</v>
      </c>
      <c r="DF118" s="457"/>
      <c r="DG118" s="303">
        <f t="shared" si="209"/>
        <v>11</v>
      </c>
      <c r="DH118" s="145">
        <v>2.0</v>
      </c>
      <c r="DI118" s="145">
        <v>3.0</v>
      </c>
      <c r="DJ118" s="145">
        <v>3.0</v>
      </c>
      <c r="DK118" s="145">
        <v>0.0</v>
      </c>
      <c r="DL118" s="303">
        <f t="shared" si="175"/>
        <v>47.05882353</v>
      </c>
      <c r="DM118" s="303">
        <f t="shared" si="176"/>
        <v>3</v>
      </c>
      <c r="DN118" s="303">
        <f t="shared" si="213"/>
        <v>2</v>
      </c>
      <c r="DO118" s="303">
        <f t="shared" si="178"/>
        <v>2</v>
      </c>
      <c r="DP118" s="303">
        <f t="shared" si="214"/>
        <v>2</v>
      </c>
      <c r="DQ118" s="303">
        <f t="shared" si="180"/>
        <v>3</v>
      </c>
      <c r="DR118" s="303">
        <f t="shared" ref="DR118:DS118" si="220">(DH118)</f>
        <v>2</v>
      </c>
      <c r="DS118" s="303">
        <f t="shared" si="220"/>
        <v>3</v>
      </c>
      <c r="DT118" s="366">
        <f t="shared" si="182"/>
        <v>17</v>
      </c>
      <c r="DU118" s="367" t="str">
        <f t="shared" si="183"/>
        <v>poor sleep quality</v>
      </c>
      <c r="DV118" s="368">
        <v>1.0</v>
      </c>
      <c r="DW118" s="358" t="s">
        <v>594</v>
      </c>
      <c r="DX118" s="322" t="s">
        <v>137</v>
      </c>
      <c r="DY118" s="368">
        <v>1.0</v>
      </c>
      <c r="DZ118" s="322" t="s">
        <v>131</v>
      </c>
      <c r="EA118" s="322" t="s">
        <v>157</v>
      </c>
      <c r="EB118" s="358"/>
      <c r="EC118" s="322" t="s">
        <v>139</v>
      </c>
      <c r="ED118" s="457"/>
      <c r="EE118" s="322" t="s">
        <v>131</v>
      </c>
      <c r="EF118" s="322" t="s">
        <v>203</v>
      </c>
      <c r="EG118" s="370">
        <f t="shared" si="134"/>
        <v>1561</v>
      </c>
      <c r="EH118" s="468">
        <f t="shared" si="124"/>
        <v>43583</v>
      </c>
      <c r="EI118" s="119">
        <f t="shared" si="153"/>
        <v>39.0625</v>
      </c>
    </row>
    <row r="119" ht="15.75" customHeight="1">
      <c r="A119" s="89" t="s">
        <v>637</v>
      </c>
      <c r="B119" s="134" t="s">
        <v>175</v>
      </c>
      <c r="C119" s="462">
        <v>45598.0</v>
      </c>
      <c r="D119" s="469">
        <v>51.0</v>
      </c>
      <c r="E119" s="104" t="s">
        <v>130</v>
      </c>
      <c r="F119" s="128">
        <v>165.0</v>
      </c>
      <c r="G119" s="147">
        <v>72.0</v>
      </c>
      <c r="H119" s="104" t="s">
        <v>131</v>
      </c>
      <c r="I119" s="128">
        <v>3.0</v>
      </c>
      <c r="J119" s="371">
        <v>44650.0</v>
      </c>
      <c r="K119" s="104" t="s">
        <v>131</v>
      </c>
      <c r="L119" s="128">
        <v>1.0</v>
      </c>
      <c r="M119" s="371">
        <v>44581.0</v>
      </c>
      <c r="N119" s="128">
        <v>2.0</v>
      </c>
      <c r="O119" s="104"/>
      <c r="P119" s="104" t="s">
        <v>132</v>
      </c>
      <c r="Q119" s="104"/>
      <c r="R119" s="104"/>
      <c r="S119" s="104"/>
      <c r="T119" s="104"/>
      <c r="U119" s="457"/>
      <c r="V119" s="121" t="str">
        <f t="shared" si="97"/>
        <v>Paciente ambulatorio</v>
      </c>
      <c r="W119" s="104" t="s">
        <v>183</v>
      </c>
      <c r="X119" s="104" t="s">
        <v>132</v>
      </c>
      <c r="Y119" s="128">
        <v>3.0</v>
      </c>
      <c r="Z119" s="128">
        <v>2.0</v>
      </c>
      <c r="AA119" s="128">
        <v>3.0</v>
      </c>
      <c r="AB119" s="128">
        <v>3.0</v>
      </c>
      <c r="AC119" s="128">
        <v>1.0</v>
      </c>
      <c r="AD119" s="128">
        <v>2.0</v>
      </c>
      <c r="AE119" s="128">
        <v>2.0</v>
      </c>
      <c r="AF119" s="128">
        <v>1.0</v>
      </c>
      <c r="AG119" s="128">
        <v>1.0</v>
      </c>
      <c r="AH119" s="128">
        <v>2.0</v>
      </c>
      <c r="AI119" s="128">
        <v>1.0</v>
      </c>
      <c r="AJ119" s="128">
        <v>1.0</v>
      </c>
      <c r="AK119" s="104"/>
      <c r="AL119" s="104" t="s">
        <v>132</v>
      </c>
      <c r="AM119" s="104" t="s">
        <v>132</v>
      </c>
      <c r="AN119" s="104" t="s">
        <v>132</v>
      </c>
      <c r="AO119" s="104" t="s">
        <v>132</v>
      </c>
      <c r="AP119" s="104" t="s">
        <v>132</v>
      </c>
      <c r="AQ119" s="104" t="s">
        <v>132</v>
      </c>
      <c r="AR119" s="104" t="s">
        <v>132</v>
      </c>
      <c r="AS119" s="104" t="s">
        <v>132</v>
      </c>
      <c r="AT119" s="104" t="s">
        <v>132</v>
      </c>
      <c r="AU119" s="104" t="s">
        <v>132</v>
      </c>
      <c r="AV119" s="104" t="s">
        <v>132</v>
      </c>
      <c r="AW119" s="457"/>
      <c r="AX119" s="127" t="s">
        <v>132</v>
      </c>
      <c r="AY119" s="457"/>
      <c r="AZ119" s="457"/>
      <c r="BA119" s="457"/>
      <c r="BB119" s="104" t="s">
        <v>145</v>
      </c>
      <c r="BC119" s="465"/>
      <c r="BD119" s="470">
        <v>1.0</v>
      </c>
      <c r="BE119" s="128">
        <v>1.0</v>
      </c>
      <c r="BF119" s="128">
        <v>1.0</v>
      </c>
      <c r="BG119" s="128">
        <v>1.0</v>
      </c>
      <c r="BH119" s="128">
        <v>2.0</v>
      </c>
      <c r="BI119" s="361" t="str">
        <f t="shared" si="3"/>
        <v>11112</v>
      </c>
      <c r="BJ119" s="128">
        <v>80.0</v>
      </c>
      <c r="BK119" s="128">
        <v>2.0</v>
      </c>
      <c r="BL119" s="128">
        <v>3.0</v>
      </c>
      <c r="BM119" s="128">
        <v>1.0</v>
      </c>
      <c r="BN119" s="128">
        <v>2.0</v>
      </c>
      <c r="BO119" s="128">
        <v>2.0</v>
      </c>
      <c r="BP119" s="128">
        <v>2.0</v>
      </c>
      <c r="BQ119" s="128">
        <v>3.0</v>
      </c>
      <c r="BR119" s="128">
        <v>1.0</v>
      </c>
      <c r="BS119" s="128">
        <v>2.0</v>
      </c>
      <c r="BT119" s="128">
        <v>2.0</v>
      </c>
      <c r="BU119" s="303">
        <f t="shared" ref="BU119:BU123" si="221">IF(BN119=1,5,IF(BN119=2,4,IF(BN119=3,3,IF(BN119=4,2,IF(BN119=5,1)))))</f>
        <v>4</v>
      </c>
      <c r="BV119" s="303">
        <f t="shared" ref="BV119:BV123" si="222">IF(BT119=1,5,IF(BT119=2,4,IF(BT119=3,3,IF(BT119=4,2,IF(BT119=5,1)))))</f>
        <v>4</v>
      </c>
      <c r="BW119" s="303">
        <f t="shared" si="201"/>
        <v>22</v>
      </c>
      <c r="BX119" s="362" t="str">
        <f t="shared" ref="BX119:BX123" si="223">IF(BW119&lt;22,"NO HAY FATIGA",IF(BW119&lt;35,"FATIGA","FATIGA EXTREMA"))</f>
        <v>FATIGA</v>
      </c>
      <c r="BY119" s="128">
        <v>2.0</v>
      </c>
      <c r="BZ119" s="128">
        <v>2.0</v>
      </c>
      <c r="CA119" s="128">
        <v>0.0</v>
      </c>
      <c r="CB119" s="128">
        <v>5.0</v>
      </c>
      <c r="CC119" s="128">
        <v>3.0</v>
      </c>
      <c r="CD119" s="128">
        <v>0.0</v>
      </c>
      <c r="CE119" s="128">
        <v>5.0</v>
      </c>
      <c r="CF119" s="128">
        <v>1.0</v>
      </c>
      <c r="CG119" s="128">
        <v>0.0</v>
      </c>
      <c r="CH119" s="128">
        <v>1.0</v>
      </c>
      <c r="CI119" s="128">
        <v>0.0</v>
      </c>
      <c r="CJ119" s="362"/>
      <c r="CK119" s="362"/>
      <c r="CL119" s="362"/>
      <c r="CM119" s="362"/>
      <c r="CN119" s="363" t="str">
        <f t="shared" si="207"/>
        <v>Nivel de actividad física bajo</v>
      </c>
      <c r="CO119" s="128">
        <v>22.0</v>
      </c>
      <c r="CP119" s="128">
        <v>5.0</v>
      </c>
      <c r="CQ119" s="471"/>
      <c r="CR119" s="128">
        <v>4.0</v>
      </c>
      <c r="CS119" s="128">
        <v>0.0</v>
      </c>
      <c r="CT119" s="128">
        <v>6.0</v>
      </c>
      <c r="CU119" s="128">
        <v>4.0</v>
      </c>
      <c r="CV119" s="128">
        <v>0.0</v>
      </c>
      <c r="CW119" s="128">
        <v>1.0</v>
      </c>
      <c r="CX119" s="128">
        <v>1.0</v>
      </c>
      <c r="CY119" s="128">
        <v>0.0</v>
      </c>
      <c r="CZ119" s="128">
        <v>1.0</v>
      </c>
      <c r="DA119" s="128">
        <v>0.0</v>
      </c>
      <c r="DB119" s="128">
        <v>0.0</v>
      </c>
      <c r="DC119" s="128">
        <v>0.0</v>
      </c>
      <c r="DD119" s="128">
        <v>0.0</v>
      </c>
      <c r="DE119" s="124">
        <v>0.0</v>
      </c>
      <c r="DF119" s="457"/>
      <c r="DG119" s="303">
        <f t="shared" si="209"/>
        <v>3</v>
      </c>
      <c r="DH119" s="128">
        <v>1.0</v>
      </c>
      <c r="DI119" s="128">
        <v>0.0</v>
      </c>
      <c r="DJ119" s="128">
        <v>3.0</v>
      </c>
      <c r="DK119" s="128">
        <v>2.0</v>
      </c>
      <c r="DL119" s="362"/>
      <c r="DM119" s="362"/>
      <c r="DN119" s="362"/>
      <c r="DO119" s="362"/>
      <c r="DP119" s="362"/>
      <c r="DQ119" s="362"/>
      <c r="DR119" s="362"/>
      <c r="DS119" s="362"/>
      <c r="DT119" s="362"/>
      <c r="DU119" s="362"/>
      <c r="DV119" s="472">
        <v>2.0</v>
      </c>
      <c r="DW119" s="461" t="s">
        <v>581</v>
      </c>
      <c r="DX119" s="461" t="s">
        <v>146</v>
      </c>
      <c r="DY119" s="472">
        <v>2.0</v>
      </c>
      <c r="DZ119" s="461" t="s">
        <v>131</v>
      </c>
      <c r="EA119" s="461" t="s">
        <v>147</v>
      </c>
      <c r="EB119" s="457"/>
      <c r="EC119" s="461" t="s">
        <v>139</v>
      </c>
      <c r="ED119" s="457"/>
      <c r="EE119" s="461" t="s">
        <v>132</v>
      </c>
      <c r="EF119" s="461" t="s">
        <v>141</v>
      </c>
      <c r="EG119" s="370">
        <f t="shared" si="134"/>
        <v>1017</v>
      </c>
      <c r="EH119" s="433">
        <f t="shared" si="124"/>
        <v>45598</v>
      </c>
      <c r="EI119" s="119">
        <f t="shared" si="153"/>
        <v>26.44628099</v>
      </c>
    </row>
    <row r="120" ht="15.75" customHeight="1">
      <c r="A120" s="89" t="s">
        <v>638</v>
      </c>
      <c r="B120" s="134" t="s">
        <v>175</v>
      </c>
      <c r="C120" s="174">
        <v>45584.0</v>
      </c>
      <c r="D120" s="469">
        <v>52.0</v>
      </c>
      <c r="E120" s="104" t="s">
        <v>130</v>
      </c>
      <c r="F120" s="128">
        <v>157.0</v>
      </c>
      <c r="G120" s="147">
        <v>100.0</v>
      </c>
      <c r="H120" s="104" t="s">
        <v>131</v>
      </c>
      <c r="I120" s="128">
        <v>7.0</v>
      </c>
      <c r="J120" s="400">
        <v>45505.0</v>
      </c>
      <c r="K120" s="104" t="s">
        <v>131</v>
      </c>
      <c r="L120" s="128">
        <v>1.0</v>
      </c>
      <c r="M120" s="400">
        <v>44228.0</v>
      </c>
      <c r="N120" s="457"/>
      <c r="O120" s="456"/>
      <c r="P120" s="104" t="s">
        <v>132</v>
      </c>
      <c r="Q120" s="104"/>
      <c r="R120" s="104"/>
      <c r="S120" s="104"/>
      <c r="T120" s="104"/>
      <c r="U120" s="457"/>
      <c r="V120" s="121" t="str">
        <f t="shared" si="97"/>
        <v>Paciente ambulatorio</v>
      </c>
      <c r="W120" s="104" t="s">
        <v>176</v>
      </c>
      <c r="X120" s="104" t="s">
        <v>132</v>
      </c>
      <c r="Y120" s="128">
        <v>1.0</v>
      </c>
      <c r="Z120" s="128">
        <v>1.0</v>
      </c>
      <c r="AA120" s="128">
        <v>2.0</v>
      </c>
      <c r="AB120" s="128">
        <v>3.0</v>
      </c>
      <c r="AC120" s="128">
        <v>1.0</v>
      </c>
      <c r="AD120" s="128">
        <v>1.0</v>
      </c>
      <c r="AE120" s="128">
        <v>2.0</v>
      </c>
      <c r="AF120" s="128">
        <v>1.0</v>
      </c>
      <c r="AG120" s="128">
        <v>3.0</v>
      </c>
      <c r="AH120" s="128">
        <v>1.0</v>
      </c>
      <c r="AI120" s="128">
        <v>1.0</v>
      </c>
      <c r="AJ120" s="128">
        <v>1.0</v>
      </c>
      <c r="AK120" s="104" t="s">
        <v>585</v>
      </c>
      <c r="AL120" s="104" t="s">
        <v>131</v>
      </c>
      <c r="AM120" s="104" t="s">
        <v>132</v>
      </c>
      <c r="AN120" s="104" t="s">
        <v>132</v>
      </c>
      <c r="AO120" s="104" t="s">
        <v>132</v>
      </c>
      <c r="AP120" s="104" t="s">
        <v>132</v>
      </c>
      <c r="AQ120" s="104" t="s">
        <v>132</v>
      </c>
      <c r="AR120" s="104" t="s">
        <v>132</v>
      </c>
      <c r="AS120" s="104" t="s">
        <v>132</v>
      </c>
      <c r="AT120" s="104" t="s">
        <v>132</v>
      </c>
      <c r="AU120" s="104" t="s">
        <v>132</v>
      </c>
      <c r="AV120" s="104" t="s">
        <v>132</v>
      </c>
      <c r="AW120" s="457"/>
      <c r="AX120" s="127" t="s">
        <v>132</v>
      </c>
      <c r="AY120" s="128">
        <v>0.3</v>
      </c>
      <c r="AZ120" s="128">
        <v>1.0</v>
      </c>
      <c r="BA120" s="457"/>
      <c r="BB120" s="104" t="s">
        <v>135</v>
      </c>
      <c r="BC120" s="473">
        <v>1.0</v>
      </c>
      <c r="BD120" s="470">
        <v>2.0</v>
      </c>
      <c r="BE120" s="128">
        <v>1.0</v>
      </c>
      <c r="BF120" s="128">
        <v>1.0</v>
      </c>
      <c r="BG120" s="128">
        <v>2.0</v>
      </c>
      <c r="BH120" s="128">
        <v>2.0</v>
      </c>
      <c r="BI120" s="361" t="str">
        <f t="shared" si="3"/>
        <v>21122</v>
      </c>
      <c r="BJ120" s="128">
        <v>55.0</v>
      </c>
      <c r="BK120" s="128">
        <v>2.0</v>
      </c>
      <c r="BL120" s="128">
        <v>3.0</v>
      </c>
      <c r="BM120" s="128">
        <v>3.0</v>
      </c>
      <c r="BN120" s="128">
        <v>2.0</v>
      </c>
      <c r="BO120" s="128">
        <v>3.0</v>
      </c>
      <c r="BP120" s="128">
        <v>2.0</v>
      </c>
      <c r="BQ120" s="128">
        <v>2.0</v>
      </c>
      <c r="BR120" s="128">
        <v>2.0</v>
      </c>
      <c r="BS120" s="128">
        <v>3.0</v>
      </c>
      <c r="BT120" s="128">
        <v>3.0</v>
      </c>
      <c r="BU120" s="303">
        <f t="shared" si="221"/>
        <v>4</v>
      </c>
      <c r="BV120" s="303">
        <f t="shared" si="222"/>
        <v>3</v>
      </c>
      <c r="BW120" s="303">
        <f t="shared" si="201"/>
        <v>26</v>
      </c>
      <c r="BX120" s="362" t="str">
        <f t="shared" si="223"/>
        <v>FATIGA</v>
      </c>
      <c r="BY120" s="128">
        <v>0.0</v>
      </c>
      <c r="BZ120" s="128">
        <v>0.0</v>
      </c>
      <c r="CA120" s="128">
        <v>0.0</v>
      </c>
      <c r="CB120" s="128">
        <v>3.0</v>
      </c>
      <c r="CC120" s="128">
        <v>0.0</v>
      </c>
      <c r="CD120" s="128">
        <v>40.0</v>
      </c>
      <c r="CE120" s="128">
        <v>5.0</v>
      </c>
      <c r="CF120" s="128">
        <v>0.0</v>
      </c>
      <c r="CG120" s="128">
        <v>20.0</v>
      </c>
      <c r="CH120" s="128">
        <v>4.0</v>
      </c>
      <c r="CI120" s="128">
        <v>0.0</v>
      </c>
      <c r="CJ120" s="362"/>
      <c r="CK120" s="362"/>
      <c r="CL120" s="362"/>
      <c r="CM120" s="362"/>
      <c r="CN120" s="363" t="str">
        <f t="shared" si="207"/>
        <v>Nivel de actividad física bajo</v>
      </c>
      <c r="CO120" s="402">
        <v>2.0</v>
      </c>
      <c r="CP120" s="128">
        <v>5.0</v>
      </c>
      <c r="CQ120" s="471"/>
      <c r="CR120" s="128">
        <v>6.0</v>
      </c>
      <c r="CS120" s="128">
        <v>0.0</v>
      </c>
      <c r="CT120" s="128">
        <v>4.0</v>
      </c>
      <c r="CU120" s="128">
        <v>4.0</v>
      </c>
      <c r="CV120" s="128">
        <v>0.0</v>
      </c>
      <c r="CW120" s="128">
        <v>3.0</v>
      </c>
      <c r="CX120" s="128">
        <v>0.0</v>
      </c>
      <c r="CY120" s="128">
        <v>0.0</v>
      </c>
      <c r="CZ120" s="128">
        <v>3.0</v>
      </c>
      <c r="DA120" s="128">
        <v>0.0</v>
      </c>
      <c r="DB120" s="128">
        <v>2.0</v>
      </c>
      <c r="DC120" s="128">
        <v>0.0</v>
      </c>
      <c r="DD120" s="128">
        <v>1.0</v>
      </c>
      <c r="DE120" s="124">
        <v>3.0</v>
      </c>
      <c r="DF120" s="104" t="s">
        <v>586</v>
      </c>
      <c r="DG120" s="303">
        <f t="shared" si="209"/>
        <v>12</v>
      </c>
      <c r="DH120" s="128">
        <v>3.0</v>
      </c>
      <c r="DI120" s="128">
        <v>0.0</v>
      </c>
      <c r="DJ120" s="128">
        <v>3.0</v>
      </c>
      <c r="DK120" s="128">
        <v>2.0</v>
      </c>
      <c r="DL120" s="362"/>
      <c r="DM120" s="362"/>
      <c r="DN120" s="362"/>
      <c r="DO120" s="362"/>
      <c r="DP120" s="362"/>
      <c r="DQ120" s="362"/>
      <c r="DR120" s="362"/>
      <c r="DS120" s="362"/>
      <c r="DT120" s="362"/>
      <c r="DU120" s="362"/>
      <c r="DV120" s="472">
        <v>2.0</v>
      </c>
      <c r="DW120" s="461" t="s">
        <v>587</v>
      </c>
      <c r="DX120" s="461" t="s">
        <v>137</v>
      </c>
      <c r="DY120" s="472">
        <v>1.0</v>
      </c>
      <c r="DZ120" s="461" t="s">
        <v>131</v>
      </c>
      <c r="EA120" s="461" t="s">
        <v>167</v>
      </c>
      <c r="EB120" s="457"/>
      <c r="EC120" s="461" t="s">
        <v>139</v>
      </c>
      <c r="ED120" s="457"/>
      <c r="EE120" s="461" t="s">
        <v>131</v>
      </c>
      <c r="EF120" s="461" t="s">
        <v>141</v>
      </c>
      <c r="EG120" s="370">
        <f t="shared" si="134"/>
        <v>1356</v>
      </c>
      <c r="EH120" s="433">
        <f t="shared" si="124"/>
        <v>45584</v>
      </c>
      <c r="EI120" s="119">
        <f t="shared" si="153"/>
        <v>40.56959714</v>
      </c>
    </row>
    <row r="121" ht="15.75" customHeight="1">
      <c r="A121" s="89" t="s">
        <v>641</v>
      </c>
      <c r="B121" s="134" t="s">
        <v>175</v>
      </c>
      <c r="C121" s="174">
        <v>45584.0</v>
      </c>
      <c r="D121" s="469">
        <v>49.0</v>
      </c>
      <c r="E121" s="104" t="s">
        <v>130</v>
      </c>
      <c r="F121" s="128">
        <v>154.0</v>
      </c>
      <c r="G121" s="147">
        <v>73.0</v>
      </c>
      <c r="H121" s="104" t="s">
        <v>131</v>
      </c>
      <c r="I121" s="128">
        <v>4.0</v>
      </c>
      <c r="J121" s="356"/>
      <c r="K121" s="104" t="s">
        <v>131</v>
      </c>
      <c r="L121" s="128">
        <v>1.0</v>
      </c>
      <c r="M121" s="400">
        <v>44256.0</v>
      </c>
      <c r="N121" s="104" t="s">
        <v>131</v>
      </c>
      <c r="O121" s="104"/>
      <c r="P121" s="104" t="s">
        <v>132</v>
      </c>
      <c r="Q121" s="104"/>
      <c r="R121" s="104"/>
      <c r="S121" s="104"/>
      <c r="T121" s="104"/>
      <c r="U121" s="457"/>
      <c r="V121" s="121" t="str">
        <f t="shared" si="97"/>
        <v>Paciente ambulatorio</v>
      </c>
      <c r="W121" s="457"/>
      <c r="X121" s="104" t="s">
        <v>132</v>
      </c>
      <c r="Y121" s="128">
        <v>1.0</v>
      </c>
      <c r="Z121" s="128">
        <v>2.0</v>
      </c>
      <c r="AA121" s="128">
        <v>1.0</v>
      </c>
      <c r="AB121" s="128">
        <v>1.0</v>
      </c>
      <c r="AC121" s="128">
        <v>3.0</v>
      </c>
      <c r="AD121" s="128">
        <v>1.0</v>
      </c>
      <c r="AE121" s="128">
        <v>2.0</v>
      </c>
      <c r="AF121" s="128">
        <v>1.0</v>
      </c>
      <c r="AG121" s="128">
        <v>1.0</v>
      </c>
      <c r="AH121" s="128">
        <v>3.0</v>
      </c>
      <c r="AI121" s="128">
        <v>1.0</v>
      </c>
      <c r="AJ121" s="128">
        <v>1.0</v>
      </c>
      <c r="AK121" s="104" t="s">
        <v>589</v>
      </c>
      <c r="AL121" s="104" t="s">
        <v>132</v>
      </c>
      <c r="AM121" s="104" t="s">
        <v>132</v>
      </c>
      <c r="AN121" s="104" t="s">
        <v>131</v>
      </c>
      <c r="AO121" s="104" t="s">
        <v>132</v>
      </c>
      <c r="AP121" s="104" t="s">
        <v>132</v>
      </c>
      <c r="AQ121" s="104" t="s">
        <v>132</v>
      </c>
      <c r="AR121" s="104" t="s">
        <v>132</v>
      </c>
      <c r="AS121" s="104" t="s">
        <v>132</v>
      </c>
      <c r="AT121" s="104" t="s">
        <v>132</v>
      </c>
      <c r="AU121" s="104" t="s">
        <v>132</v>
      </c>
      <c r="AV121" s="104" t="s">
        <v>131</v>
      </c>
      <c r="AW121" s="104" t="s">
        <v>590</v>
      </c>
      <c r="AX121" s="127" t="s">
        <v>132</v>
      </c>
      <c r="AY121" s="457"/>
      <c r="AZ121" s="457"/>
      <c r="BA121" s="457"/>
      <c r="BB121" s="104" t="s">
        <v>145</v>
      </c>
      <c r="BC121" s="465"/>
      <c r="BD121" s="470">
        <v>1.0</v>
      </c>
      <c r="BE121" s="128">
        <v>1.0</v>
      </c>
      <c r="BF121" s="128">
        <v>1.0</v>
      </c>
      <c r="BG121" s="128">
        <v>2.0</v>
      </c>
      <c r="BH121" s="128">
        <v>4.0</v>
      </c>
      <c r="BI121" s="361" t="str">
        <f t="shared" si="3"/>
        <v>11124</v>
      </c>
      <c r="BJ121" s="128">
        <v>45.0</v>
      </c>
      <c r="BK121" s="128">
        <v>2.0</v>
      </c>
      <c r="BL121" s="128">
        <v>2.0</v>
      </c>
      <c r="BM121" s="128">
        <v>1.0</v>
      </c>
      <c r="BN121" s="128">
        <v>2.0</v>
      </c>
      <c r="BO121" s="128">
        <v>3.0</v>
      </c>
      <c r="BP121" s="128">
        <v>1.0</v>
      </c>
      <c r="BQ121" s="128">
        <v>3.0</v>
      </c>
      <c r="BR121" s="128">
        <v>2.0</v>
      </c>
      <c r="BS121" s="128">
        <v>3.0</v>
      </c>
      <c r="BT121" s="128">
        <v>2.0</v>
      </c>
      <c r="BU121" s="303">
        <f t="shared" si="221"/>
        <v>4</v>
      </c>
      <c r="BV121" s="303">
        <f t="shared" si="222"/>
        <v>4</v>
      </c>
      <c r="BW121" s="303">
        <f t="shared" si="201"/>
        <v>23</v>
      </c>
      <c r="BX121" s="362" t="str">
        <f t="shared" si="223"/>
        <v>FATIGA</v>
      </c>
      <c r="BY121" s="128">
        <v>3.0</v>
      </c>
      <c r="BZ121" s="128">
        <v>1.0</v>
      </c>
      <c r="CA121" s="128">
        <v>0.0</v>
      </c>
      <c r="CB121" s="128">
        <v>0.0</v>
      </c>
      <c r="CC121" s="128">
        <v>0.0</v>
      </c>
      <c r="CD121" s="128">
        <v>0.0</v>
      </c>
      <c r="CE121" s="128">
        <v>0.0</v>
      </c>
      <c r="CF121" s="128">
        <v>0.0</v>
      </c>
      <c r="CG121" s="128">
        <v>0.0</v>
      </c>
      <c r="CH121" s="128">
        <v>0.0</v>
      </c>
      <c r="CI121" s="128">
        <v>20.0</v>
      </c>
      <c r="CJ121" s="362"/>
      <c r="CK121" s="362"/>
      <c r="CL121" s="362"/>
      <c r="CM121" s="362"/>
      <c r="CN121" s="363" t="str">
        <f t="shared" si="207"/>
        <v>Nivel de actividad física bajo</v>
      </c>
      <c r="CO121" s="402">
        <v>22.0</v>
      </c>
      <c r="CP121" s="128">
        <v>120.0</v>
      </c>
      <c r="CQ121" s="471"/>
      <c r="CR121" s="128">
        <v>7.0</v>
      </c>
      <c r="CS121" s="128">
        <v>0.0</v>
      </c>
      <c r="CT121" s="128">
        <v>9.0</v>
      </c>
      <c r="CU121" s="128">
        <v>7.0</v>
      </c>
      <c r="CV121" s="128">
        <v>3.0</v>
      </c>
      <c r="CW121" s="128">
        <v>3.0</v>
      </c>
      <c r="CX121" s="128">
        <v>3.0</v>
      </c>
      <c r="CY121" s="128">
        <v>0.0</v>
      </c>
      <c r="CZ121" s="128">
        <v>0.0</v>
      </c>
      <c r="DA121" s="128">
        <v>0.0</v>
      </c>
      <c r="DB121" s="128">
        <v>0.0</v>
      </c>
      <c r="DC121" s="128">
        <v>0.0</v>
      </c>
      <c r="DD121" s="128">
        <v>0.0</v>
      </c>
      <c r="DE121" s="124">
        <v>0.0</v>
      </c>
      <c r="DF121" s="457"/>
      <c r="DG121" s="303">
        <f t="shared" si="209"/>
        <v>6</v>
      </c>
      <c r="DH121" s="128">
        <v>1.0</v>
      </c>
      <c r="DI121" s="128">
        <v>3.0</v>
      </c>
      <c r="DJ121" s="128">
        <v>2.0</v>
      </c>
      <c r="DK121" s="128">
        <v>0.0</v>
      </c>
      <c r="DL121" s="362"/>
      <c r="DM121" s="362"/>
      <c r="DN121" s="362"/>
      <c r="DO121" s="362"/>
      <c r="DP121" s="362"/>
      <c r="DQ121" s="362"/>
      <c r="DR121" s="362"/>
      <c r="DS121" s="362"/>
      <c r="DT121" s="362"/>
      <c r="DU121" s="362"/>
      <c r="DV121" s="472">
        <v>3.0</v>
      </c>
      <c r="DW121" s="461" t="s">
        <v>591</v>
      </c>
      <c r="DX121" s="461" t="s">
        <v>146</v>
      </c>
      <c r="DY121" s="472">
        <v>1.0</v>
      </c>
      <c r="DZ121" s="461" t="s">
        <v>131</v>
      </c>
      <c r="EA121" s="461" t="s">
        <v>334</v>
      </c>
      <c r="EB121" s="457"/>
      <c r="EC121" s="461" t="s">
        <v>139</v>
      </c>
      <c r="ED121" s="457"/>
      <c r="EE121" s="461" t="s">
        <v>131</v>
      </c>
      <c r="EF121" s="461" t="s">
        <v>466</v>
      </c>
      <c r="EG121" s="370">
        <f t="shared" si="134"/>
        <v>1328</v>
      </c>
      <c r="EH121" s="433">
        <f t="shared" si="124"/>
        <v>45584</v>
      </c>
      <c r="EI121" s="119">
        <f t="shared" si="153"/>
        <v>30.7809074</v>
      </c>
    </row>
    <row r="122" ht="15.75" customHeight="1">
      <c r="A122" s="89" t="s">
        <v>643</v>
      </c>
      <c r="B122" s="134" t="s">
        <v>175</v>
      </c>
      <c r="C122" s="174">
        <v>45584.0</v>
      </c>
      <c r="D122" s="469">
        <v>42.0</v>
      </c>
      <c r="E122" s="104" t="s">
        <v>130</v>
      </c>
      <c r="F122" s="128">
        <v>171.0</v>
      </c>
      <c r="G122" s="147">
        <v>110.0</v>
      </c>
      <c r="H122" s="104" t="s">
        <v>131</v>
      </c>
      <c r="I122" s="128">
        <v>3.0</v>
      </c>
      <c r="J122" s="372">
        <v>44531.0</v>
      </c>
      <c r="K122" s="104" t="s">
        <v>131</v>
      </c>
      <c r="L122" s="128">
        <v>3.0</v>
      </c>
      <c r="M122" s="400">
        <v>44075.0</v>
      </c>
      <c r="N122" s="128">
        <v>0.0</v>
      </c>
      <c r="O122" s="400">
        <v>44593.0</v>
      </c>
      <c r="P122" s="104" t="s">
        <v>132</v>
      </c>
      <c r="Q122" s="104"/>
      <c r="R122" s="104"/>
      <c r="S122" s="104"/>
      <c r="T122" s="104"/>
      <c r="U122" s="104"/>
      <c r="V122" s="121" t="str">
        <f t="shared" si="97"/>
        <v>Paciente ambulatorio</v>
      </c>
      <c r="W122" s="104" t="s">
        <v>183</v>
      </c>
      <c r="X122" s="104" t="s">
        <v>132</v>
      </c>
      <c r="Y122" s="128">
        <v>1.0</v>
      </c>
      <c r="Z122" s="128">
        <v>2.0</v>
      </c>
      <c r="AA122" s="128">
        <v>2.0</v>
      </c>
      <c r="AB122" s="128">
        <v>2.0</v>
      </c>
      <c r="AC122" s="128">
        <v>2.0</v>
      </c>
      <c r="AD122" s="128">
        <v>1.0</v>
      </c>
      <c r="AE122" s="128">
        <v>1.0</v>
      </c>
      <c r="AF122" s="128">
        <v>1.0</v>
      </c>
      <c r="AG122" s="128">
        <v>3.0</v>
      </c>
      <c r="AH122" s="128">
        <v>1.0</v>
      </c>
      <c r="AI122" s="128">
        <v>1.0</v>
      </c>
      <c r="AJ122" s="128">
        <v>1.0</v>
      </c>
      <c r="AK122" s="104"/>
      <c r="AL122" s="474" t="s">
        <v>132</v>
      </c>
      <c r="AM122" s="104" t="s">
        <v>132</v>
      </c>
      <c r="AN122" s="104" t="s">
        <v>132</v>
      </c>
      <c r="AO122" s="104" t="s">
        <v>132</v>
      </c>
      <c r="AP122" s="104" t="s">
        <v>132</v>
      </c>
      <c r="AQ122" s="104" t="s">
        <v>132</v>
      </c>
      <c r="AR122" s="104" t="s">
        <v>132</v>
      </c>
      <c r="AS122" s="104" t="s">
        <v>132</v>
      </c>
      <c r="AT122" s="104" t="s">
        <v>132</v>
      </c>
      <c r="AU122" s="104" t="s">
        <v>132</v>
      </c>
      <c r="AV122" s="104" t="s">
        <v>131</v>
      </c>
      <c r="AW122" s="104" t="s">
        <v>633</v>
      </c>
      <c r="AX122" s="403"/>
      <c r="AY122" s="457"/>
      <c r="AZ122" s="457"/>
      <c r="BA122" s="457"/>
      <c r="BB122" s="104"/>
      <c r="BC122" s="465"/>
      <c r="BD122" s="470">
        <v>2.0</v>
      </c>
      <c r="BE122" s="128">
        <v>1.0</v>
      </c>
      <c r="BF122" s="128">
        <v>2.0</v>
      </c>
      <c r="BG122" s="128">
        <v>3.0</v>
      </c>
      <c r="BH122" s="128">
        <v>4.0</v>
      </c>
      <c r="BI122" s="361" t="str">
        <f t="shared" si="3"/>
        <v>21234</v>
      </c>
      <c r="BJ122" s="128">
        <v>50.0</v>
      </c>
      <c r="BK122" s="128">
        <v>4.0</v>
      </c>
      <c r="BL122" s="128">
        <v>4.0</v>
      </c>
      <c r="BM122" s="128">
        <v>2.0</v>
      </c>
      <c r="BN122" s="128">
        <v>2.0</v>
      </c>
      <c r="BO122" s="128">
        <v>3.0</v>
      </c>
      <c r="BP122" s="128">
        <v>4.0</v>
      </c>
      <c r="BQ122" s="128">
        <v>2.0</v>
      </c>
      <c r="BR122" s="128">
        <v>2.0</v>
      </c>
      <c r="BS122" s="128">
        <v>3.0</v>
      </c>
      <c r="BT122" s="128">
        <v>4.0</v>
      </c>
      <c r="BU122" s="475">
        <f t="shared" si="221"/>
        <v>4</v>
      </c>
      <c r="BV122" s="475">
        <f t="shared" si="222"/>
        <v>2</v>
      </c>
      <c r="BW122" s="475">
        <f t="shared" si="201"/>
        <v>30</v>
      </c>
      <c r="BX122" s="471" t="str">
        <f t="shared" si="223"/>
        <v>FATIGA</v>
      </c>
      <c r="BY122" s="466">
        <v>0.0</v>
      </c>
      <c r="BZ122" s="466">
        <v>0.0</v>
      </c>
      <c r="CA122" s="466">
        <v>0.0</v>
      </c>
      <c r="CB122" s="128">
        <v>7.0</v>
      </c>
      <c r="CC122" s="128">
        <v>0.0</v>
      </c>
      <c r="CD122" s="128">
        <v>30.0</v>
      </c>
      <c r="CE122" s="128">
        <v>3.0</v>
      </c>
      <c r="CF122" s="128">
        <v>1.0</v>
      </c>
      <c r="CG122" s="128">
        <v>0.0</v>
      </c>
      <c r="CH122" s="128">
        <v>6.0</v>
      </c>
      <c r="CI122" s="128">
        <v>0.0</v>
      </c>
      <c r="CJ122" s="303">
        <f t="shared" ref="CJ122:CJ123" si="225">(8*BY122*(BZ122*60+CA122)+4*CB122*(CC122*60+CD122)+3.3*CE122*(CF122*60+CG122))</f>
        <v>1434</v>
      </c>
      <c r="CK122" s="361">
        <f t="shared" ref="CK122:CK123" si="226">(BY122+CB122+CE122)</f>
        <v>10</v>
      </c>
      <c r="CL122" s="361" t="b">
        <f t="shared" ref="CL122:CL123" si="227">IF(CJ125&gt;3000,IF(CK125&gt;6,"Nivel de actividad física alto"),IF(CJ125&gt;1500,IF(BY125&gt;2,"Nivel de actividad física alto")))</f>
        <v>0</v>
      </c>
      <c r="CM122" s="361" t="str">
        <f t="shared" ref="CM122:CM123" si="228">IF(BY122&gt;2,(IF(BZ122*60+CA122&gt;25,"Nivel de actividad física moderado")),IF(CB122+CE122&gt;5,IF(CC122*60+CD122+CF122*60+CG122&gt;30,"Nivel de actividad física moderado"),IF(CJ122&gt;600,(IF(CK122&gt;5,"Nivel de actividad física moderado")))))</f>
        <v>Nivel de actividad física moderado</v>
      </c>
      <c r="CN122" s="363" t="str">
        <f t="shared" si="207"/>
        <v>Nivel de actividad física moderado</v>
      </c>
      <c r="CO122" s="128">
        <v>1.0</v>
      </c>
      <c r="CP122" s="128">
        <v>30.0</v>
      </c>
      <c r="CQ122" s="467">
        <f>IF(CP122&gt;60,3,IF(CP122&gt;30,2,IF(CP122&gt;15,1,0)))</f>
        <v>1</v>
      </c>
      <c r="CR122" s="128">
        <v>9.0</v>
      </c>
      <c r="CS122" s="128">
        <v>0.0</v>
      </c>
      <c r="CT122" s="128">
        <v>8.0</v>
      </c>
      <c r="CU122" s="128">
        <v>5.0</v>
      </c>
      <c r="CV122" s="128">
        <v>0.0</v>
      </c>
      <c r="CW122" s="128">
        <v>2.0</v>
      </c>
      <c r="CX122" s="128">
        <v>0.0</v>
      </c>
      <c r="CY122" s="128">
        <v>0.0</v>
      </c>
      <c r="CZ122" s="128">
        <v>0.0</v>
      </c>
      <c r="DA122" s="128">
        <v>2.0</v>
      </c>
      <c r="DB122" s="128">
        <v>3.0</v>
      </c>
      <c r="DC122" s="128">
        <v>3.0</v>
      </c>
      <c r="DD122" s="128">
        <v>3.0</v>
      </c>
      <c r="DE122" s="124">
        <v>2.0</v>
      </c>
      <c r="DF122" s="457" t="s">
        <v>634</v>
      </c>
      <c r="DG122" s="303">
        <f t="shared" si="209"/>
        <v>15</v>
      </c>
      <c r="DH122" s="128">
        <v>2.0</v>
      </c>
      <c r="DI122" s="128">
        <v>3.0</v>
      </c>
      <c r="DJ122" s="128">
        <v>3.0</v>
      </c>
      <c r="DK122" s="128">
        <v>3.0</v>
      </c>
      <c r="DL122" s="303">
        <f t="shared" ref="DL122:DL123" si="229">((CU122/CT122)*100)</f>
        <v>62.5</v>
      </c>
      <c r="DM122" s="303">
        <f t="shared" ref="DM122:DM123" si="230">IF(CU122&gt;=7,0,IF(CU122&gt;=6,1,IF(CU122&gt;=5,2,IF(CU122&lt;5,3))))</f>
        <v>2</v>
      </c>
      <c r="DN122" s="303">
        <f t="shared" ref="DN122:DN123" si="231">IF(DG122&gt;18,3,IF(DG122&gt;9,2,IF(DG122&gt;=1,1,0)))</f>
        <v>2</v>
      </c>
      <c r="DO122" s="303">
        <f t="shared" ref="DO122:DO123" si="232">IF(CV122+CQ122&gt;=5,3,IF(CQ122+CV122&gt;=3,2,IF(CQ122+CV122&gt;=1,1,0)))</f>
        <v>1</v>
      </c>
      <c r="DP122" s="303">
        <f t="shared" ref="DP122:DP123" si="233">IF(DJ122+DK122&gt;=5,3,IF(DJ122+DK122&gt;=3,2,IF(DJ122+DK122&gt;=1,1,0)))</f>
        <v>3</v>
      </c>
      <c r="DQ122" s="303">
        <f t="shared" ref="DQ122:DQ123" si="234">IF(DL122&gt;85,0,IF(DL122&gt;75,1,IF(DL122&gt;65,2,3)))</f>
        <v>3</v>
      </c>
      <c r="DR122" s="303">
        <f t="shared" ref="DR122:DS122" si="224">(DH122)</f>
        <v>2</v>
      </c>
      <c r="DS122" s="303">
        <f t="shared" si="224"/>
        <v>3</v>
      </c>
      <c r="DT122" s="366">
        <f t="shared" ref="DT122:DT123" si="236">SUM(DM122:DS122)</f>
        <v>16</v>
      </c>
      <c r="DU122" s="367" t="str">
        <f t="shared" ref="DU122:DU123" si="237">IF(DT122&gt;5,"poor sleep quality","good sleep quality")</f>
        <v>poor sleep quality</v>
      </c>
      <c r="DV122" s="472">
        <v>3.0</v>
      </c>
      <c r="DW122" s="461" t="s">
        <v>635</v>
      </c>
      <c r="DX122" s="461" t="s">
        <v>146</v>
      </c>
      <c r="DY122" s="472">
        <v>1.0</v>
      </c>
      <c r="DZ122" s="461" t="s">
        <v>131</v>
      </c>
      <c r="EA122" s="461" t="s">
        <v>167</v>
      </c>
      <c r="EB122" s="457"/>
      <c r="EC122" s="461" t="s">
        <v>287</v>
      </c>
      <c r="ED122" s="457" t="s">
        <v>140</v>
      </c>
      <c r="EE122" s="457" t="s">
        <v>132</v>
      </c>
      <c r="EF122" s="461" t="s">
        <v>141</v>
      </c>
      <c r="EG122" s="370">
        <f t="shared" si="134"/>
        <v>1509</v>
      </c>
      <c r="EH122" s="370">
        <f t="shared" si="124"/>
        <v>991</v>
      </c>
      <c r="EI122" s="119">
        <f t="shared" si="153"/>
        <v>37.6184125</v>
      </c>
    </row>
    <row r="123" ht="15.75" customHeight="1">
      <c r="A123" s="89" t="s">
        <v>647</v>
      </c>
      <c r="B123" s="134" t="s">
        <v>175</v>
      </c>
      <c r="C123" s="174">
        <v>45584.0</v>
      </c>
      <c r="D123" s="469">
        <v>38.0</v>
      </c>
      <c r="E123" s="104" t="s">
        <v>130</v>
      </c>
      <c r="F123" s="128">
        <v>160.0</v>
      </c>
      <c r="G123" s="147">
        <v>100.0</v>
      </c>
      <c r="H123" s="104" t="s">
        <v>131</v>
      </c>
      <c r="I123" s="128">
        <v>3.0</v>
      </c>
      <c r="J123" s="456"/>
      <c r="K123" s="104" t="s">
        <v>131</v>
      </c>
      <c r="L123" s="128">
        <v>2.0</v>
      </c>
      <c r="M123" s="400">
        <v>44044.0</v>
      </c>
      <c r="N123" s="128">
        <v>0.0</v>
      </c>
      <c r="O123" s="400">
        <v>2022.0</v>
      </c>
      <c r="P123" s="104" t="s">
        <v>132</v>
      </c>
      <c r="Q123" s="104"/>
      <c r="R123" s="104"/>
      <c r="S123" s="104"/>
      <c r="T123" s="104"/>
      <c r="U123" s="104"/>
      <c r="V123" s="121" t="str">
        <f t="shared" si="97"/>
        <v>Paciente ambulatorio</v>
      </c>
      <c r="W123" s="104" t="s">
        <v>183</v>
      </c>
      <c r="X123" s="104" t="s">
        <v>132</v>
      </c>
      <c r="Y123" s="128">
        <v>2.0</v>
      </c>
      <c r="Z123" s="128">
        <v>1.0</v>
      </c>
      <c r="AA123" s="128">
        <v>1.0</v>
      </c>
      <c r="AB123" s="128">
        <v>1.0</v>
      </c>
      <c r="AC123" s="128">
        <v>2.0</v>
      </c>
      <c r="AD123" s="128">
        <v>2.0</v>
      </c>
      <c r="AE123" s="128">
        <v>2.0</v>
      </c>
      <c r="AF123" s="128">
        <v>1.0</v>
      </c>
      <c r="AG123" s="128">
        <v>1.0</v>
      </c>
      <c r="AH123" s="128">
        <v>1.0</v>
      </c>
      <c r="AI123" s="128">
        <v>1.0</v>
      </c>
      <c r="AJ123" s="128">
        <v>1.0</v>
      </c>
      <c r="AK123" s="104"/>
      <c r="AL123" s="474" t="s">
        <v>132</v>
      </c>
      <c r="AM123" s="104" t="s">
        <v>132</v>
      </c>
      <c r="AN123" s="104" t="s">
        <v>132</v>
      </c>
      <c r="AO123" s="104" t="s">
        <v>132</v>
      </c>
      <c r="AP123" s="104" t="s">
        <v>132</v>
      </c>
      <c r="AQ123" s="104" t="s">
        <v>132</v>
      </c>
      <c r="AR123" s="104" t="s">
        <v>132</v>
      </c>
      <c r="AS123" s="104" t="s">
        <v>132</v>
      </c>
      <c r="AT123" s="104" t="s">
        <v>132</v>
      </c>
      <c r="AU123" s="104" t="s">
        <v>132</v>
      </c>
      <c r="AV123" s="104" t="s">
        <v>131</v>
      </c>
      <c r="AW123" s="104" t="s">
        <v>590</v>
      </c>
      <c r="AX123" s="127" t="s">
        <v>131</v>
      </c>
      <c r="AY123" s="466">
        <v>1.0</v>
      </c>
      <c r="AZ123" s="466">
        <v>2.0</v>
      </c>
      <c r="BA123" s="457"/>
      <c r="BB123" s="104" t="s">
        <v>145</v>
      </c>
      <c r="BC123" s="465"/>
      <c r="BD123" s="470">
        <v>1.0</v>
      </c>
      <c r="BE123" s="128">
        <v>1.0</v>
      </c>
      <c r="BF123" s="128">
        <v>2.0</v>
      </c>
      <c r="BG123" s="128">
        <v>1.0</v>
      </c>
      <c r="BH123" s="128">
        <v>2.0</v>
      </c>
      <c r="BI123" s="361" t="str">
        <f t="shared" si="3"/>
        <v>11212</v>
      </c>
      <c r="BJ123" s="128">
        <v>75.0</v>
      </c>
      <c r="BK123" s="104"/>
      <c r="BL123" s="104"/>
      <c r="BM123" s="104"/>
      <c r="BN123" s="104"/>
      <c r="BO123" s="104"/>
      <c r="BP123" s="104"/>
      <c r="BQ123" s="104"/>
      <c r="BR123" s="104"/>
      <c r="BS123" s="104"/>
      <c r="BT123" s="104"/>
      <c r="BU123" s="476" t="b">
        <f t="shared" si="221"/>
        <v>0</v>
      </c>
      <c r="BV123" s="476" t="b">
        <f t="shared" si="222"/>
        <v>0</v>
      </c>
      <c r="BW123" s="475">
        <f t="shared" si="201"/>
        <v>0</v>
      </c>
      <c r="BX123" s="471" t="str">
        <f t="shared" si="223"/>
        <v>NO HAY FATIGA</v>
      </c>
      <c r="BY123" s="128">
        <v>0.0</v>
      </c>
      <c r="BZ123" s="128">
        <v>0.0</v>
      </c>
      <c r="CA123" s="128">
        <v>0.0</v>
      </c>
      <c r="CB123" s="128">
        <v>0.0</v>
      </c>
      <c r="CC123" s="128">
        <v>0.0</v>
      </c>
      <c r="CD123" s="128">
        <v>0.0</v>
      </c>
      <c r="CE123" s="128">
        <v>5.0</v>
      </c>
      <c r="CF123" s="128">
        <v>0.0</v>
      </c>
      <c r="CG123" s="128">
        <v>15.0</v>
      </c>
      <c r="CH123" s="128">
        <v>8.0</v>
      </c>
      <c r="CI123" s="128">
        <v>0.0</v>
      </c>
      <c r="CJ123" s="475">
        <f t="shared" si="225"/>
        <v>247.5</v>
      </c>
      <c r="CK123" s="476">
        <f t="shared" si="226"/>
        <v>5</v>
      </c>
      <c r="CL123" s="476" t="b">
        <f t="shared" si="227"/>
        <v>0</v>
      </c>
      <c r="CM123" s="476" t="b">
        <f t="shared" si="228"/>
        <v>0</v>
      </c>
      <c r="CN123" s="477" t="str">
        <f t="shared" si="207"/>
        <v>Nivel de actividad física bajo</v>
      </c>
      <c r="CO123" s="128">
        <v>21.0</v>
      </c>
      <c r="CP123" s="128">
        <v>90.0</v>
      </c>
      <c r="CQ123" s="471"/>
      <c r="CR123" s="128">
        <v>5.0</v>
      </c>
      <c r="CS123" s="128">
        <v>30.0</v>
      </c>
      <c r="CT123" s="128">
        <v>8.5</v>
      </c>
      <c r="CU123" s="128">
        <v>4.0</v>
      </c>
      <c r="CV123" s="128">
        <v>3.0</v>
      </c>
      <c r="CW123" s="128">
        <v>3.0</v>
      </c>
      <c r="CX123" s="128">
        <v>3.0</v>
      </c>
      <c r="CY123" s="128">
        <v>0.0</v>
      </c>
      <c r="CZ123" s="128">
        <v>0.0</v>
      </c>
      <c r="DA123" s="128">
        <v>0.0</v>
      </c>
      <c r="DB123" s="128">
        <v>2.0</v>
      </c>
      <c r="DC123" s="128">
        <v>0.0</v>
      </c>
      <c r="DD123" s="128">
        <v>3.0</v>
      </c>
      <c r="DE123" s="124">
        <v>0.0</v>
      </c>
      <c r="DF123" s="457"/>
      <c r="DG123" s="475">
        <f t="shared" si="209"/>
        <v>11</v>
      </c>
      <c r="DH123" s="128">
        <v>2.0</v>
      </c>
      <c r="DI123" s="128">
        <v>3.0</v>
      </c>
      <c r="DJ123" s="128">
        <v>3.0</v>
      </c>
      <c r="DK123" s="128">
        <v>0.0</v>
      </c>
      <c r="DL123" s="475">
        <f t="shared" si="229"/>
        <v>47.05882353</v>
      </c>
      <c r="DM123" s="475">
        <f t="shared" si="230"/>
        <v>3</v>
      </c>
      <c r="DN123" s="475">
        <f t="shared" si="231"/>
        <v>2</v>
      </c>
      <c r="DO123" s="475">
        <f t="shared" si="232"/>
        <v>2</v>
      </c>
      <c r="DP123" s="475">
        <f t="shared" si="233"/>
        <v>2</v>
      </c>
      <c r="DQ123" s="475">
        <f t="shared" si="234"/>
        <v>3</v>
      </c>
      <c r="DR123" s="475">
        <f t="shared" ref="DR123:DS123" si="235">(DH123)</f>
        <v>2</v>
      </c>
      <c r="DS123" s="475">
        <f t="shared" si="235"/>
        <v>3</v>
      </c>
      <c r="DT123" s="478">
        <f t="shared" si="236"/>
        <v>17</v>
      </c>
      <c r="DU123" s="479" t="str">
        <f t="shared" si="237"/>
        <v>poor sleep quality</v>
      </c>
      <c r="DV123" s="472">
        <v>1.0</v>
      </c>
      <c r="DW123" s="457" t="s">
        <v>594</v>
      </c>
      <c r="DX123" s="461" t="s">
        <v>137</v>
      </c>
      <c r="DY123" s="472">
        <v>1.0</v>
      </c>
      <c r="DZ123" s="461" t="s">
        <v>131</v>
      </c>
      <c r="EA123" s="461" t="s">
        <v>157</v>
      </c>
      <c r="EB123" s="457"/>
      <c r="EC123" s="461" t="s">
        <v>139</v>
      </c>
      <c r="ED123" s="457"/>
      <c r="EE123" s="461" t="s">
        <v>131</v>
      </c>
      <c r="EF123" s="461" t="s">
        <v>203</v>
      </c>
      <c r="EG123" s="370">
        <f t="shared" si="134"/>
        <v>1540</v>
      </c>
      <c r="EH123" s="468">
        <f t="shared" si="124"/>
        <v>43562</v>
      </c>
      <c r="EI123" s="119">
        <f t="shared" si="153"/>
        <v>39.0625</v>
      </c>
    </row>
    <row r="124" ht="15.75" customHeight="1">
      <c r="A124" s="89" t="s">
        <v>648</v>
      </c>
      <c r="B124" s="134" t="s">
        <v>175</v>
      </c>
      <c r="C124" s="174">
        <v>45591.0</v>
      </c>
      <c r="D124" s="144">
        <v>41.0</v>
      </c>
      <c r="E124" s="122" t="s">
        <v>130</v>
      </c>
      <c r="F124" s="145">
        <v>156.0</v>
      </c>
      <c r="G124" s="135">
        <v>58.0</v>
      </c>
      <c r="H124" s="122" t="s">
        <v>131</v>
      </c>
      <c r="I124" s="145">
        <v>3.0</v>
      </c>
      <c r="J124" s="145">
        <v>2022.0</v>
      </c>
      <c r="K124" s="122" t="s">
        <v>131</v>
      </c>
      <c r="L124" s="145">
        <v>3.0</v>
      </c>
      <c r="M124" s="355">
        <v>44105.0</v>
      </c>
      <c r="N124" s="145">
        <v>0.0</v>
      </c>
      <c r="O124" s="464">
        <v>45536.0</v>
      </c>
      <c r="P124" s="122" t="s">
        <v>132</v>
      </c>
      <c r="Q124" s="104"/>
      <c r="R124" s="104"/>
      <c r="S124" s="104"/>
      <c r="T124" s="104"/>
      <c r="U124" s="104"/>
      <c r="V124" s="121" t="str">
        <f t="shared" si="97"/>
        <v>Paciente ambulatorio</v>
      </c>
      <c r="W124" s="104"/>
      <c r="X124" s="122" t="s">
        <v>131</v>
      </c>
      <c r="Y124" s="145">
        <v>1.0</v>
      </c>
      <c r="Z124" s="145">
        <v>1.0</v>
      </c>
      <c r="AA124" s="145">
        <v>1.0</v>
      </c>
      <c r="AB124" s="145">
        <v>1.0</v>
      </c>
      <c r="AC124" s="145">
        <v>1.0</v>
      </c>
      <c r="AD124" s="145">
        <v>2.0</v>
      </c>
      <c r="AE124" s="145">
        <v>1.0</v>
      </c>
      <c r="AF124" s="145">
        <v>3.0</v>
      </c>
      <c r="AG124" s="145">
        <v>3.0</v>
      </c>
      <c r="AH124" s="145">
        <v>3.0</v>
      </c>
      <c r="AI124" s="145">
        <v>3.0</v>
      </c>
      <c r="AJ124" s="145">
        <v>3.0</v>
      </c>
      <c r="AK124" s="122" t="s">
        <v>649</v>
      </c>
      <c r="AL124" s="399" t="s">
        <v>132</v>
      </c>
      <c r="AM124" s="122" t="s">
        <v>132</v>
      </c>
      <c r="AN124" s="122" t="s">
        <v>132</v>
      </c>
      <c r="AO124" s="122" t="s">
        <v>132</v>
      </c>
      <c r="AP124" s="122" t="s">
        <v>132</v>
      </c>
      <c r="AQ124" s="122" t="s">
        <v>132</v>
      </c>
      <c r="AR124" s="122" t="s">
        <v>132</v>
      </c>
      <c r="AS124" s="122" t="s">
        <v>132</v>
      </c>
      <c r="AT124" s="122" t="s">
        <v>132</v>
      </c>
      <c r="AU124" s="122" t="s">
        <v>132</v>
      </c>
      <c r="AV124" s="122" t="s">
        <v>132</v>
      </c>
      <c r="AW124" s="104"/>
      <c r="AX124" s="122" t="s">
        <v>131</v>
      </c>
      <c r="AY124" s="358">
        <v>1.0</v>
      </c>
      <c r="AZ124" s="358">
        <v>21.0</v>
      </c>
      <c r="BA124" s="457"/>
      <c r="BB124" s="122" t="s">
        <v>135</v>
      </c>
      <c r="BC124" s="450">
        <v>3.0</v>
      </c>
      <c r="BD124" s="451">
        <v>1.0</v>
      </c>
      <c r="BE124" s="145">
        <v>1.0</v>
      </c>
      <c r="BF124" s="145">
        <v>1.0</v>
      </c>
      <c r="BG124" s="145">
        <v>3.0</v>
      </c>
      <c r="BH124" s="145">
        <v>4.0</v>
      </c>
      <c r="BI124" s="301" t="str">
        <f t="shared" si="3"/>
        <v>11134</v>
      </c>
      <c r="BJ124" s="145">
        <v>60.0</v>
      </c>
      <c r="BK124" s="145">
        <v>2.0</v>
      </c>
      <c r="BL124" s="145">
        <v>2.0</v>
      </c>
      <c r="BM124" s="145">
        <v>1.0</v>
      </c>
      <c r="BN124" s="145">
        <v>4.0</v>
      </c>
      <c r="BO124" s="145">
        <v>2.0</v>
      </c>
      <c r="BP124" s="145">
        <v>2.0</v>
      </c>
      <c r="BQ124" s="145">
        <v>1.0</v>
      </c>
      <c r="BR124" s="145">
        <v>2.0</v>
      </c>
      <c r="BS124" s="145">
        <v>4.0</v>
      </c>
      <c r="BT124" s="145">
        <v>4.0</v>
      </c>
      <c r="BU124" s="475"/>
      <c r="BV124" s="475"/>
      <c r="BW124" s="475"/>
      <c r="BX124" s="471"/>
      <c r="BY124" s="145">
        <v>0.0</v>
      </c>
      <c r="BZ124" s="145">
        <v>0.0</v>
      </c>
      <c r="CA124" s="145">
        <v>0.0</v>
      </c>
      <c r="CB124" s="145">
        <v>0.0</v>
      </c>
      <c r="CC124" s="145">
        <v>0.0</v>
      </c>
      <c r="CD124" s="145">
        <v>0.0</v>
      </c>
      <c r="CE124" s="145">
        <v>0.0</v>
      </c>
      <c r="CF124" s="145">
        <v>0.0</v>
      </c>
      <c r="CG124" s="145">
        <v>0.0</v>
      </c>
      <c r="CH124" s="145">
        <v>1.0</v>
      </c>
      <c r="CI124" s="145">
        <v>30.0</v>
      </c>
      <c r="CJ124" s="475"/>
      <c r="CK124" s="476"/>
      <c r="CL124" s="476"/>
      <c r="CM124" s="476"/>
      <c r="CN124" s="477"/>
      <c r="CO124" s="145">
        <v>22.0</v>
      </c>
      <c r="CP124" s="145">
        <v>10.0</v>
      </c>
      <c r="CQ124" s="467"/>
      <c r="CR124" s="145">
        <v>5.0</v>
      </c>
      <c r="CS124" s="145">
        <v>50.0</v>
      </c>
      <c r="CT124" s="145">
        <v>7.7</v>
      </c>
      <c r="CU124" s="145">
        <v>6.0</v>
      </c>
      <c r="CV124" s="145">
        <v>0.0</v>
      </c>
      <c r="CW124" s="145">
        <v>3.0</v>
      </c>
      <c r="CX124" s="145">
        <v>0.0</v>
      </c>
      <c r="CY124" s="145">
        <v>0.0</v>
      </c>
      <c r="CZ124" s="145">
        <v>0.0</v>
      </c>
      <c r="DA124" s="145">
        <v>0.0</v>
      </c>
      <c r="DB124" s="145">
        <v>3.0</v>
      </c>
      <c r="DC124" s="145">
        <v>0.0</v>
      </c>
      <c r="DD124" s="145">
        <v>2.0</v>
      </c>
      <c r="DE124" s="134">
        <v>2.0</v>
      </c>
      <c r="DF124" s="457"/>
      <c r="DG124" s="475"/>
      <c r="DH124" s="145">
        <v>1.0</v>
      </c>
      <c r="DI124" s="128"/>
      <c r="DJ124" s="145">
        <v>1.0</v>
      </c>
      <c r="DK124" s="145">
        <v>0.0</v>
      </c>
      <c r="DL124" s="475"/>
      <c r="DM124" s="475"/>
      <c r="DN124" s="475"/>
      <c r="DO124" s="475"/>
      <c r="DP124" s="475"/>
      <c r="DQ124" s="475"/>
      <c r="DR124" s="475"/>
      <c r="DS124" s="475"/>
      <c r="DT124" s="478"/>
      <c r="DU124" s="479"/>
      <c r="DV124" s="368">
        <v>2.0</v>
      </c>
      <c r="DW124" s="322" t="s">
        <v>617</v>
      </c>
      <c r="DX124" s="322" t="s">
        <v>137</v>
      </c>
      <c r="DY124" s="368">
        <v>1.0</v>
      </c>
      <c r="DZ124" s="322" t="s">
        <v>131</v>
      </c>
      <c r="EA124" s="322" t="s">
        <v>138</v>
      </c>
      <c r="EB124" s="457"/>
      <c r="EC124" s="322" t="s">
        <v>139</v>
      </c>
      <c r="ED124" s="461"/>
      <c r="EE124" s="358" t="s">
        <v>131</v>
      </c>
      <c r="EF124" s="322" t="s">
        <v>203</v>
      </c>
      <c r="EG124" s="370">
        <f t="shared" si="134"/>
        <v>1486</v>
      </c>
      <c r="EH124" s="370">
        <f t="shared" si="124"/>
        <v>55</v>
      </c>
      <c r="EI124" s="119">
        <f t="shared" si="153"/>
        <v>23.8330046</v>
      </c>
    </row>
    <row r="125" ht="15.75" customHeight="1">
      <c r="A125" s="89" t="s">
        <v>650</v>
      </c>
      <c r="B125" s="134" t="s">
        <v>175</v>
      </c>
      <c r="C125" s="462">
        <v>45605.0</v>
      </c>
      <c r="D125" s="144">
        <v>41.0</v>
      </c>
      <c r="E125" s="122" t="s">
        <v>130</v>
      </c>
      <c r="F125" s="145">
        <v>153.0</v>
      </c>
      <c r="G125" s="135">
        <v>85.0</v>
      </c>
      <c r="H125" s="122" t="s">
        <v>131</v>
      </c>
      <c r="I125" s="145">
        <v>4.0</v>
      </c>
      <c r="J125" s="355">
        <v>44743.0</v>
      </c>
      <c r="K125" s="122" t="s">
        <v>131</v>
      </c>
      <c r="L125" s="145">
        <v>1.0</v>
      </c>
      <c r="M125" s="355">
        <v>44621.0</v>
      </c>
      <c r="N125" s="145" t="s">
        <v>131</v>
      </c>
      <c r="O125" s="400"/>
      <c r="P125" s="122" t="s">
        <v>132</v>
      </c>
      <c r="Q125" s="104"/>
      <c r="R125" s="104"/>
      <c r="S125" s="104"/>
      <c r="T125" s="104"/>
      <c r="U125" s="104"/>
      <c r="V125" s="121" t="str">
        <f t="shared" si="97"/>
        <v>Paciente ambulatorio</v>
      </c>
      <c r="W125" s="122" t="s">
        <v>176</v>
      </c>
      <c r="X125" s="122" t="s">
        <v>132</v>
      </c>
      <c r="Y125" s="145">
        <v>1.0</v>
      </c>
      <c r="Z125" s="145">
        <v>1.0</v>
      </c>
      <c r="AA125" s="145">
        <v>1.0</v>
      </c>
      <c r="AB125" s="145">
        <v>2.0</v>
      </c>
      <c r="AC125" s="145">
        <v>1.0</v>
      </c>
      <c r="AD125" s="145">
        <v>1.0</v>
      </c>
      <c r="AE125" s="145">
        <v>1.0</v>
      </c>
      <c r="AF125" s="145">
        <v>1.0</v>
      </c>
      <c r="AG125" s="145">
        <v>1.0</v>
      </c>
      <c r="AH125" s="145">
        <v>3.0</v>
      </c>
      <c r="AI125" s="145">
        <v>3.0</v>
      </c>
      <c r="AJ125" s="145">
        <v>1.0</v>
      </c>
      <c r="AK125" s="122" t="s">
        <v>651</v>
      </c>
      <c r="AL125" s="399" t="s">
        <v>132</v>
      </c>
      <c r="AM125" s="122" t="s">
        <v>132</v>
      </c>
      <c r="AN125" s="122" t="s">
        <v>132</v>
      </c>
      <c r="AO125" s="122" t="s">
        <v>132</v>
      </c>
      <c r="AP125" s="122" t="s">
        <v>132</v>
      </c>
      <c r="AQ125" s="122" t="s">
        <v>132</v>
      </c>
      <c r="AR125" s="122" t="s">
        <v>132</v>
      </c>
      <c r="AS125" s="122" t="s">
        <v>132</v>
      </c>
      <c r="AT125" s="122" t="s">
        <v>132</v>
      </c>
      <c r="AU125" s="122" t="s">
        <v>132</v>
      </c>
      <c r="AV125" s="122" t="s">
        <v>132</v>
      </c>
      <c r="AW125" s="457"/>
      <c r="AX125" s="122" t="s">
        <v>165</v>
      </c>
      <c r="AY125" s="128"/>
      <c r="AZ125" s="128"/>
      <c r="BA125" s="358">
        <v>2.0</v>
      </c>
      <c r="BB125" s="122" t="s">
        <v>145</v>
      </c>
      <c r="BC125" s="465"/>
      <c r="BD125" s="451">
        <v>3.0</v>
      </c>
      <c r="BE125" s="145">
        <v>1.0</v>
      </c>
      <c r="BF125" s="145">
        <v>3.0</v>
      </c>
      <c r="BG125" s="145">
        <v>3.0</v>
      </c>
      <c r="BH125" s="145">
        <v>4.0</v>
      </c>
      <c r="BI125" s="301" t="str">
        <f t="shared" si="3"/>
        <v>31334</v>
      </c>
      <c r="BJ125" s="145">
        <v>60.0</v>
      </c>
      <c r="BK125" s="145">
        <v>4.0</v>
      </c>
      <c r="BL125" s="145">
        <v>4.0</v>
      </c>
      <c r="BM125" s="145">
        <v>4.0</v>
      </c>
      <c r="BN125" s="145">
        <v>3.0</v>
      </c>
      <c r="BO125" s="145">
        <v>3.0</v>
      </c>
      <c r="BP125" s="145">
        <v>3.0</v>
      </c>
      <c r="BQ125" s="145">
        <v>3.0</v>
      </c>
      <c r="BR125" s="145">
        <v>2.0</v>
      </c>
      <c r="BS125" s="145">
        <v>2.0</v>
      </c>
      <c r="BT125" s="145">
        <v>3.0</v>
      </c>
      <c r="BU125" s="475"/>
      <c r="BV125" s="475"/>
      <c r="BW125" s="475"/>
      <c r="BX125" s="471"/>
      <c r="BY125" s="145">
        <v>0.0</v>
      </c>
      <c r="BZ125" s="145">
        <v>0.0</v>
      </c>
      <c r="CA125" s="145">
        <v>0.0</v>
      </c>
      <c r="CB125" s="145">
        <v>3.0</v>
      </c>
      <c r="CC125" s="145">
        <v>1.0</v>
      </c>
      <c r="CD125" s="145">
        <v>30.0</v>
      </c>
      <c r="CE125" s="145">
        <v>6.0</v>
      </c>
      <c r="CF125" s="145">
        <v>0.0</v>
      </c>
      <c r="CG125" s="145">
        <v>15.0</v>
      </c>
      <c r="CH125" s="145">
        <v>2.0</v>
      </c>
      <c r="CI125" s="145">
        <v>0.0</v>
      </c>
      <c r="CJ125" s="475"/>
      <c r="CK125" s="476"/>
      <c r="CL125" s="476"/>
      <c r="CM125" s="476"/>
      <c r="CN125" s="477"/>
      <c r="CO125" s="364">
        <v>0.3125</v>
      </c>
      <c r="CP125" s="145">
        <v>5.0</v>
      </c>
      <c r="CQ125" s="467"/>
      <c r="CR125" s="145">
        <v>12.0</v>
      </c>
      <c r="CS125" s="145">
        <v>30.0</v>
      </c>
      <c r="CT125" s="145">
        <v>5.0</v>
      </c>
      <c r="CU125" s="145">
        <v>4.5</v>
      </c>
      <c r="CV125" s="145">
        <v>0.0</v>
      </c>
      <c r="CW125" s="145">
        <v>3.0</v>
      </c>
      <c r="CX125" s="145">
        <v>2.0</v>
      </c>
      <c r="CY125" s="145">
        <v>2.0</v>
      </c>
      <c r="CZ125" s="145">
        <v>2.0</v>
      </c>
      <c r="DA125" s="145">
        <v>0.0</v>
      </c>
      <c r="DB125" s="145">
        <v>0.0</v>
      </c>
      <c r="DC125" s="145">
        <v>1.0</v>
      </c>
      <c r="DD125" s="145">
        <v>2.0</v>
      </c>
      <c r="DE125" s="134">
        <v>0.0</v>
      </c>
      <c r="DF125" s="457"/>
      <c r="DG125" s="475"/>
      <c r="DH125" s="145">
        <v>1.0</v>
      </c>
      <c r="DI125" s="145">
        <v>0.0</v>
      </c>
      <c r="DJ125" s="145">
        <v>3.0</v>
      </c>
      <c r="DK125" s="145">
        <v>3.0</v>
      </c>
      <c r="DL125" s="475"/>
      <c r="DM125" s="475"/>
      <c r="DN125" s="475"/>
      <c r="DO125" s="475"/>
      <c r="DP125" s="475"/>
      <c r="DQ125" s="475"/>
      <c r="DR125" s="475"/>
      <c r="DS125" s="475"/>
      <c r="DT125" s="478"/>
      <c r="DU125" s="479"/>
      <c r="DV125" s="368">
        <v>2.0</v>
      </c>
      <c r="DW125" s="358" t="s">
        <v>617</v>
      </c>
      <c r="DX125" s="322" t="s">
        <v>137</v>
      </c>
      <c r="DY125" s="368">
        <v>1.0</v>
      </c>
      <c r="DZ125" s="322" t="s">
        <v>131</v>
      </c>
      <c r="EA125" s="322" t="s">
        <v>162</v>
      </c>
      <c r="EB125" s="457"/>
      <c r="EC125" s="322" t="s">
        <v>139</v>
      </c>
      <c r="ED125" s="457"/>
      <c r="EE125" s="322" t="s">
        <v>132</v>
      </c>
      <c r="EF125" s="322" t="s">
        <v>141</v>
      </c>
      <c r="EG125" s="370">
        <f t="shared" si="134"/>
        <v>984</v>
      </c>
      <c r="EH125" s="370">
        <f t="shared" si="124"/>
        <v>45605</v>
      </c>
      <c r="EI125" s="119">
        <f t="shared" si="153"/>
        <v>36.31082062</v>
      </c>
    </row>
    <row r="126" ht="15.75" customHeight="1">
      <c r="A126" s="89" t="s">
        <v>652</v>
      </c>
      <c r="B126" s="134" t="s">
        <v>175</v>
      </c>
      <c r="C126" s="174">
        <v>45591.0</v>
      </c>
      <c r="D126" s="144">
        <v>51.0</v>
      </c>
      <c r="E126" s="122" t="s">
        <v>130</v>
      </c>
      <c r="F126" s="145">
        <v>160.0</v>
      </c>
      <c r="G126" s="135">
        <v>100.0</v>
      </c>
      <c r="H126" s="122" t="s">
        <v>131</v>
      </c>
      <c r="I126" s="145">
        <v>3.0</v>
      </c>
      <c r="J126" s="455">
        <v>44593.0</v>
      </c>
      <c r="K126" s="122" t="s">
        <v>131</v>
      </c>
      <c r="L126" s="145">
        <v>1.0</v>
      </c>
      <c r="M126" s="400"/>
      <c r="N126" s="104"/>
      <c r="O126" s="104"/>
      <c r="P126" s="122" t="s">
        <v>132</v>
      </c>
      <c r="Q126" s="104"/>
      <c r="R126" s="104"/>
      <c r="S126" s="104"/>
      <c r="T126" s="104"/>
      <c r="U126" s="104"/>
      <c r="V126" s="121" t="str">
        <f t="shared" si="97"/>
        <v>Paciente ambulatorio</v>
      </c>
      <c r="W126" s="122" t="s">
        <v>183</v>
      </c>
      <c r="X126" s="122" t="s">
        <v>132</v>
      </c>
      <c r="Y126" s="145">
        <v>1.0</v>
      </c>
      <c r="Z126" s="145">
        <v>1.0</v>
      </c>
      <c r="AA126" s="145">
        <v>1.0</v>
      </c>
      <c r="AB126" s="145">
        <v>2.0</v>
      </c>
      <c r="AC126" s="145">
        <v>2.0</v>
      </c>
      <c r="AD126" s="145">
        <v>2.0</v>
      </c>
      <c r="AE126" s="145">
        <v>2.0</v>
      </c>
      <c r="AF126" s="145">
        <v>1.0</v>
      </c>
      <c r="AG126" s="145">
        <v>3.0</v>
      </c>
      <c r="AH126" s="145">
        <v>3.0</v>
      </c>
      <c r="AI126" s="145">
        <v>1.0</v>
      </c>
      <c r="AJ126" s="145">
        <v>1.0</v>
      </c>
      <c r="AK126" s="122" t="s">
        <v>653</v>
      </c>
      <c r="AL126" s="399" t="s">
        <v>132</v>
      </c>
      <c r="AM126" s="122" t="s">
        <v>132</v>
      </c>
      <c r="AN126" s="122" t="s">
        <v>132</v>
      </c>
      <c r="AO126" s="122" t="s">
        <v>132</v>
      </c>
      <c r="AP126" s="122" t="s">
        <v>132</v>
      </c>
      <c r="AQ126" s="122" t="s">
        <v>132</v>
      </c>
      <c r="AR126" s="122" t="s">
        <v>132</v>
      </c>
      <c r="AS126" s="122" t="s">
        <v>132</v>
      </c>
      <c r="AT126" s="122" t="s">
        <v>132</v>
      </c>
      <c r="AU126" s="122" t="s">
        <v>132</v>
      </c>
      <c r="AV126" s="122" t="s">
        <v>131</v>
      </c>
      <c r="AW126" s="122" t="s">
        <v>654</v>
      </c>
      <c r="AX126" s="122" t="s">
        <v>165</v>
      </c>
      <c r="AY126" s="457"/>
      <c r="AZ126" s="457"/>
      <c r="BA126" s="358">
        <v>14.0</v>
      </c>
      <c r="BB126" s="122" t="s">
        <v>145</v>
      </c>
      <c r="BC126" s="473"/>
      <c r="BD126" s="451">
        <v>1.0</v>
      </c>
      <c r="BE126" s="145">
        <v>1.0</v>
      </c>
      <c r="BF126" s="145">
        <v>2.0</v>
      </c>
      <c r="BG126" s="145">
        <v>2.0</v>
      </c>
      <c r="BH126" s="145">
        <v>1.0</v>
      </c>
      <c r="BI126" s="301" t="str">
        <f t="shared" si="3"/>
        <v>11221</v>
      </c>
      <c r="BJ126" s="145">
        <v>70.0</v>
      </c>
      <c r="BK126" s="145">
        <v>2.0</v>
      </c>
      <c r="BL126" s="145">
        <v>3.0</v>
      </c>
      <c r="BM126" s="145">
        <v>2.0</v>
      </c>
      <c r="BN126" s="145">
        <v>3.0</v>
      </c>
      <c r="BO126" s="145">
        <v>4.0</v>
      </c>
      <c r="BP126" s="145">
        <v>2.0</v>
      </c>
      <c r="BQ126" s="145">
        <v>2.0</v>
      </c>
      <c r="BR126" s="145">
        <v>2.0</v>
      </c>
      <c r="BS126" s="145">
        <v>2.0</v>
      </c>
      <c r="BT126" s="145">
        <v>2.0</v>
      </c>
      <c r="BU126" s="475"/>
      <c r="BV126" s="475"/>
      <c r="BW126" s="475"/>
      <c r="BX126" s="471"/>
      <c r="BY126" s="145">
        <v>0.0</v>
      </c>
      <c r="BZ126" s="145">
        <v>0.0</v>
      </c>
      <c r="CA126" s="145">
        <v>0.0</v>
      </c>
      <c r="CB126" s="145">
        <v>1.0</v>
      </c>
      <c r="CC126" s="145">
        <v>4.0</v>
      </c>
      <c r="CD126" s="145">
        <v>0.0</v>
      </c>
      <c r="CE126" s="145">
        <v>2.0</v>
      </c>
      <c r="CF126" s="145">
        <v>1.0</v>
      </c>
      <c r="CG126" s="145">
        <v>30.0</v>
      </c>
      <c r="CH126" s="145">
        <v>2.0</v>
      </c>
      <c r="CI126" s="145">
        <v>0.0</v>
      </c>
      <c r="CJ126" s="475"/>
      <c r="CK126" s="476"/>
      <c r="CL126" s="476"/>
      <c r="CM126" s="476"/>
      <c r="CN126" s="477"/>
      <c r="CO126" s="145">
        <v>23.0</v>
      </c>
      <c r="CP126" s="145">
        <v>10.0</v>
      </c>
      <c r="CQ126" s="467"/>
      <c r="CR126" s="145">
        <v>6.0</v>
      </c>
      <c r="CS126" s="145">
        <v>30.0</v>
      </c>
      <c r="CT126" s="145">
        <v>7.5</v>
      </c>
      <c r="CU126" s="145">
        <v>7.0</v>
      </c>
      <c r="CV126" s="145">
        <v>0.0</v>
      </c>
      <c r="CW126" s="145">
        <v>3.0</v>
      </c>
      <c r="CX126" s="145">
        <v>3.0</v>
      </c>
      <c r="CY126" s="145">
        <v>0.0</v>
      </c>
      <c r="CZ126" s="145">
        <v>0.0</v>
      </c>
      <c r="DA126" s="145">
        <v>2.0</v>
      </c>
      <c r="DB126" s="145">
        <v>0.0</v>
      </c>
      <c r="DC126" s="145">
        <v>0.0</v>
      </c>
      <c r="DD126" s="145">
        <v>2.0</v>
      </c>
      <c r="DE126" s="134">
        <v>3.0</v>
      </c>
      <c r="DF126" s="358" t="s">
        <v>627</v>
      </c>
      <c r="DG126" s="475"/>
      <c r="DH126" s="145">
        <v>1.0</v>
      </c>
      <c r="DI126" s="145">
        <v>0.0</v>
      </c>
      <c r="DJ126" s="145">
        <v>0.0</v>
      </c>
      <c r="DK126" s="145">
        <v>1.0</v>
      </c>
      <c r="DL126" s="475"/>
      <c r="DM126" s="475"/>
      <c r="DN126" s="475"/>
      <c r="DO126" s="475"/>
      <c r="DP126" s="475"/>
      <c r="DQ126" s="475"/>
      <c r="DR126" s="475"/>
      <c r="DS126" s="475"/>
      <c r="DT126" s="478"/>
      <c r="DU126" s="479"/>
      <c r="DV126" s="368">
        <v>3.0</v>
      </c>
      <c r="DW126" s="322" t="s">
        <v>655</v>
      </c>
      <c r="DX126" s="322" t="s">
        <v>146</v>
      </c>
      <c r="DY126" s="368">
        <v>2.0</v>
      </c>
      <c r="DZ126" s="322" t="s">
        <v>131</v>
      </c>
      <c r="EA126" s="322" t="s">
        <v>162</v>
      </c>
      <c r="EB126" s="457"/>
      <c r="EC126" s="322" t="s">
        <v>222</v>
      </c>
      <c r="ED126" s="461"/>
      <c r="EE126" s="322" t="s">
        <v>131</v>
      </c>
      <c r="EF126" s="322" t="s">
        <v>151</v>
      </c>
      <c r="EG126" s="370">
        <f t="shared" si="134"/>
        <v>45591</v>
      </c>
      <c r="EH126" s="480">
        <f t="shared" si="124"/>
        <v>45591</v>
      </c>
      <c r="EI126" s="119">
        <f t="shared" si="153"/>
        <v>39.0625</v>
      </c>
    </row>
    <row r="127" ht="15.75" customHeight="1">
      <c r="A127" s="89" t="s">
        <v>656</v>
      </c>
      <c r="B127" s="134" t="s">
        <v>175</v>
      </c>
      <c r="C127" s="174">
        <v>45591.0</v>
      </c>
      <c r="D127" s="144">
        <v>60.0</v>
      </c>
      <c r="E127" s="122" t="s">
        <v>130</v>
      </c>
      <c r="F127" s="145">
        <v>165.0</v>
      </c>
      <c r="G127" s="135">
        <v>57.0</v>
      </c>
      <c r="H127" s="122" t="s">
        <v>131</v>
      </c>
      <c r="I127" s="134">
        <v>3.0</v>
      </c>
      <c r="J127" s="104"/>
      <c r="K127" s="122" t="s">
        <v>131</v>
      </c>
      <c r="L127" s="145">
        <v>1.0</v>
      </c>
      <c r="M127" s="355">
        <v>44317.0</v>
      </c>
      <c r="N127" s="145">
        <v>1.0</v>
      </c>
      <c r="O127" s="104"/>
      <c r="P127" s="122" t="s">
        <v>132</v>
      </c>
      <c r="Q127" s="104"/>
      <c r="R127" s="104"/>
      <c r="S127" s="104"/>
      <c r="T127" s="104"/>
      <c r="U127" s="104"/>
      <c r="V127" s="121" t="str">
        <f t="shared" si="97"/>
        <v>Paciente ambulatorio</v>
      </c>
      <c r="W127" s="104"/>
      <c r="X127" s="122" t="s">
        <v>132</v>
      </c>
      <c r="Y127" s="145">
        <v>3.0</v>
      </c>
      <c r="Z127" s="145">
        <v>1.0</v>
      </c>
      <c r="AA127" s="145">
        <v>3.0</v>
      </c>
      <c r="AB127" s="145">
        <v>3.0</v>
      </c>
      <c r="AC127" s="145">
        <v>3.0</v>
      </c>
      <c r="AD127" s="145">
        <v>1.0</v>
      </c>
      <c r="AE127" s="145">
        <v>1.0</v>
      </c>
      <c r="AF127" s="145">
        <v>1.0</v>
      </c>
      <c r="AG127" s="145">
        <v>1.0</v>
      </c>
      <c r="AH127" s="145">
        <v>1.0</v>
      </c>
      <c r="AI127" s="145">
        <v>1.0</v>
      </c>
      <c r="AJ127" s="145">
        <v>1.0</v>
      </c>
      <c r="AK127" s="122" t="s">
        <v>657</v>
      </c>
      <c r="AL127" s="399" t="s">
        <v>132</v>
      </c>
      <c r="AM127" s="122" t="s">
        <v>132</v>
      </c>
      <c r="AN127" s="122" t="s">
        <v>132</v>
      </c>
      <c r="AO127" s="122" t="s">
        <v>131</v>
      </c>
      <c r="AP127" s="122" t="s">
        <v>132</v>
      </c>
      <c r="AQ127" s="122" t="s">
        <v>132</v>
      </c>
      <c r="AR127" s="122" t="s">
        <v>132</v>
      </c>
      <c r="AS127" s="122" t="s">
        <v>132</v>
      </c>
      <c r="AT127" s="122" t="s">
        <v>132</v>
      </c>
      <c r="AU127" s="122" t="s">
        <v>132</v>
      </c>
      <c r="AV127" s="122" t="s">
        <v>131</v>
      </c>
      <c r="AW127" s="122" t="s">
        <v>177</v>
      </c>
      <c r="AX127" s="122" t="s">
        <v>165</v>
      </c>
      <c r="AY127" s="457"/>
      <c r="AZ127" s="457"/>
      <c r="BA127" s="358">
        <v>6.0</v>
      </c>
      <c r="BB127" s="122" t="s">
        <v>135</v>
      </c>
      <c r="BC127" s="449">
        <v>2.0</v>
      </c>
      <c r="BD127" s="451">
        <v>2.0</v>
      </c>
      <c r="BE127" s="145">
        <v>1.0</v>
      </c>
      <c r="BF127" s="145">
        <v>1.0</v>
      </c>
      <c r="BG127" s="145">
        <v>2.0</v>
      </c>
      <c r="BH127" s="145">
        <v>2.0</v>
      </c>
      <c r="BI127" s="301" t="str">
        <f t="shared" si="3"/>
        <v>21122</v>
      </c>
      <c r="BJ127" s="145">
        <v>65.0</v>
      </c>
      <c r="BK127" s="145">
        <v>2.0</v>
      </c>
      <c r="BL127" s="145">
        <v>3.0</v>
      </c>
      <c r="BM127" s="145">
        <v>1.0</v>
      </c>
      <c r="BN127" s="145">
        <v>3.0</v>
      </c>
      <c r="BO127" s="145">
        <v>3.0</v>
      </c>
      <c r="BP127" s="145">
        <v>3.0</v>
      </c>
      <c r="BQ127" s="145">
        <v>2.0</v>
      </c>
      <c r="BR127" s="145">
        <v>2.0</v>
      </c>
      <c r="BS127" s="145">
        <v>2.0</v>
      </c>
      <c r="BT127" s="145">
        <v>3.0</v>
      </c>
      <c r="BU127" s="475"/>
      <c r="BV127" s="475"/>
      <c r="BW127" s="475"/>
      <c r="BX127" s="471"/>
      <c r="BY127" s="358">
        <v>3.0</v>
      </c>
      <c r="BZ127" s="358">
        <v>1.0</v>
      </c>
      <c r="CA127" s="358">
        <v>0.0</v>
      </c>
      <c r="CB127" s="145">
        <v>0.0</v>
      </c>
      <c r="CC127" s="145">
        <v>0.0</v>
      </c>
      <c r="CD127" s="145">
        <v>0.0</v>
      </c>
      <c r="CE127" s="145">
        <v>7.0</v>
      </c>
      <c r="CF127" s="145">
        <v>1.0</v>
      </c>
      <c r="CG127" s="145">
        <v>0.0</v>
      </c>
      <c r="CH127" s="145">
        <v>4.0</v>
      </c>
      <c r="CI127" s="145">
        <v>0.0</v>
      </c>
      <c r="CJ127" s="475"/>
      <c r="CK127" s="476"/>
      <c r="CL127" s="476"/>
      <c r="CM127" s="476"/>
      <c r="CN127" s="477"/>
      <c r="CO127" s="364">
        <v>0.9375</v>
      </c>
      <c r="CP127" s="145">
        <v>30.0</v>
      </c>
      <c r="CQ127" s="467"/>
      <c r="CR127" s="145">
        <v>8.0</v>
      </c>
      <c r="CS127" s="145">
        <v>0.0</v>
      </c>
      <c r="CT127" s="145">
        <v>9.5</v>
      </c>
      <c r="CU127" s="145">
        <v>7.0</v>
      </c>
      <c r="CV127" s="145">
        <v>0.0</v>
      </c>
      <c r="CW127" s="145">
        <v>3.0</v>
      </c>
      <c r="CX127" s="145">
        <v>3.0</v>
      </c>
      <c r="CY127" s="145">
        <v>0.0</v>
      </c>
      <c r="CZ127" s="145">
        <v>0.0</v>
      </c>
      <c r="DA127" s="145">
        <v>0.0</v>
      </c>
      <c r="DB127" s="145">
        <v>0.0</v>
      </c>
      <c r="DC127" s="145">
        <v>0.0</v>
      </c>
      <c r="DD127" s="145">
        <v>0.0</v>
      </c>
      <c r="DE127" s="134">
        <v>3.0</v>
      </c>
      <c r="DF127" s="358" t="s">
        <v>658</v>
      </c>
      <c r="DG127" s="475"/>
      <c r="DH127" s="145">
        <v>2.0</v>
      </c>
      <c r="DI127" s="145">
        <v>0.0</v>
      </c>
      <c r="DJ127" s="145">
        <v>3.0</v>
      </c>
      <c r="DK127" s="145">
        <v>2.0</v>
      </c>
      <c r="DL127" s="475"/>
      <c r="DM127" s="475"/>
      <c r="DN127" s="475"/>
      <c r="DO127" s="475"/>
      <c r="DP127" s="475"/>
      <c r="DQ127" s="475"/>
      <c r="DR127" s="475"/>
      <c r="DS127" s="475"/>
      <c r="DT127" s="478"/>
      <c r="DU127" s="479"/>
      <c r="DV127" s="368">
        <v>1.0</v>
      </c>
      <c r="DW127" s="322" t="s">
        <v>136</v>
      </c>
      <c r="DX127" s="322" t="s">
        <v>146</v>
      </c>
      <c r="DY127" s="368">
        <v>2.0</v>
      </c>
      <c r="DZ127" s="322" t="s">
        <v>131</v>
      </c>
      <c r="EA127" s="322" t="s">
        <v>167</v>
      </c>
      <c r="EB127" s="457"/>
      <c r="EC127" s="322" t="s">
        <v>172</v>
      </c>
      <c r="ED127" s="358" t="s">
        <v>131</v>
      </c>
      <c r="EE127" s="358" t="s">
        <v>132</v>
      </c>
      <c r="EF127" s="322" t="s">
        <v>158</v>
      </c>
      <c r="EG127" s="370">
        <f t="shared" si="134"/>
        <v>1274</v>
      </c>
      <c r="EH127" s="480">
        <f t="shared" si="124"/>
        <v>45591</v>
      </c>
      <c r="EI127" s="119">
        <f t="shared" si="153"/>
        <v>20.93663912</v>
      </c>
    </row>
    <row r="128" ht="15.75" customHeight="1">
      <c r="A128" s="89" t="s">
        <v>659</v>
      </c>
      <c r="B128" s="134" t="s">
        <v>175</v>
      </c>
      <c r="C128" s="174">
        <v>45591.0</v>
      </c>
      <c r="D128" s="144">
        <v>55.0</v>
      </c>
      <c r="E128" s="122" t="s">
        <v>130</v>
      </c>
      <c r="F128" s="145">
        <v>155.0</v>
      </c>
      <c r="G128" s="135">
        <v>88.0</v>
      </c>
      <c r="H128" s="122" t="s">
        <v>131</v>
      </c>
      <c r="I128" s="145">
        <v>6.0</v>
      </c>
      <c r="J128" s="455">
        <v>45280.0</v>
      </c>
      <c r="K128" s="122" t="s">
        <v>131</v>
      </c>
      <c r="L128" s="145">
        <v>1.0</v>
      </c>
      <c r="M128" s="464">
        <v>44382.0</v>
      </c>
      <c r="N128" s="145">
        <v>1.0</v>
      </c>
      <c r="O128" s="400"/>
      <c r="P128" s="122" t="s">
        <v>132</v>
      </c>
      <c r="Q128" s="104"/>
      <c r="R128" s="104"/>
      <c r="S128" s="104"/>
      <c r="T128" s="104"/>
      <c r="U128" s="104"/>
      <c r="V128" s="121" t="str">
        <f t="shared" si="97"/>
        <v>Paciente ambulatorio</v>
      </c>
      <c r="W128" s="122" t="s">
        <v>176</v>
      </c>
      <c r="X128" s="122" t="s">
        <v>131</v>
      </c>
      <c r="Y128" s="145">
        <v>1.0</v>
      </c>
      <c r="Z128" s="145">
        <v>1.0</v>
      </c>
      <c r="AA128" s="145">
        <v>3.0</v>
      </c>
      <c r="AB128" s="145">
        <v>3.0</v>
      </c>
      <c r="AC128" s="145">
        <v>1.0</v>
      </c>
      <c r="AD128" s="145">
        <v>1.0</v>
      </c>
      <c r="AE128" s="145">
        <v>2.0</v>
      </c>
      <c r="AF128" s="145">
        <v>1.0</v>
      </c>
      <c r="AG128" s="145">
        <v>1.0</v>
      </c>
      <c r="AH128" s="145">
        <v>1.0</v>
      </c>
      <c r="AI128" s="145">
        <v>1.0</v>
      </c>
      <c r="AJ128" s="145">
        <v>1.0</v>
      </c>
      <c r="AK128" s="122" t="s">
        <v>660</v>
      </c>
      <c r="AL128" s="399" t="s">
        <v>132</v>
      </c>
      <c r="AM128" s="122" t="s">
        <v>132</v>
      </c>
      <c r="AN128" s="122" t="s">
        <v>132</v>
      </c>
      <c r="AO128" s="122" t="s">
        <v>132</v>
      </c>
      <c r="AP128" s="122" t="s">
        <v>132</v>
      </c>
      <c r="AQ128" s="122" t="s">
        <v>132</v>
      </c>
      <c r="AR128" s="122" t="s">
        <v>132</v>
      </c>
      <c r="AS128" s="122" t="s">
        <v>132</v>
      </c>
      <c r="AT128" s="122" t="s">
        <v>132</v>
      </c>
      <c r="AU128" s="122" t="s">
        <v>132</v>
      </c>
      <c r="AV128" s="122" t="s">
        <v>132</v>
      </c>
      <c r="AW128" s="104"/>
      <c r="AX128" s="122" t="s">
        <v>132</v>
      </c>
      <c r="AY128" s="457"/>
      <c r="AZ128" s="457"/>
      <c r="BA128" s="466"/>
      <c r="BB128" s="122" t="s">
        <v>135</v>
      </c>
      <c r="BC128" s="449">
        <v>0.5</v>
      </c>
      <c r="BD128" s="451">
        <v>1.0</v>
      </c>
      <c r="BE128" s="145">
        <v>1.0</v>
      </c>
      <c r="BF128" s="145">
        <v>3.0</v>
      </c>
      <c r="BG128" s="145">
        <v>2.0</v>
      </c>
      <c r="BH128" s="145">
        <v>5.0</v>
      </c>
      <c r="BI128" s="476"/>
      <c r="BJ128" s="145">
        <v>30.0</v>
      </c>
      <c r="BK128" s="145">
        <v>4.0</v>
      </c>
      <c r="BL128" s="145">
        <v>3.0</v>
      </c>
      <c r="BM128" s="145">
        <v>2.0</v>
      </c>
      <c r="BN128" s="145">
        <v>1.0</v>
      </c>
      <c r="BO128" s="145">
        <v>4.0</v>
      </c>
      <c r="BP128" s="145">
        <v>3.0</v>
      </c>
      <c r="BQ128" s="145">
        <v>2.0</v>
      </c>
      <c r="BR128" s="145">
        <v>2.0</v>
      </c>
      <c r="BS128" s="145">
        <v>4.0</v>
      </c>
      <c r="BT128" s="145">
        <v>3.0</v>
      </c>
      <c r="BU128" s="475"/>
      <c r="BV128" s="475"/>
      <c r="BW128" s="475"/>
      <c r="BX128" s="471"/>
      <c r="BY128" s="145">
        <v>0.0</v>
      </c>
      <c r="BZ128" s="145">
        <v>0.0</v>
      </c>
      <c r="CA128" s="145">
        <v>0.0</v>
      </c>
      <c r="CB128" s="145">
        <v>3.0</v>
      </c>
      <c r="CC128" s="145">
        <v>2.0</v>
      </c>
      <c r="CD128" s="145">
        <v>30.0</v>
      </c>
      <c r="CE128" s="145">
        <v>7.0</v>
      </c>
      <c r="CF128" s="145">
        <v>0.0</v>
      </c>
      <c r="CG128" s="145">
        <v>40.0</v>
      </c>
      <c r="CH128" s="145">
        <v>3.0</v>
      </c>
      <c r="CI128" s="145">
        <v>0.0</v>
      </c>
      <c r="CJ128" s="475"/>
      <c r="CK128" s="476"/>
      <c r="CL128" s="476"/>
      <c r="CM128" s="476"/>
      <c r="CN128" s="477"/>
      <c r="CO128" s="145">
        <v>23.0</v>
      </c>
      <c r="CP128" s="145">
        <v>5.0</v>
      </c>
      <c r="CQ128" s="467"/>
      <c r="CR128" s="145">
        <v>6.0</v>
      </c>
      <c r="CS128" s="145">
        <v>30.0</v>
      </c>
      <c r="CT128" s="145">
        <v>7.5</v>
      </c>
      <c r="CU128" s="145">
        <v>4.0</v>
      </c>
      <c r="CV128" s="145">
        <v>0.0</v>
      </c>
      <c r="CW128" s="145">
        <v>3.0</v>
      </c>
      <c r="CX128" s="145">
        <v>3.0</v>
      </c>
      <c r="CY128" s="145">
        <v>2.0</v>
      </c>
      <c r="CZ128" s="145">
        <v>3.0</v>
      </c>
      <c r="DA128" s="145">
        <v>0.0</v>
      </c>
      <c r="DB128" s="145">
        <v>3.0</v>
      </c>
      <c r="DC128" s="145">
        <v>2.0</v>
      </c>
      <c r="DD128" s="145">
        <v>2.0</v>
      </c>
      <c r="DE128" s="134">
        <v>2.0</v>
      </c>
      <c r="DF128" s="358" t="s">
        <v>661</v>
      </c>
      <c r="DG128" s="475"/>
      <c r="DH128" s="145">
        <v>3.0</v>
      </c>
      <c r="DI128" s="145">
        <v>0.0</v>
      </c>
      <c r="DJ128" s="145">
        <v>3.0</v>
      </c>
      <c r="DK128" s="145">
        <v>3.0</v>
      </c>
      <c r="DL128" s="475"/>
      <c r="DM128" s="475"/>
      <c r="DN128" s="475"/>
      <c r="DO128" s="475"/>
      <c r="DP128" s="475"/>
      <c r="DQ128" s="475"/>
      <c r="DR128" s="475"/>
      <c r="DS128" s="475"/>
      <c r="DT128" s="478"/>
      <c r="DU128" s="481"/>
      <c r="DV128" s="368">
        <v>1.0</v>
      </c>
      <c r="DW128" s="358" t="s">
        <v>247</v>
      </c>
      <c r="DX128" s="322" t="s">
        <v>146</v>
      </c>
      <c r="DY128" s="368">
        <v>2.0</v>
      </c>
      <c r="DZ128" s="322" t="s">
        <v>131</v>
      </c>
      <c r="EA128" s="322" t="s">
        <v>138</v>
      </c>
      <c r="EB128" s="457"/>
      <c r="EC128" s="322" t="s">
        <v>139</v>
      </c>
      <c r="ED128" s="457"/>
      <c r="EE128" s="322" t="s">
        <v>131</v>
      </c>
      <c r="EF128" s="322" t="s">
        <v>141</v>
      </c>
      <c r="EG128" s="370">
        <f t="shared" si="134"/>
        <v>1209</v>
      </c>
      <c r="EH128" s="370">
        <f t="shared" si="124"/>
        <v>45591</v>
      </c>
      <c r="EI128" s="119">
        <f t="shared" si="153"/>
        <v>36.62851197</v>
      </c>
    </row>
    <row r="129" ht="15.75" customHeight="1">
      <c r="A129" s="89" t="s">
        <v>662</v>
      </c>
      <c r="B129" s="134" t="s">
        <v>175</v>
      </c>
      <c r="C129" s="174">
        <v>45591.0</v>
      </c>
      <c r="D129" s="144">
        <v>38.0</v>
      </c>
      <c r="E129" s="122" t="s">
        <v>153</v>
      </c>
      <c r="F129" s="145">
        <v>178.0</v>
      </c>
      <c r="G129" s="135">
        <v>123.0</v>
      </c>
      <c r="H129" s="122" t="s">
        <v>131</v>
      </c>
      <c r="I129" s="134">
        <v>3.0</v>
      </c>
      <c r="J129" s="455">
        <v>44657.0</v>
      </c>
      <c r="K129" s="122" t="s">
        <v>131</v>
      </c>
      <c r="L129" s="145">
        <v>2.0</v>
      </c>
      <c r="M129" s="355">
        <v>44044.0</v>
      </c>
      <c r="N129" s="145">
        <v>0.0</v>
      </c>
      <c r="O129" s="464">
        <v>44593.0</v>
      </c>
      <c r="P129" s="122" t="s">
        <v>132</v>
      </c>
      <c r="Q129" s="104"/>
      <c r="R129" s="104"/>
      <c r="S129" s="104"/>
      <c r="T129" s="104"/>
      <c r="U129" s="104"/>
      <c r="V129" s="121" t="str">
        <f t="shared" si="97"/>
        <v>Paciente ambulatorio</v>
      </c>
      <c r="W129" s="122" t="s">
        <v>183</v>
      </c>
      <c r="X129" s="122" t="s">
        <v>132</v>
      </c>
      <c r="Y129" s="145">
        <v>1.0</v>
      </c>
      <c r="Z129" s="145">
        <v>1.0</v>
      </c>
      <c r="AA129" s="145">
        <v>1.0</v>
      </c>
      <c r="AB129" s="145">
        <v>2.0</v>
      </c>
      <c r="AC129" s="145">
        <v>1.0</v>
      </c>
      <c r="AD129" s="145">
        <v>1.0</v>
      </c>
      <c r="AE129" s="145">
        <v>2.0</v>
      </c>
      <c r="AF129" s="145">
        <v>1.0</v>
      </c>
      <c r="AG129" s="145">
        <v>1.0</v>
      </c>
      <c r="AH129" s="145">
        <v>1.0</v>
      </c>
      <c r="AI129" s="145">
        <v>1.0</v>
      </c>
      <c r="AJ129" s="145">
        <v>1.0</v>
      </c>
      <c r="AK129" s="122" t="s">
        <v>663</v>
      </c>
      <c r="AL129" s="399" t="s">
        <v>132</v>
      </c>
      <c r="AM129" s="122" t="s">
        <v>132</v>
      </c>
      <c r="AN129" s="122" t="s">
        <v>132</v>
      </c>
      <c r="AO129" s="122" t="s">
        <v>132</v>
      </c>
      <c r="AP129" s="122" t="s">
        <v>132</v>
      </c>
      <c r="AQ129" s="122" t="s">
        <v>132</v>
      </c>
      <c r="AR129" s="122" t="s">
        <v>132</v>
      </c>
      <c r="AS129" s="122" t="s">
        <v>132</v>
      </c>
      <c r="AT129" s="122" t="s">
        <v>132</v>
      </c>
      <c r="AU129" s="122" t="s">
        <v>132</v>
      </c>
      <c r="AV129" s="122" t="s">
        <v>132</v>
      </c>
      <c r="AW129" s="122"/>
      <c r="AX129" s="122" t="s">
        <v>132</v>
      </c>
      <c r="AY129" s="457"/>
      <c r="AZ129" s="457"/>
      <c r="BA129" s="457"/>
      <c r="BB129" s="122" t="s">
        <v>145</v>
      </c>
      <c r="BC129" s="473"/>
      <c r="BD129" s="451">
        <v>2.0</v>
      </c>
      <c r="BE129" s="145">
        <v>1.0</v>
      </c>
      <c r="BF129" s="145">
        <v>3.0</v>
      </c>
      <c r="BG129" s="145">
        <v>2.0</v>
      </c>
      <c r="BH129" s="145">
        <v>4.0</v>
      </c>
      <c r="BI129" s="476"/>
      <c r="BJ129" s="145">
        <v>70.0</v>
      </c>
      <c r="BK129" s="145">
        <v>3.0</v>
      </c>
      <c r="BL129" s="145">
        <v>4.0</v>
      </c>
      <c r="BM129" s="145">
        <v>4.0</v>
      </c>
      <c r="BN129" s="145">
        <v>3.0</v>
      </c>
      <c r="BO129" s="145">
        <v>4.0</v>
      </c>
      <c r="BP129" s="145">
        <v>3.0</v>
      </c>
      <c r="BQ129" s="145">
        <v>2.0</v>
      </c>
      <c r="BR129" s="145">
        <v>2.0</v>
      </c>
      <c r="BS129" s="145">
        <v>4.0</v>
      </c>
      <c r="BT129" s="145">
        <v>3.0</v>
      </c>
      <c r="BU129" s="475"/>
      <c r="BV129" s="475"/>
      <c r="BW129" s="475"/>
      <c r="BX129" s="471"/>
      <c r="BY129" s="145">
        <v>0.0</v>
      </c>
      <c r="BZ129" s="145">
        <v>0.0</v>
      </c>
      <c r="CA129" s="145">
        <v>0.0</v>
      </c>
      <c r="CB129" s="145">
        <v>0.0</v>
      </c>
      <c r="CC129" s="145">
        <v>0.0</v>
      </c>
      <c r="CD129" s="145">
        <v>0.0</v>
      </c>
      <c r="CE129" s="145">
        <v>0.0</v>
      </c>
      <c r="CF129" s="145">
        <v>0.0</v>
      </c>
      <c r="CG129" s="145">
        <v>0.0</v>
      </c>
      <c r="CH129" s="145">
        <v>8.0</v>
      </c>
      <c r="CI129" s="145">
        <v>0.0</v>
      </c>
      <c r="CJ129" s="475"/>
      <c r="CK129" s="476"/>
      <c r="CL129" s="476"/>
      <c r="CM129" s="476"/>
      <c r="CN129" s="477"/>
      <c r="CO129" s="145">
        <v>0.0</v>
      </c>
      <c r="CP129" s="145">
        <v>15.0</v>
      </c>
      <c r="CQ129" s="467"/>
      <c r="CR129" s="145">
        <v>6.0</v>
      </c>
      <c r="CS129" s="145">
        <v>30.0</v>
      </c>
      <c r="CT129" s="128"/>
      <c r="CU129" s="145">
        <v>5.0</v>
      </c>
      <c r="CV129" s="145">
        <v>1.0</v>
      </c>
      <c r="CW129" s="145">
        <v>2.0</v>
      </c>
      <c r="CX129" s="145">
        <v>2.0</v>
      </c>
      <c r="CY129" s="145">
        <v>2.0</v>
      </c>
      <c r="CZ129" s="145">
        <v>1.0</v>
      </c>
      <c r="DA129" s="145">
        <v>2.0</v>
      </c>
      <c r="DB129" s="145">
        <v>1.0</v>
      </c>
      <c r="DC129" s="145">
        <v>1.0</v>
      </c>
      <c r="DD129" s="145">
        <v>1.0</v>
      </c>
      <c r="DE129" s="134">
        <v>2.0</v>
      </c>
      <c r="DF129" s="358" t="s">
        <v>304</v>
      </c>
      <c r="DG129" s="475"/>
      <c r="DH129" s="145">
        <v>2.0</v>
      </c>
      <c r="DI129" s="145">
        <v>0.0</v>
      </c>
      <c r="DJ129" s="145">
        <v>2.0</v>
      </c>
      <c r="DK129" s="145">
        <v>2.0</v>
      </c>
      <c r="DL129" s="475"/>
      <c r="DM129" s="475"/>
      <c r="DN129" s="475"/>
      <c r="DO129" s="475"/>
      <c r="DP129" s="475"/>
      <c r="DQ129" s="475"/>
      <c r="DR129" s="475"/>
      <c r="DS129" s="475"/>
      <c r="DT129" s="478"/>
      <c r="DU129" s="479"/>
      <c r="DV129" s="368">
        <v>5.0</v>
      </c>
      <c r="DW129" s="322" t="s">
        <v>136</v>
      </c>
      <c r="DX129" s="322" t="s">
        <v>207</v>
      </c>
      <c r="DY129" s="368">
        <v>1.0</v>
      </c>
      <c r="DZ129" s="322" t="s">
        <v>131</v>
      </c>
      <c r="EA129" s="322" t="s">
        <v>138</v>
      </c>
      <c r="EB129" s="457"/>
      <c r="EC129" s="322" t="s">
        <v>139</v>
      </c>
      <c r="ED129" s="322" t="s">
        <v>140</v>
      </c>
      <c r="EE129" s="358" t="s">
        <v>132</v>
      </c>
      <c r="EF129" s="322" t="s">
        <v>141</v>
      </c>
      <c r="EG129" s="370">
        <f t="shared" si="134"/>
        <v>1547</v>
      </c>
      <c r="EH129" s="370">
        <f t="shared" si="124"/>
        <v>998</v>
      </c>
      <c r="EI129" s="119">
        <f t="shared" si="153"/>
        <v>38.82085595</v>
      </c>
    </row>
    <row r="130" ht="15.75" customHeight="1">
      <c r="A130" s="482" t="s">
        <v>664</v>
      </c>
      <c r="B130" s="423" t="s">
        <v>129</v>
      </c>
      <c r="C130" s="483">
        <v>45591.0</v>
      </c>
      <c r="D130" s="484">
        <v>48.0</v>
      </c>
      <c r="E130" s="381" t="s">
        <v>130</v>
      </c>
      <c r="F130" s="404">
        <v>150.0</v>
      </c>
      <c r="G130" s="442">
        <v>52.0</v>
      </c>
      <c r="H130" s="381" t="s">
        <v>131</v>
      </c>
      <c r="I130" s="404">
        <v>3.0</v>
      </c>
      <c r="J130" s="386"/>
      <c r="K130" s="381" t="s">
        <v>132</v>
      </c>
      <c r="L130" s="407"/>
      <c r="M130" s="386"/>
      <c r="N130" s="407"/>
      <c r="O130" s="386"/>
      <c r="P130" s="406"/>
      <c r="Q130" s="406"/>
      <c r="R130" s="406"/>
      <c r="S130" s="406"/>
      <c r="T130" s="406"/>
      <c r="U130" s="406"/>
      <c r="V130" s="285" t="str">
        <f t="shared" si="97"/>
        <v>No infectado</v>
      </c>
      <c r="W130" s="406"/>
      <c r="X130" s="406"/>
      <c r="Y130" s="407"/>
      <c r="Z130" s="407"/>
      <c r="AA130" s="407"/>
      <c r="AB130" s="407"/>
      <c r="AC130" s="407"/>
      <c r="AD130" s="407"/>
      <c r="AE130" s="407"/>
      <c r="AF130" s="407"/>
      <c r="AG130" s="407"/>
      <c r="AH130" s="407"/>
      <c r="AI130" s="407"/>
      <c r="AJ130" s="407"/>
      <c r="AK130" s="406"/>
      <c r="AL130" s="405" t="s">
        <v>132</v>
      </c>
      <c r="AM130" s="381" t="s">
        <v>132</v>
      </c>
      <c r="AN130" s="381" t="s">
        <v>132</v>
      </c>
      <c r="AO130" s="381" t="s">
        <v>132</v>
      </c>
      <c r="AP130" s="381" t="s">
        <v>132</v>
      </c>
      <c r="AQ130" s="381" t="s">
        <v>132</v>
      </c>
      <c r="AR130" s="381" t="s">
        <v>132</v>
      </c>
      <c r="AS130" s="381" t="s">
        <v>132</v>
      </c>
      <c r="AT130" s="381" t="s">
        <v>132</v>
      </c>
      <c r="AU130" s="381" t="s">
        <v>132</v>
      </c>
      <c r="AV130" s="381" t="s">
        <v>132</v>
      </c>
      <c r="AW130" s="381"/>
      <c r="AX130" s="381" t="s">
        <v>131</v>
      </c>
      <c r="AY130" s="404">
        <v>5.0</v>
      </c>
      <c r="AZ130" s="404">
        <v>25.0</v>
      </c>
      <c r="BA130" s="426"/>
      <c r="BB130" s="381" t="s">
        <v>145</v>
      </c>
      <c r="BC130" s="427"/>
      <c r="BD130" s="413">
        <v>0.0</v>
      </c>
      <c r="BE130" s="404">
        <v>0.0</v>
      </c>
      <c r="BF130" s="404">
        <v>0.0</v>
      </c>
      <c r="BG130" s="404">
        <v>0.0</v>
      </c>
      <c r="BH130" s="404">
        <v>0.0</v>
      </c>
      <c r="BI130" s="485"/>
      <c r="BJ130" s="404">
        <v>90.0</v>
      </c>
      <c r="BK130" s="404">
        <v>1.0</v>
      </c>
      <c r="BL130" s="404">
        <v>1.0</v>
      </c>
      <c r="BM130" s="404">
        <v>1.0</v>
      </c>
      <c r="BN130" s="404">
        <v>5.0</v>
      </c>
      <c r="BO130" s="404">
        <v>1.0</v>
      </c>
      <c r="BP130" s="404">
        <v>1.0</v>
      </c>
      <c r="BQ130" s="404">
        <v>1.0</v>
      </c>
      <c r="BR130" s="404">
        <v>2.0</v>
      </c>
      <c r="BS130" s="404">
        <v>1.0</v>
      </c>
      <c r="BT130" s="404">
        <v>5.0</v>
      </c>
      <c r="BU130" s="486"/>
      <c r="BV130" s="486"/>
      <c r="BW130" s="486"/>
      <c r="BX130" s="487"/>
      <c r="BY130" s="404">
        <v>0.0</v>
      </c>
      <c r="BZ130" s="404">
        <v>0.0</v>
      </c>
      <c r="CA130" s="404">
        <v>0.0</v>
      </c>
      <c r="CB130" s="404">
        <v>0.0</v>
      </c>
      <c r="CC130" s="404">
        <v>0.0</v>
      </c>
      <c r="CD130" s="404">
        <v>0.0</v>
      </c>
      <c r="CE130" s="404">
        <v>6.0</v>
      </c>
      <c r="CF130" s="404">
        <v>0.0</v>
      </c>
      <c r="CG130" s="404">
        <v>15.0</v>
      </c>
      <c r="CH130" s="404">
        <v>8.0</v>
      </c>
      <c r="CI130" s="404">
        <v>0.0</v>
      </c>
      <c r="CJ130" s="486"/>
      <c r="CK130" s="485"/>
      <c r="CL130" s="485"/>
      <c r="CM130" s="485"/>
      <c r="CN130" s="488"/>
      <c r="CO130" s="414">
        <v>0.020833333333333332</v>
      </c>
      <c r="CP130" s="404">
        <v>5.0</v>
      </c>
      <c r="CQ130" s="489"/>
      <c r="CR130" s="404">
        <v>6.0</v>
      </c>
      <c r="CS130" s="404">
        <v>30.0</v>
      </c>
      <c r="CT130" s="404">
        <v>5.5</v>
      </c>
      <c r="CU130" s="404">
        <v>6.0</v>
      </c>
      <c r="CV130" s="404">
        <v>0.0</v>
      </c>
      <c r="CW130" s="404">
        <v>1.0</v>
      </c>
      <c r="CX130" s="404">
        <v>1.0</v>
      </c>
      <c r="CY130" s="404">
        <v>0.0</v>
      </c>
      <c r="CZ130" s="404">
        <v>0.0</v>
      </c>
      <c r="DA130" s="404">
        <v>0.0</v>
      </c>
      <c r="DB130" s="404">
        <v>0.0</v>
      </c>
      <c r="DC130" s="404">
        <v>0.0</v>
      </c>
      <c r="DD130" s="404">
        <v>0.0</v>
      </c>
      <c r="DE130" s="423">
        <v>1.0</v>
      </c>
      <c r="DF130" s="411" t="s">
        <v>304</v>
      </c>
      <c r="DG130" s="486"/>
      <c r="DH130" s="404">
        <v>0.0</v>
      </c>
      <c r="DI130" s="404">
        <v>0.0</v>
      </c>
      <c r="DJ130" s="404">
        <v>1.0</v>
      </c>
      <c r="DK130" s="404">
        <v>0.0</v>
      </c>
      <c r="DL130" s="486"/>
      <c r="DM130" s="486"/>
      <c r="DN130" s="486"/>
      <c r="DO130" s="486"/>
      <c r="DP130" s="486"/>
      <c r="DQ130" s="486"/>
      <c r="DR130" s="486"/>
      <c r="DS130" s="486"/>
      <c r="DT130" s="490"/>
      <c r="DU130" s="491"/>
      <c r="DV130" s="415">
        <v>1.0</v>
      </c>
      <c r="DW130" s="416" t="s">
        <v>617</v>
      </c>
      <c r="DX130" s="416" t="s">
        <v>146</v>
      </c>
      <c r="DY130" s="415">
        <v>2.0</v>
      </c>
      <c r="DZ130" s="416" t="s">
        <v>131</v>
      </c>
      <c r="EA130" s="416" t="s">
        <v>147</v>
      </c>
      <c r="EB130" s="426"/>
      <c r="EC130" s="416" t="s">
        <v>172</v>
      </c>
      <c r="ED130" s="426"/>
      <c r="EE130" s="492"/>
      <c r="EF130" s="416" t="s">
        <v>151</v>
      </c>
      <c r="EG130" s="397">
        <f t="shared" si="134"/>
        <v>45591</v>
      </c>
      <c r="EH130" s="397">
        <f t="shared" si="124"/>
        <v>45591</v>
      </c>
      <c r="EI130" s="383">
        <f t="shared" si="153"/>
        <v>23.11111111</v>
      </c>
    </row>
    <row r="131" ht="15.75" customHeight="1">
      <c r="A131" s="482" t="s">
        <v>665</v>
      </c>
      <c r="B131" s="423" t="s">
        <v>129</v>
      </c>
      <c r="C131" s="483">
        <v>45591.0</v>
      </c>
      <c r="D131" s="484">
        <v>72.0</v>
      </c>
      <c r="E131" s="381" t="s">
        <v>130</v>
      </c>
      <c r="F131" s="404">
        <v>152.0</v>
      </c>
      <c r="G131" s="442">
        <v>68.0</v>
      </c>
      <c r="H131" s="381" t="s">
        <v>131</v>
      </c>
      <c r="I131" s="404">
        <v>5.0</v>
      </c>
      <c r="J131" s="493">
        <v>45413.0</v>
      </c>
      <c r="K131" s="381" t="s">
        <v>131</v>
      </c>
      <c r="L131" s="404">
        <v>1.0</v>
      </c>
      <c r="M131" s="404">
        <v>2021.0</v>
      </c>
      <c r="N131" s="381">
        <v>0.0</v>
      </c>
      <c r="O131" s="406"/>
      <c r="P131" s="381" t="s">
        <v>132</v>
      </c>
      <c r="Q131" s="406"/>
      <c r="R131" s="406"/>
      <c r="S131" s="406"/>
      <c r="T131" s="406"/>
      <c r="U131" s="406"/>
      <c r="V131" s="285" t="str">
        <f t="shared" si="97"/>
        <v>Paciente ambulatorio</v>
      </c>
      <c r="W131" s="381" t="s">
        <v>143</v>
      </c>
      <c r="X131" s="381" t="s">
        <v>132</v>
      </c>
      <c r="Y131" s="404">
        <v>2.0</v>
      </c>
      <c r="Z131" s="404">
        <v>2.0</v>
      </c>
      <c r="AA131" s="404">
        <v>3.0</v>
      </c>
      <c r="AB131" s="404">
        <v>3.0</v>
      </c>
      <c r="AC131" s="404">
        <v>3.0</v>
      </c>
      <c r="AD131" s="404">
        <v>2.0</v>
      </c>
      <c r="AE131" s="404">
        <v>2.0</v>
      </c>
      <c r="AF131" s="404">
        <v>3.0</v>
      </c>
      <c r="AG131" s="404">
        <v>3.0</v>
      </c>
      <c r="AH131" s="404">
        <v>3.0</v>
      </c>
      <c r="AI131" s="404">
        <v>3.0</v>
      </c>
      <c r="AJ131" s="404">
        <v>3.0</v>
      </c>
      <c r="AK131" s="406"/>
      <c r="AL131" s="405" t="s">
        <v>131</v>
      </c>
      <c r="AM131" s="381" t="s">
        <v>132</v>
      </c>
      <c r="AN131" s="381" t="s">
        <v>132</v>
      </c>
      <c r="AO131" s="381" t="s">
        <v>132</v>
      </c>
      <c r="AP131" s="381" t="s">
        <v>132</v>
      </c>
      <c r="AQ131" s="381" t="s">
        <v>132</v>
      </c>
      <c r="AR131" s="381" t="s">
        <v>132</v>
      </c>
      <c r="AS131" s="381" t="s">
        <v>131</v>
      </c>
      <c r="AT131" s="381" t="s">
        <v>132</v>
      </c>
      <c r="AU131" s="381" t="s">
        <v>132</v>
      </c>
      <c r="AV131" s="381" t="s">
        <v>132</v>
      </c>
      <c r="AW131" s="406"/>
      <c r="AX131" s="381" t="s">
        <v>132</v>
      </c>
      <c r="AY131" s="426"/>
      <c r="AZ131" s="426"/>
      <c r="BA131" s="426"/>
      <c r="BB131" s="381" t="s">
        <v>145</v>
      </c>
      <c r="BC131" s="424"/>
      <c r="BD131" s="413">
        <v>2.0</v>
      </c>
      <c r="BE131" s="404">
        <v>1.0</v>
      </c>
      <c r="BF131" s="404">
        <v>1.0</v>
      </c>
      <c r="BG131" s="404">
        <v>2.0</v>
      </c>
      <c r="BH131" s="404">
        <v>2.0</v>
      </c>
      <c r="BI131" s="485"/>
      <c r="BJ131" s="404">
        <v>80.0</v>
      </c>
      <c r="BK131" s="404">
        <v>2.0</v>
      </c>
      <c r="BL131" s="404">
        <v>2.0</v>
      </c>
      <c r="BM131" s="404">
        <v>2.0</v>
      </c>
      <c r="BN131" s="404">
        <v>3.0</v>
      </c>
      <c r="BO131" s="404">
        <v>2.0</v>
      </c>
      <c r="BP131" s="404">
        <v>2.0</v>
      </c>
      <c r="BQ131" s="404">
        <v>2.0</v>
      </c>
      <c r="BR131" s="404">
        <v>2.0</v>
      </c>
      <c r="BS131" s="404">
        <v>2.0</v>
      </c>
      <c r="BT131" s="404">
        <v>3.0</v>
      </c>
      <c r="BU131" s="486"/>
      <c r="BV131" s="486"/>
      <c r="BW131" s="486"/>
      <c r="BX131" s="487"/>
      <c r="BY131" s="404">
        <v>0.0</v>
      </c>
      <c r="BZ131" s="404">
        <v>0.0</v>
      </c>
      <c r="CA131" s="404">
        <v>0.0</v>
      </c>
      <c r="CB131" s="404">
        <v>0.0</v>
      </c>
      <c r="CC131" s="404">
        <v>0.0</v>
      </c>
      <c r="CD131" s="404">
        <v>0.0</v>
      </c>
      <c r="CE131" s="404">
        <v>3.0</v>
      </c>
      <c r="CF131" s="404">
        <v>0.0</v>
      </c>
      <c r="CG131" s="404">
        <v>15.0</v>
      </c>
      <c r="CH131" s="404">
        <v>5.0</v>
      </c>
      <c r="CI131" s="404">
        <v>0.0</v>
      </c>
      <c r="CJ131" s="486"/>
      <c r="CK131" s="485"/>
      <c r="CL131" s="485"/>
      <c r="CM131" s="485"/>
      <c r="CN131" s="488"/>
      <c r="CO131" s="404">
        <v>21.0</v>
      </c>
      <c r="CP131" s="404">
        <v>120.0</v>
      </c>
      <c r="CQ131" s="489"/>
      <c r="CR131" s="404">
        <v>8.0</v>
      </c>
      <c r="CS131" s="404">
        <v>0.0</v>
      </c>
      <c r="CT131" s="404">
        <v>11.0</v>
      </c>
      <c r="CU131" s="404">
        <v>8.0</v>
      </c>
      <c r="CV131" s="404">
        <v>3.0</v>
      </c>
      <c r="CW131" s="404">
        <v>3.0</v>
      </c>
      <c r="CX131" s="404">
        <v>3.0</v>
      </c>
      <c r="CY131" s="404">
        <v>0.0</v>
      </c>
      <c r="CZ131" s="404">
        <v>1.0</v>
      </c>
      <c r="DA131" s="404">
        <v>0.0</v>
      </c>
      <c r="DB131" s="404">
        <v>2.0</v>
      </c>
      <c r="DC131" s="404">
        <v>0.0</v>
      </c>
      <c r="DD131" s="404">
        <v>0.0</v>
      </c>
      <c r="DE131" s="423">
        <v>0.0</v>
      </c>
      <c r="DF131" s="426"/>
      <c r="DG131" s="486"/>
      <c r="DH131" s="404">
        <v>1.0</v>
      </c>
      <c r="DI131" s="404">
        <v>0.0</v>
      </c>
      <c r="DJ131" s="404">
        <v>3.0</v>
      </c>
      <c r="DK131" s="404">
        <v>2.0</v>
      </c>
      <c r="DL131" s="486"/>
      <c r="DM131" s="486"/>
      <c r="DN131" s="486"/>
      <c r="DO131" s="486"/>
      <c r="DP131" s="486"/>
      <c r="DQ131" s="486"/>
      <c r="DR131" s="486"/>
      <c r="DS131" s="486"/>
      <c r="DT131" s="490"/>
      <c r="DU131" s="491"/>
      <c r="DV131" s="415">
        <v>1.0</v>
      </c>
      <c r="DW131" s="416" t="s">
        <v>136</v>
      </c>
      <c r="DX131" s="416" t="s">
        <v>146</v>
      </c>
      <c r="DY131" s="415">
        <v>2.0</v>
      </c>
      <c r="DZ131" s="416" t="s">
        <v>131</v>
      </c>
      <c r="EA131" s="416" t="s">
        <v>162</v>
      </c>
      <c r="EB131" s="426"/>
      <c r="EC131" s="416" t="s">
        <v>261</v>
      </c>
      <c r="ED131" s="416" t="s">
        <v>131</v>
      </c>
      <c r="EE131" s="416" t="s">
        <v>132</v>
      </c>
      <c r="EF131" s="416" t="s">
        <v>140</v>
      </c>
      <c r="EG131" s="494">
        <f t="shared" si="134"/>
        <v>43570</v>
      </c>
      <c r="EH131" s="494">
        <f t="shared" si="124"/>
        <v>45591</v>
      </c>
      <c r="EI131" s="383">
        <f t="shared" si="153"/>
        <v>29.43213296</v>
      </c>
    </row>
    <row r="132" ht="15.75" customHeight="1">
      <c r="A132" s="89" t="s">
        <v>666</v>
      </c>
      <c r="B132" s="134" t="s">
        <v>175</v>
      </c>
      <c r="C132" s="462">
        <v>45598.0</v>
      </c>
      <c r="D132" s="144">
        <v>44.0</v>
      </c>
      <c r="E132" s="104" t="s">
        <v>153</v>
      </c>
      <c r="F132" s="128">
        <v>165.0</v>
      </c>
      <c r="G132" s="135">
        <v>79.0</v>
      </c>
      <c r="H132" s="104" t="s">
        <v>131</v>
      </c>
      <c r="I132" s="128">
        <v>3.0</v>
      </c>
      <c r="J132" s="373">
        <v>44534.0</v>
      </c>
      <c r="K132" s="104" t="s">
        <v>131</v>
      </c>
      <c r="L132" s="128">
        <v>2.0</v>
      </c>
      <c r="M132" s="495"/>
      <c r="N132" s="128" t="s">
        <v>131</v>
      </c>
      <c r="O132" s="373">
        <v>44580.0</v>
      </c>
      <c r="P132" s="104" t="s">
        <v>132</v>
      </c>
      <c r="Q132" s="496"/>
      <c r="R132" s="496"/>
      <c r="S132" s="457"/>
      <c r="T132" s="457"/>
      <c r="U132" s="457"/>
      <c r="V132" s="121" t="str">
        <f t="shared" si="97"/>
        <v>Paciente ambulatorio</v>
      </c>
      <c r="W132" s="104" t="s">
        <v>183</v>
      </c>
      <c r="X132" s="104" t="s">
        <v>132</v>
      </c>
      <c r="Y132" s="128">
        <v>2.0</v>
      </c>
      <c r="Z132" s="128">
        <v>2.0</v>
      </c>
      <c r="AA132" s="128">
        <v>2.0</v>
      </c>
      <c r="AB132" s="128">
        <v>2.0</v>
      </c>
      <c r="AC132" s="128">
        <v>3.0</v>
      </c>
      <c r="AD132" s="128">
        <v>2.0</v>
      </c>
      <c r="AE132" s="128">
        <v>2.0</v>
      </c>
      <c r="AF132" s="128">
        <v>3.0</v>
      </c>
      <c r="AG132" s="128">
        <v>3.0</v>
      </c>
      <c r="AH132" s="128">
        <v>3.0</v>
      </c>
      <c r="AI132" s="128">
        <v>1.0</v>
      </c>
      <c r="AJ132" s="128">
        <v>3.0</v>
      </c>
      <c r="AK132" s="465"/>
      <c r="AL132" s="104" t="s">
        <v>132</v>
      </c>
      <c r="AM132" s="104" t="s">
        <v>132</v>
      </c>
      <c r="AN132" s="104" t="s">
        <v>132</v>
      </c>
      <c r="AO132" s="104" t="s">
        <v>132</v>
      </c>
      <c r="AP132" s="104" t="s">
        <v>132</v>
      </c>
      <c r="AQ132" s="104" t="s">
        <v>132</v>
      </c>
      <c r="AR132" s="104" t="s">
        <v>132</v>
      </c>
      <c r="AS132" s="104" t="s">
        <v>132</v>
      </c>
      <c r="AT132" s="104" t="s">
        <v>132</v>
      </c>
      <c r="AU132" s="104" t="s">
        <v>132</v>
      </c>
      <c r="AV132" s="104" t="s">
        <v>132</v>
      </c>
      <c r="AW132" s="457" t="s">
        <v>547</v>
      </c>
      <c r="AX132" s="127" t="s">
        <v>165</v>
      </c>
      <c r="AY132" s="457"/>
      <c r="AZ132" s="457"/>
      <c r="BA132" s="457"/>
      <c r="BB132" s="104" t="s">
        <v>145</v>
      </c>
      <c r="BC132" s="465"/>
      <c r="BD132" s="470">
        <v>2.0</v>
      </c>
      <c r="BE132" s="128">
        <v>1.0</v>
      </c>
      <c r="BF132" s="128">
        <v>1.0</v>
      </c>
      <c r="BG132" s="128">
        <v>2.0</v>
      </c>
      <c r="BH132" s="128">
        <v>1.0</v>
      </c>
      <c r="BI132" s="476" t="str">
        <f t="shared" ref="BI132:BI133" si="239">CONCATENATE(BD132:BH132)</f>
        <v>21121</v>
      </c>
      <c r="BJ132" s="128">
        <v>80.0</v>
      </c>
      <c r="BK132" s="128">
        <v>1.0</v>
      </c>
      <c r="BL132" s="128">
        <v>2.0</v>
      </c>
      <c r="BM132" s="128">
        <v>2.0</v>
      </c>
      <c r="BN132" s="128">
        <v>5.0</v>
      </c>
      <c r="BO132" s="128">
        <v>1.0</v>
      </c>
      <c r="BP132" s="128">
        <v>1.0</v>
      </c>
      <c r="BQ132" s="128">
        <v>1.0</v>
      </c>
      <c r="BR132" s="128">
        <v>2.0</v>
      </c>
      <c r="BS132" s="128">
        <v>1.0</v>
      </c>
      <c r="BT132" s="128">
        <v>3.0</v>
      </c>
      <c r="BU132" s="475">
        <f t="shared" ref="BU132:BU133" si="240">IF(BN132=1,5,IF(BN132=2,4,IF(BN132=3,3,IF(BN132=4,2,IF(BN132=5,1)))))</f>
        <v>1</v>
      </c>
      <c r="BV132" s="475">
        <f t="shared" ref="BV132:BV133" si="241">IF(BT132=1,5,IF(BT132=2,4,IF(BT132=3,3,IF(BT132=4,2,IF(BT132=5,1)))))</f>
        <v>3</v>
      </c>
      <c r="BW132" s="475">
        <f t="shared" ref="BW132:BW133" si="242">SUM(BK132,BL132,BM132,BO132,BP132,BQ132,BR132,BS132,BT132,BV132)</f>
        <v>17</v>
      </c>
      <c r="BX132" s="471" t="str">
        <f t="shared" ref="BX132:BX133" si="243">IF(BW132&lt;22,"NO HAY FATIGA",IF(BW132&lt;35,"FATIGA","FATIGA EXTREMA"))</f>
        <v>NO HAY FATIGA</v>
      </c>
      <c r="BY132" s="128">
        <v>0.0</v>
      </c>
      <c r="BZ132" s="128">
        <v>0.0</v>
      </c>
      <c r="CA132" s="128">
        <v>0.0</v>
      </c>
      <c r="CB132" s="128">
        <v>1.0</v>
      </c>
      <c r="CC132" s="128">
        <v>3.0</v>
      </c>
      <c r="CD132" s="128">
        <v>30.0</v>
      </c>
      <c r="CE132" s="128">
        <v>0.0</v>
      </c>
      <c r="CF132" s="128">
        <v>0.0</v>
      </c>
      <c r="CG132" s="128">
        <v>0.0</v>
      </c>
      <c r="CH132" s="128">
        <v>2.0</v>
      </c>
      <c r="CI132" s="128">
        <v>0.0</v>
      </c>
      <c r="CJ132" s="475">
        <f t="shared" ref="CJ132:CJ133" si="244">(8*BY132*(BZ132*60+CA132)+4*CB132*(CC132*60+CD132)+3.3*CE132*(CF132*60+CG132))</f>
        <v>840</v>
      </c>
      <c r="CK132" s="476">
        <f t="shared" ref="CK132:CK133" si="245">(BY132+CB132+CE132)</f>
        <v>1</v>
      </c>
      <c r="CL132" s="476" t="b">
        <f t="shared" ref="CL132:CL133" si="246">IF(CJ133&gt;3000,IF(CK133&gt;6,"Nivel de actividad física alto"),IF(CJ133&gt;1500,IF(BY133&gt;2,"Nivel de actividad física alto")))</f>
        <v>0</v>
      </c>
      <c r="CM132" s="476" t="b">
        <f t="shared" ref="CM132:CM133" si="247">IF(BY132&gt;2,(IF(BZ132*60+CA132&gt;25,"Nivel de actividad física moderado")),IF(CB132+CE132&gt;5,IF(CC132*60+CD132+CF132*60+CG132&gt;30,"Nivel de actividad física moderado"),IF(CJ132&gt;600,(IF(CK132&gt;5,"Nivel de actividad física moderado")))))</f>
        <v>0</v>
      </c>
      <c r="CN132" s="477" t="str">
        <f t="shared" ref="CN132:CN133" si="248">IF(CL132="Nivel de actividad física alto","Nivel de actividad física alto",IF(CM132="Nivel de actividad física moderado","Nivel de actividad física moderado","Nivel de actividad física bajo"))</f>
        <v>Nivel de actividad física bajo</v>
      </c>
      <c r="CO132" s="402">
        <v>0.5208333333333334</v>
      </c>
      <c r="CP132" s="128">
        <v>20.0</v>
      </c>
      <c r="CQ132" s="467">
        <f t="shared" ref="CQ132:CQ133" si="249">IF(CP132&gt;60,3,IF(CP132&gt;30,2,IF(CP132&gt;15,1,0)))</f>
        <v>1</v>
      </c>
      <c r="CR132" s="128">
        <v>6.0</v>
      </c>
      <c r="CS132" s="128">
        <v>20.0</v>
      </c>
      <c r="CT132" s="457"/>
      <c r="CU132" s="128">
        <v>5.0</v>
      </c>
      <c r="CV132" s="128">
        <v>0.0</v>
      </c>
      <c r="CW132" s="128">
        <v>0.0</v>
      </c>
      <c r="CX132" s="128">
        <v>0.0</v>
      </c>
      <c r="CY132" s="128">
        <v>0.0</v>
      </c>
      <c r="CZ132" s="128">
        <v>0.0</v>
      </c>
      <c r="DA132" s="128">
        <v>1.0</v>
      </c>
      <c r="DB132" s="128">
        <v>0.0</v>
      </c>
      <c r="DC132" s="128">
        <v>0.0</v>
      </c>
      <c r="DD132" s="128">
        <v>0.0</v>
      </c>
      <c r="DE132" s="124">
        <v>0.0</v>
      </c>
      <c r="DF132" s="457"/>
      <c r="DG132" s="475">
        <f t="shared" ref="DG132:DG133" si="250">SUM(CW132:DF132)</f>
        <v>1</v>
      </c>
      <c r="DH132" s="128">
        <v>2.0</v>
      </c>
      <c r="DI132" s="128">
        <v>0.0</v>
      </c>
      <c r="DJ132" s="128">
        <v>3.0</v>
      </c>
      <c r="DK132" s="128">
        <v>0.0</v>
      </c>
      <c r="DL132" s="475" t="str">
        <f t="shared" ref="DL132:DL133" si="251">((CU132/CT132)*100)</f>
        <v>#DIV/0!</v>
      </c>
      <c r="DM132" s="475">
        <f t="shared" ref="DM132:DM133" si="252">IF(CU132&gt;=7,0,IF(CU132&gt;=6,1,IF(CU132&gt;=5,2,IF(CU132&lt;5,3))))</f>
        <v>2</v>
      </c>
      <c r="DN132" s="475">
        <f t="shared" ref="DN132:DN133" si="253">IF(DG132&gt;18,3,IF(DG132&gt;9,2,IF(DG132&gt;=1,1,0)))</f>
        <v>1</v>
      </c>
      <c r="DO132" s="475">
        <f t="shared" ref="DO132:DO133" si="254">IF(CV132+CQ132&gt;=5,3,IF(CQ132+CV132&gt;=3,2,IF(CQ132+CV132&gt;=1,1,0)))</f>
        <v>1</v>
      </c>
      <c r="DP132" s="475">
        <f t="shared" ref="DP132:DP133" si="255">IF(DJ132+DK132&gt;=5,3,IF(DJ132+DK132&gt;=3,2,IF(DJ132+DK132&gt;=1,1,0)))</f>
        <v>2</v>
      </c>
      <c r="DQ132" s="475" t="str">
        <f t="shared" ref="DQ132:DQ133" si="256">IF(DL132&gt;85,0,IF(DL132&gt;75,1,IF(DL132&gt;65,2,3)))</f>
        <v>#DIV/0!</v>
      </c>
      <c r="DR132" s="475">
        <f t="shared" ref="DR132:DS132" si="238">(DH132)</f>
        <v>2</v>
      </c>
      <c r="DS132" s="475">
        <f t="shared" si="238"/>
        <v>0</v>
      </c>
      <c r="DT132" s="478" t="str">
        <f t="shared" ref="DT132:DT133" si="258">SUM(DM132:DS132)</f>
        <v>#DIV/0!</v>
      </c>
      <c r="DU132" s="481" t="str">
        <f t="shared" ref="DU132:DU133" si="259">IF(DT132&gt;5,"poor sleep quality","good sleep quality")</f>
        <v>#DIV/0!</v>
      </c>
      <c r="DV132" s="472">
        <v>3.0</v>
      </c>
      <c r="DW132" s="461" t="s">
        <v>149</v>
      </c>
      <c r="DX132" s="461" t="s">
        <v>146</v>
      </c>
      <c r="DY132" s="472">
        <v>2.0</v>
      </c>
      <c r="DZ132" s="461" t="s">
        <v>131</v>
      </c>
      <c r="EA132" s="461" t="s">
        <v>167</v>
      </c>
      <c r="EB132" s="457"/>
      <c r="EC132" s="461" t="s">
        <v>139</v>
      </c>
      <c r="ED132" s="457"/>
      <c r="EE132" s="461" t="s">
        <v>131</v>
      </c>
      <c r="EF132" s="461" t="s">
        <v>141</v>
      </c>
      <c r="EG132" s="370">
        <f t="shared" si="134"/>
        <v>45598</v>
      </c>
      <c r="EH132" s="370">
        <f t="shared" si="124"/>
        <v>1018</v>
      </c>
      <c r="EI132" s="119">
        <f t="shared" si="153"/>
        <v>29.0174472</v>
      </c>
    </row>
    <row r="133" ht="15.75" customHeight="1">
      <c r="A133" s="89" t="s">
        <v>671</v>
      </c>
      <c r="B133" s="134" t="s">
        <v>175</v>
      </c>
      <c r="C133" s="462">
        <v>45598.0</v>
      </c>
      <c r="D133" s="144">
        <v>37.0</v>
      </c>
      <c r="E133" s="104" t="s">
        <v>153</v>
      </c>
      <c r="F133" s="128">
        <v>177.0</v>
      </c>
      <c r="G133" s="135">
        <v>80.0</v>
      </c>
      <c r="H133" s="104" t="s">
        <v>131</v>
      </c>
      <c r="I133" s="128">
        <v>2.0</v>
      </c>
      <c r="J133" s="371">
        <v>44531.0</v>
      </c>
      <c r="K133" s="104" t="s">
        <v>131</v>
      </c>
      <c r="L133" s="128">
        <v>3.0</v>
      </c>
      <c r="M133" s="372">
        <v>44531.0</v>
      </c>
      <c r="N133" s="128">
        <v>2.0</v>
      </c>
      <c r="O133" s="373">
        <v>45352.0</v>
      </c>
      <c r="P133" s="104" t="s">
        <v>132</v>
      </c>
      <c r="Q133" s="497"/>
      <c r="R133" s="497"/>
      <c r="S133" s="457"/>
      <c r="T133" s="457"/>
      <c r="U133" s="457"/>
      <c r="V133" s="121" t="str">
        <f t="shared" si="97"/>
        <v>Paciente ambulatorio</v>
      </c>
      <c r="W133" s="104" t="s">
        <v>176</v>
      </c>
      <c r="X133" s="104" t="s">
        <v>132</v>
      </c>
      <c r="Y133" s="128">
        <v>2.0</v>
      </c>
      <c r="Z133" s="128">
        <v>1.0</v>
      </c>
      <c r="AA133" s="128">
        <v>3.0</v>
      </c>
      <c r="AB133" s="128">
        <v>3.0</v>
      </c>
      <c r="AC133" s="128">
        <v>1.0</v>
      </c>
      <c r="AD133" s="128">
        <v>2.0</v>
      </c>
      <c r="AE133" s="128">
        <v>2.0</v>
      </c>
      <c r="AF133" s="128">
        <v>3.0</v>
      </c>
      <c r="AG133" s="128">
        <v>3.0</v>
      </c>
      <c r="AH133" s="128">
        <v>3.0</v>
      </c>
      <c r="AI133" s="128">
        <v>1.0</v>
      </c>
      <c r="AJ133" s="128">
        <v>3.0</v>
      </c>
      <c r="AK133" s="465"/>
      <c r="AL133" s="104" t="s">
        <v>132</v>
      </c>
      <c r="AM133" s="104" t="s">
        <v>132</v>
      </c>
      <c r="AN133" s="104" t="s">
        <v>132</v>
      </c>
      <c r="AO133" s="104" t="s">
        <v>132</v>
      </c>
      <c r="AP133" s="104" t="s">
        <v>132</v>
      </c>
      <c r="AQ133" s="104" t="s">
        <v>132</v>
      </c>
      <c r="AR133" s="104" t="s">
        <v>132</v>
      </c>
      <c r="AS133" s="104" t="s">
        <v>132</v>
      </c>
      <c r="AT133" s="104" t="s">
        <v>132</v>
      </c>
      <c r="AU133" s="104" t="s">
        <v>132</v>
      </c>
      <c r="AV133" s="104" t="s">
        <v>132</v>
      </c>
      <c r="AW133" s="104" t="s">
        <v>524</v>
      </c>
      <c r="AX133" s="127" t="s">
        <v>132</v>
      </c>
      <c r="AY133" s="457"/>
      <c r="AZ133" s="457"/>
      <c r="BA133" s="457"/>
      <c r="BB133" s="104" t="s">
        <v>145</v>
      </c>
      <c r="BC133" s="465"/>
      <c r="BD133" s="470">
        <v>2.0</v>
      </c>
      <c r="BE133" s="128">
        <v>1.0</v>
      </c>
      <c r="BF133" s="128">
        <v>1.0</v>
      </c>
      <c r="BG133" s="128">
        <v>2.0</v>
      </c>
      <c r="BH133" s="128">
        <v>2.0</v>
      </c>
      <c r="BI133" s="476" t="str">
        <f t="shared" si="239"/>
        <v>21122</v>
      </c>
      <c r="BJ133" s="128">
        <v>65.0</v>
      </c>
      <c r="BK133" s="128">
        <v>3.0</v>
      </c>
      <c r="BL133" s="128">
        <v>3.0</v>
      </c>
      <c r="BM133" s="128">
        <v>5.0</v>
      </c>
      <c r="BN133" s="128">
        <v>3.0</v>
      </c>
      <c r="BO133" s="128">
        <v>3.0</v>
      </c>
      <c r="BP133" s="128">
        <v>2.0</v>
      </c>
      <c r="BQ133" s="128">
        <v>2.0</v>
      </c>
      <c r="BR133" s="128">
        <v>2.0</v>
      </c>
      <c r="BS133" s="128">
        <v>2.0</v>
      </c>
      <c r="BT133" s="128">
        <v>2.0</v>
      </c>
      <c r="BU133" s="475">
        <f t="shared" si="240"/>
        <v>3</v>
      </c>
      <c r="BV133" s="475">
        <f t="shared" si="241"/>
        <v>4</v>
      </c>
      <c r="BW133" s="475">
        <f t="shared" si="242"/>
        <v>28</v>
      </c>
      <c r="BX133" s="471" t="str">
        <f t="shared" si="243"/>
        <v>FATIGA</v>
      </c>
      <c r="BY133" s="128">
        <v>0.0</v>
      </c>
      <c r="BZ133" s="128">
        <v>0.0</v>
      </c>
      <c r="CA133" s="128">
        <v>0.0</v>
      </c>
      <c r="CB133" s="128">
        <v>0.0</v>
      </c>
      <c r="CC133" s="128">
        <v>0.0</v>
      </c>
      <c r="CD133" s="128">
        <v>0.0</v>
      </c>
      <c r="CE133" s="128">
        <v>6.0</v>
      </c>
      <c r="CF133" s="128">
        <v>0.0</v>
      </c>
      <c r="CG133" s="128">
        <v>12.0</v>
      </c>
      <c r="CH133" s="128">
        <v>8.0</v>
      </c>
      <c r="CI133" s="128">
        <v>0.0</v>
      </c>
      <c r="CJ133" s="475">
        <f t="shared" si="244"/>
        <v>237.6</v>
      </c>
      <c r="CK133" s="476">
        <f t="shared" si="245"/>
        <v>6</v>
      </c>
      <c r="CL133" s="476" t="b">
        <f t="shared" si="246"/>
        <v>0</v>
      </c>
      <c r="CM133" s="476" t="b">
        <f t="shared" si="247"/>
        <v>0</v>
      </c>
      <c r="CN133" s="477" t="str">
        <f t="shared" si="248"/>
        <v>Nivel de actividad física bajo</v>
      </c>
      <c r="CO133" s="128">
        <v>0.0</v>
      </c>
      <c r="CP133" s="128">
        <v>15.0</v>
      </c>
      <c r="CQ133" s="467">
        <f t="shared" si="249"/>
        <v>0</v>
      </c>
      <c r="CR133" s="128">
        <v>8.0</v>
      </c>
      <c r="CS133" s="128">
        <v>0.0</v>
      </c>
      <c r="CT133" s="128">
        <v>8.0</v>
      </c>
      <c r="CU133" s="128">
        <v>7.0</v>
      </c>
      <c r="CV133" s="128">
        <v>1.0</v>
      </c>
      <c r="CW133" s="128">
        <v>3.0</v>
      </c>
      <c r="CX133" s="128">
        <v>3.0</v>
      </c>
      <c r="CY133" s="128">
        <v>0.0</v>
      </c>
      <c r="CZ133" s="128">
        <v>0.0</v>
      </c>
      <c r="DA133" s="128">
        <v>0.0</v>
      </c>
      <c r="DB133" s="128">
        <v>0.0</v>
      </c>
      <c r="DC133" s="128">
        <v>0.0</v>
      </c>
      <c r="DD133" s="128">
        <v>0.0</v>
      </c>
      <c r="DE133" s="124">
        <v>1.0</v>
      </c>
      <c r="DF133" s="104" t="s">
        <v>525</v>
      </c>
      <c r="DG133" s="475">
        <f t="shared" si="250"/>
        <v>7</v>
      </c>
      <c r="DH133" s="128">
        <v>1.0</v>
      </c>
      <c r="DI133" s="128">
        <v>3.0</v>
      </c>
      <c r="DJ133" s="128">
        <v>3.0</v>
      </c>
      <c r="DK133" s="128">
        <v>0.0</v>
      </c>
      <c r="DL133" s="475">
        <f t="shared" si="251"/>
        <v>87.5</v>
      </c>
      <c r="DM133" s="475">
        <f t="shared" si="252"/>
        <v>0</v>
      </c>
      <c r="DN133" s="475">
        <f t="shared" si="253"/>
        <v>1</v>
      </c>
      <c r="DO133" s="475">
        <f t="shared" si="254"/>
        <v>1</v>
      </c>
      <c r="DP133" s="475">
        <f t="shared" si="255"/>
        <v>2</v>
      </c>
      <c r="DQ133" s="475">
        <f t="shared" si="256"/>
        <v>0</v>
      </c>
      <c r="DR133" s="475">
        <f t="shared" ref="DR133:DS133" si="257">(DH133)</f>
        <v>1</v>
      </c>
      <c r="DS133" s="475">
        <f t="shared" si="257"/>
        <v>3</v>
      </c>
      <c r="DT133" s="478">
        <f t="shared" si="258"/>
        <v>8</v>
      </c>
      <c r="DU133" s="479" t="str">
        <f t="shared" si="259"/>
        <v>poor sleep quality</v>
      </c>
      <c r="DV133" s="472">
        <v>1.0</v>
      </c>
      <c r="DW133" s="104" t="s">
        <v>314</v>
      </c>
      <c r="DX133" s="461" t="s">
        <v>146</v>
      </c>
      <c r="DY133" s="472">
        <v>2.0</v>
      </c>
      <c r="DZ133" s="461" t="s">
        <v>131</v>
      </c>
      <c r="EA133" s="461" t="s">
        <v>138</v>
      </c>
      <c r="EB133" s="457"/>
      <c r="EC133" s="461" t="s">
        <v>219</v>
      </c>
      <c r="ED133" s="457"/>
      <c r="EE133" s="461" t="s">
        <v>131</v>
      </c>
      <c r="EF133" s="461" t="s">
        <v>141</v>
      </c>
      <c r="EG133" s="370">
        <f t="shared" si="134"/>
        <v>1067</v>
      </c>
      <c r="EH133" s="370">
        <f t="shared" si="124"/>
        <v>246</v>
      </c>
      <c r="EI133" s="119">
        <f t="shared" si="153"/>
        <v>25.53544639</v>
      </c>
    </row>
    <row r="134" ht="15.75" customHeight="1">
      <c r="A134" s="482" t="s">
        <v>673</v>
      </c>
      <c r="B134" s="423" t="s">
        <v>129</v>
      </c>
      <c r="C134" s="498">
        <v>45598.0</v>
      </c>
      <c r="D134" s="484">
        <v>58.0</v>
      </c>
      <c r="E134" s="381" t="s">
        <v>130</v>
      </c>
      <c r="F134" s="404">
        <v>150.0</v>
      </c>
      <c r="G134" s="442">
        <v>52.0</v>
      </c>
      <c r="H134" s="381" t="s">
        <v>131</v>
      </c>
      <c r="I134" s="404">
        <v>3.0</v>
      </c>
      <c r="J134" s="386"/>
      <c r="K134" s="381" t="s">
        <v>132</v>
      </c>
      <c r="L134" s="407"/>
      <c r="M134" s="386"/>
      <c r="N134" s="407"/>
      <c r="O134" s="386"/>
      <c r="P134" s="406"/>
      <c r="Q134" s="406"/>
      <c r="R134" s="406"/>
      <c r="S134" s="406"/>
      <c r="T134" s="406"/>
      <c r="U134" s="406"/>
      <c r="V134" s="285" t="str">
        <f t="shared" si="97"/>
        <v>No infectado</v>
      </c>
      <c r="W134" s="406"/>
      <c r="X134" s="406"/>
      <c r="Y134" s="407"/>
      <c r="Z134" s="407"/>
      <c r="AA134" s="407"/>
      <c r="AB134" s="407"/>
      <c r="AC134" s="407"/>
      <c r="AD134" s="407"/>
      <c r="AE134" s="407"/>
      <c r="AF134" s="407"/>
      <c r="AG134" s="407"/>
      <c r="AH134" s="407"/>
      <c r="AI134" s="407"/>
      <c r="AJ134" s="407"/>
      <c r="AK134" s="406"/>
      <c r="AL134" s="405" t="s">
        <v>132</v>
      </c>
      <c r="AM134" s="381" t="s">
        <v>132</v>
      </c>
      <c r="AN134" s="381" t="s">
        <v>132</v>
      </c>
      <c r="AO134" s="381" t="s">
        <v>132</v>
      </c>
      <c r="AP134" s="381" t="s">
        <v>132</v>
      </c>
      <c r="AQ134" s="381" t="s">
        <v>132</v>
      </c>
      <c r="AR134" s="381" t="s">
        <v>132</v>
      </c>
      <c r="AS134" s="381" t="s">
        <v>132</v>
      </c>
      <c r="AT134" s="381" t="s">
        <v>132</v>
      </c>
      <c r="AU134" s="381" t="s">
        <v>132</v>
      </c>
      <c r="AV134" s="381" t="s">
        <v>132</v>
      </c>
      <c r="AW134" s="381"/>
      <c r="AX134" s="381" t="s">
        <v>131</v>
      </c>
      <c r="AY134" s="404">
        <v>5.0</v>
      </c>
      <c r="AZ134" s="404">
        <v>25.0</v>
      </c>
      <c r="BA134" s="426"/>
      <c r="BB134" s="381" t="s">
        <v>145</v>
      </c>
      <c r="BC134" s="427"/>
      <c r="BD134" s="413">
        <v>0.0</v>
      </c>
      <c r="BE134" s="404">
        <v>0.0</v>
      </c>
      <c r="BF134" s="404">
        <v>0.0</v>
      </c>
      <c r="BG134" s="404">
        <v>0.0</v>
      </c>
      <c r="BH134" s="404">
        <v>0.0</v>
      </c>
      <c r="BI134" s="485"/>
      <c r="BJ134" s="404">
        <v>90.0</v>
      </c>
      <c r="BK134" s="404">
        <v>1.0</v>
      </c>
      <c r="BL134" s="404">
        <v>1.0</v>
      </c>
      <c r="BM134" s="404">
        <v>1.0</v>
      </c>
      <c r="BN134" s="404">
        <v>5.0</v>
      </c>
      <c r="BO134" s="404">
        <v>1.0</v>
      </c>
      <c r="BP134" s="404">
        <v>1.0</v>
      </c>
      <c r="BQ134" s="404">
        <v>1.0</v>
      </c>
      <c r="BR134" s="404">
        <v>2.0</v>
      </c>
      <c r="BS134" s="404">
        <v>1.0</v>
      </c>
      <c r="BT134" s="404">
        <v>5.0</v>
      </c>
      <c r="BU134" s="486"/>
      <c r="BV134" s="486"/>
      <c r="BW134" s="486"/>
      <c r="BX134" s="487"/>
      <c r="BY134" s="404">
        <v>0.0</v>
      </c>
      <c r="BZ134" s="404">
        <v>0.0</v>
      </c>
      <c r="CA134" s="404">
        <v>0.0</v>
      </c>
      <c r="CB134" s="404">
        <v>0.0</v>
      </c>
      <c r="CC134" s="404">
        <v>0.0</v>
      </c>
      <c r="CD134" s="404">
        <v>0.0</v>
      </c>
      <c r="CE134" s="404">
        <v>6.0</v>
      </c>
      <c r="CF134" s="404">
        <v>0.0</v>
      </c>
      <c r="CG134" s="404">
        <v>15.0</v>
      </c>
      <c r="CH134" s="404">
        <v>8.0</v>
      </c>
      <c r="CI134" s="404">
        <v>0.0</v>
      </c>
      <c r="CJ134" s="486"/>
      <c r="CK134" s="485"/>
      <c r="CL134" s="485"/>
      <c r="CM134" s="485"/>
      <c r="CN134" s="488"/>
      <c r="CO134" s="414">
        <v>0.020833333333333332</v>
      </c>
      <c r="CP134" s="404">
        <v>5.0</v>
      </c>
      <c r="CQ134" s="489"/>
      <c r="CR134" s="404">
        <v>6.0</v>
      </c>
      <c r="CS134" s="404">
        <v>30.0</v>
      </c>
      <c r="CT134" s="404">
        <v>5.5</v>
      </c>
      <c r="CU134" s="404">
        <v>6.0</v>
      </c>
      <c r="CV134" s="404">
        <v>0.0</v>
      </c>
      <c r="CW134" s="404">
        <v>1.0</v>
      </c>
      <c r="CX134" s="404">
        <v>1.0</v>
      </c>
      <c r="CY134" s="404">
        <v>0.0</v>
      </c>
      <c r="CZ134" s="404">
        <v>0.0</v>
      </c>
      <c r="DA134" s="404">
        <v>0.0</v>
      </c>
      <c r="DB134" s="404">
        <v>0.0</v>
      </c>
      <c r="DC134" s="404">
        <v>0.0</v>
      </c>
      <c r="DD134" s="404">
        <v>0.0</v>
      </c>
      <c r="DE134" s="423">
        <v>1.0</v>
      </c>
      <c r="DF134" s="411" t="s">
        <v>304</v>
      </c>
      <c r="DG134" s="486"/>
      <c r="DH134" s="404">
        <v>0.0</v>
      </c>
      <c r="DI134" s="404">
        <v>0.0</v>
      </c>
      <c r="DJ134" s="404">
        <v>1.0</v>
      </c>
      <c r="DK134" s="404">
        <v>0.0</v>
      </c>
      <c r="DL134" s="486"/>
      <c r="DM134" s="486"/>
      <c r="DN134" s="486"/>
      <c r="DO134" s="486"/>
      <c r="DP134" s="486"/>
      <c r="DQ134" s="486"/>
      <c r="DR134" s="486"/>
      <c r="DS134" s="486"/>
      <c r="DT134" s="490"/>
      <c r="DU134" s="491"/>
      <c r="DV134" s="415">
        <v>1.0</v>
      </c>
      <c r="DW134" s="416" t="s">
        <v>617</v>
      </c>
      <c r="DX134" s="416" t="s">
        <v>146</v>
      </c>
      <c r="DY134" s="415">
        <v>2.0</v>
      </c>
      <c r="DZ134" s="416" t="s">
        <v>131</v>
      </c>
      <c r="EA134" s="416" t="s">
        <v>147</v>
      </c>
      <c r="EB134" s="426"/>
      <c r="EC134" s="416" t="s">
        <v>172</v>
      </c>
      <c r="ED134" s="426"/>
      <c r="EE134" s="492"/>
      <c r="EF134" s="416" t="s">
        <v>151</v>
      </c>
      <c r="EG134" s="397">
        <f t="shared" si="134"/>
        <v>45598</v>
      </c>
      <c r="EH134" s="397">
        <f t="shared" si="124"/>
        <v>45598</v>
      </c>
      <c r="EI134" s="383">
        <f t="shared" si="153"/>
        <v>23.11111111</v>
      </c>
    </row>
    <row r="135" ht="15.75" customHeight="1">
      <c r="A135" s="89" t="s">
        <v>675</v>
      </c>
      <c r="B135" s="134" t="s">
        <v>175</v>
      </c>
      <c r="C135" s="499">
        <v>45605.0</v>
      </c>
      <c r="D135" s="144">
        <v>58.0</v>
      </c>
      <c r="E135" s="122" t="s">
        <v>130</v>
      </c>
      <c r="F135" s="145">
        <v>158.0</v>
      </c>
      <c r="G135" s="135">
        <v>77.0</v>
      </c>
      <c r="H135" s="122" t="s">
        <v>131</v>
      </c>
      <c r="I135" s="145">
        <v>3.0</v>
      </c>
      <c r="J135" s="355">
        <v>44562.0</v>
      </c>
      <c r="K135" s="122" t="s">
        <v>131</v>
      </c>
      <c r="L135" s="145">
        <v>4.0</v>
      </c>
      <c r="M135" s="355">
        <v>44013.0</v>
      </c>
      <c r="N135" s="145">
        <v>0.0</v>
      </c>
      <c r="O135" s="355">
        <v>45292.0</v>
      </c>
      <c r="P135" s="122" t="s">
        <v>132</v>
      </c>
      <c r="Q135" s="104"/>
      <c r="R135" s="104"/>
      <c r="S135" s="104"/>
      <c r="T135" s="104"/>
      <c r="U135" s="104"/>
      <c r="V135" s="121" t="str">
        <f t="shared" si="97"/>
        <v>Paciente ambulatorio</v>
      </c>
      <c r="W135" s="122" t="s">
        <v>183</v>
      </c>
      <c r="X135" s="122" t="s">
        <v>131</v>
      </c>
      <c r="Y135" s="145">
        <v>2.0</v>
      </c>
      <c r="Z135" s="145">
        <v>1.0</v>
      </c>
      <c r="AA135" s="145">
        <v>3.0</v>
      </c>
      <c r="AB135" s="145">
        <v>3.0</v>
      </c>
      <c r="AC135" s="145">
        <v>1.0</v>
      </c>
      <c r="AD135" s="145">
        <v>2.0</v>
      </c>
      <c r="AE135" s="145">
        <v>2.0</v>
      </c>
      <c r="AF135" s="145">
        <v>1.0</v>
      </c>
      <c r="AG135" s="145">
        <v>3.0</v>
      </c>
      <c r="AH135" s="145">
        <v>2.0</v>
      </c>
      <c r="AI135" s="145">
        <v>1.0</v>
      </c>
      <c r="AJ135" s="145">
        <v>3.0</v>
      </c>
      <c r="AK135" s="104"/>
      <c r="AL135" s="399" t="s">
        <v>131</v>
      </c>
      <c r="AM135" s="122" t="s">
        <v>132</v>
      </c>
      <c r="AN135" s="122" t="s">
        <v>132</v>
      </c>
      <c r="AO135" s="122" t="s">
        <v>131</v>
      </c>
      <c r="AP135" s="122" t="s">
        <v>132</v>
      </c>
      <c r="AQ135" s="122" t="s">
        <v>132</v>
      </c>
      <c r="AR135" s="122" t="s">
        <v>132</v>
      </c>
      <c r="AS135" s="122" t="s">
        <v>131</v>
      </c>
      <c r="AT135" s="122" t="s">
        <v>131</v>
      </c>
      <c r="AU135" s="122" t="s">
        <v>132</v>
      </c>
      <c r="AV135" s="122" t="s">
        <v>131</v>
      </c>
      <c r="AW135" s="358" t="s">
        <v>676</v>
      </c>
      <c r="AX135" s="122" t="s">
        <v>132</v>
      </c>
      <c r="AY135" s="128"/>
      <c r="AZ135" s="128"/>
      <c r="BA135" s="457"/>
      <c r="BB135" s="122" t="s">
        <v>145</v>
      </c>
      <c r="BC135" s="465"/>
      <c r="BD135" s="451">
        <v>3.0</v>
      </c>
      <c r="BE135" s="145">
        <v>1.0</v>
      </c>
      <c r="BF135" s="145">
        <v>3.0</v>
      </c>
      <c r="BG135" s="145">
        <v>3.0</v>
      </c>
      <c r="BH135" s="145">
        <v>2.0</v>
      </c>
      <c r="BI135" s="476"/>
      <c r="BJ135" s="145">
        <v>80.0</v>
      </c>
      <c r="BK135" s="145">
        <v>2.0</v>
      </c>
      <c r="BL135" s="145">
        <v>2.0</v>
      </c>
      <c r="BM135" s="145">
        <v>3.0</v>
      </c>
      <c r="BN135" s="145">
        <v>3.0</v>
      </c>
      <c r="BO135" s="145">
        <v>2.0</v>
      </c>
      <c r="BP135" s="145">
        <v>3.0</v>
      </c>
      <c r="BQ135" s="145">
        <v>2.0</v>
      </c>
      <c r="BR135" s="145">
        <v>4.0</v>
      </c>
      <c r="BS135" s="145">
        <v>1.0</v>
      </c>
      <c r="BT135" s="145">
        <v>3.0</v>
      </c>
      <c r="BU135" s="475"/>
      <c r="BV135" s="475"/>
      <c r="BW135" s="475"/>
      <c r="BX135" s="471"/>
      <c r="BY135" s="145">
        <v>0.0</v>
      </c>
      <c r="BZ135" s="145">
        <v>0.0</v>
      </c>
      <c r="CA135" s="145">
        <v>0.0</v>
      </c>
      <c r="CB135" s="145">
        <v>1.0</v>
      </c>
      <c r="CC135" s="145">
        <v>1.0</v>
      </c>
      <c r="CD135" s="145">
        <v>30.0</v>
      </c>
      <c r="CE135" s="145">
        <v>2.0</v>
      </c>
      <c r="CF135" s="145">
        <v>0.0</v>
      </c>
      <c r="CG135" s="145">
        <v>10.0</v>
      </c>
      <c r="CH135" s="145">
        <v>3.0</v>
      </c>
      <c r="CI135" s="145">
        <v>0.0</v>
      </c>
      <c r="CJ135" s="475"/>
      <c r="CK135" s="476"/>
      <c r="CL135" s="476"/>
      <c r="CM135" s="476"/>
      <c r="CN135" s="477"/>
      <c r="CO135" s="145">
        <v>22.0</v>
      </c>
      <c r="CP135" s="145">
        <v>120.0</v>
      </c>
      <c r="CQ135" s="467"/>
      <c r="CR135" s="145">
        <v>6.0</v>
      </c>
      <c r="CS135" s="145">
        <v>30.0</v>
      </c>
      <c r="CT135" s="145">
        <v>8.5</v>
      </c>
      <c r="CU135" s="145">
        <v>6.0</v>
      </c>
      <c r="CV135" s="145">
        <v>0.0</v>
      </c>
      <c r="CW135" s="145">
        <v>3.0</v>
      </c>
      <c r="CX135" s="145">
        <v>3.0</v>
      </c>
      <c r="CY135" s="145">
        <v>0.0</v>
      </c>
      <c r="CZ135" s="145">
        <v>0.0</v>
      </c>
      <c r="DA135" s="145">
        <v>1.0</v>
      </c>
      <c r="DB135" s="145">
        <v>0.0</v>
      </c>
      <c r="DC135" s="145">
        <v>1.0</v>
      </c>
      <c r="DD135" s="145">
        <v>0.0</v>
      </c>
      <c r="DE135" s="134">
        <v>1.0</v>
      </c>
      <c r="DF135" s="358" t="s">
        <v>244</v>
      </c>
      <c r="DG135" s="475"/>
      <c r="DH135" s="145">
        <v>1.0</v>
      </c>
      <c r="DI135" s="145">
        <v>3.0</v>
      </c>
      <c r="DJ135" s="145">
        <v>2.0</v>
      </c>
      <c r="DK135" s="145">
        <v>1.0</v>
      </c>
      <c r="DL135" s="475"/>
      <c r="DM135" s="475"/>
      <c r="DN135" s="475"/>
      <c r="DO135" s="475"/>
      <c r="DP135" s="475"/>
      <c r="DQ135" s="475"/>
      <c r="DR135" s="475"/>
      <c r="DS135" s="475"/>
      <c r="DT135" s="478"/>
      <c r="DU135" s="479"/>
      <c r="DV135" s="368">
        <v>0.0</v>
      </c>
      <c r="DW135" s="457"/>
      <c r="DX135" s="322" t="s">
        <v>146</v>
      </c>
      <c r="DY135" s="368" t="s">
        <v>156</v>
      </c>
      <c r="DZ135" s="322" t="s">
        <v>131</v>
      </c>
      <c r="EA135" s="322" t="s">
        <v>138</v>
      </c>
      <c r="EB135" s="457"/>
      <c r="EC135" s="322" t="s">
        <v>172</v>
      </c>
      <c r="ED135" s="457"/>
      <c r="EE135" s="322" t="s">
        <v>131</v>
      </c>
      <c r="EF135" s="322" t="s">
        <v>141</v>
      </c>
      <c r="EG135" s="370">
        <f t="shared" si="134"/>
        <v>1592</v>
      </c>
      <c r="EH135" s="370">
        <f t="shared" si="124"/>
        <v>313</v>
      </c>
      <c r="EI135" s="119">
        <f t="shared" si="153"/>
        <v>30.84441596</v>
      </c>
    </row>
    <row r="136" ht="15.75" customHeight="1">
      <c r="A136" s="482" t="s">
        <v>677</v>
      </c>
      <c r="B136" s="423" t="s">
        <v>129</v>
      </c>
      <c r="C136" s="498">
        <v>45605.0</v>
      </c>
      <c r="D136" s="484">
        <v>51.0</v>
      </c>
      <c r="E136" s="381" t="s">
        <v>153</v>
      </c>
      <c r="F136" s="404">
        <v>170.0</v>
      </c>
      <c r="G136" s="442">
        <v>95.0</v>
      </c>
      <c r="H136" s="381" t="s">
        <v>131</v>
      </c>
      <c r="I136" s="404">
        <v>2.0</v>
      </c>
      <c r="J136" s="493">
        <v>44472.0</v>
      </c>
      <c r="K136" s="381" t="s">
        <v>132</v>
      </c>
      <c r="L136" s="407"/>
      <c r="M136" s="386"/>
      <c r="N136" s="406"/>
      <c r="O136" s="406"/>
      <c r="P136" s="406"/>
      <c r="Q136" s="406"/>
      <c r="R136" s="406"/>
      <c r="S136" s="406"/>
      <c r="T136" s="406"/>
      <c r="U136" s="406"/>
      <c r="V136" s="285" t="str">
        <f t="shared" si="97"/>
        <v>No infectado</v>
      </c>
      <c r="W136" s="406"/>
      <c r="X136" s="406"/>
      <c r="Y136" s="407"/>
      <c r="Z136" s="407"/>
      <c r="AA136" s="407"/>
      <c r="AB136" s="407"/>
      <c r="AC136" s="407"/>
      <c r="AD136" s="407"/>
      <c r="AE136" s="407"/>
      <c r="AF136" s="407"/>
      <c r="AG136" s="407"/>
      <c r="AH136" s="407"/>
      <c r="AI136" s="407"/>
      <c r="AJ136" s="407"/>
      <c r="AK136" s="406"/>
      <c r="AL136" s="405" t="s">
        <v>132</v>
      </c>
      <c r="AM136" s="381" t="s">
        <v>132</v>
      </c>
      <c r="AN136" s="381" t="s">
        <v>132</v>
      </c>
      <c r="AO136" s="381" t="s">
        <v>132</v>
      </c>
      <c r="AP136" s="381" t="s">
        <v>132</v>
      </c>
      <c r="AQ136" s="381" t="s">
        <v>132</v>
      </c>
      <c r="AR136" s="381" t="s">
        <v>132</v>
      </c>
      <c r="AS136" s="381" t="s">
        <v>132</v>
      </c>
      <c r="AT136" s="381" t="s">
        <v>132</v>
      </c>
      <c r="AU136" s="381" t="s">
        <v>132</v>
      </c>
      <c r="AV136" s="381" t="s">
        <v>132</v>
      </c>
      <c r="AW136" s="406"/>
      <c r="AX136" s="381" t="s">
        <v>132</v>
      </c>
      <c r="AY136" s="426"/>
      <c r="AZ136" s="426"/>
      <c r="BA136" s="426"/>
      <c r="BB136" s="381" t="s">
        <v>135</v>
      </c>
      <c r="BC136" s="436">
        <v>2.0</v>
      </c>
      <c r="BD136" s="413">
        <v>1.0</v>
      </c>
      <c r="BE136" s="404">
        <v>1.0</v>
      </c>
      <c r="BF136" s="404">
        <v>1.0</v>
      </c>
      <c r="BG136" s="404">
        <v>1.0</v>
      </c>
      <c r="BH136" s="404">
        <v>1.0</v>
      </c>
      <c r="BI136" s="485"/>
      <c r="BJ136" s="404">
        <v>90.0</v>
      </c>
      <c r="BK136" s="404">
        <v>2.0</v>
      </c>
      <c r="BL136" s="404">
        <v>1.0</v>
      </c>
      <c r="BM136" s="404">
        <v>2.0</v>
      </c>
      <c r="BN136" s="404">
        <v>5.0</v>
      </c>
      <c r="BO136" s="404">
        <v>1.0</v>
      </c>
      <c r="BP136" s="404">
        <v>1.0</v>
      </c>
      <c r="BQ136" s="404">
        <v>1.0</v>
      </c>
      <c r="BR136" s="404">
        <v>1.0</v>
      </c>
      <c r="BS136" s="404">
        <v>1.0</v>
      </c>
      <c r="BT136" s="404">
        <v>5.0</v>
      </c>
      <c r="BU136" s="486"/>
      <c r="BV136" s="486"/>
      <c r="BW136" s="486"/>
      <c r="BX136" s="487"/>
      <c r="BY136" s="404">
        <v>3.0</v>
      </c>
      <c r="BZ136" s="404">
        <v>0.0</v>
      </c>
      <c r="CA136" s="404">
        <v>20.0</v>
      </c>
      <c r="CB136" s="404">
        <v>3.0</v>
      </c>
      <c r="CC136" s="404">
        <v>1.0</v>
      </c>
      <c r="CD136" s="404">
        <v>40.0</v>
      </c>
      <c r="CE136" s="404">
        <v>1.0</v>
      </c>
      <c r="CF136" s="404">
        <v>0.0</v>
      </c>
      <c r="CG136" s="404">
        <v>30.0</v>
      </c>
      <c r="CH136" s="404">
        <v>2.0</v>
      </c>
      <c r="CI136" s="404">
        <v>0.0</v>
      </c>
      <c r="CJ136" s="486"/>
      <c r="CK136" s="485"/>
      <c r="CL136" s="485"/>
      <c r="CM136" s="485"/>
      <c r="CN136" s="488"/>
      <c r="CO136" s="404">
        <v>23.0</v>
      </c>
      <c r="CP136" s="404">
        <v>5.0</v>
      </c>
      <c r="CQ136" s="489"/>
      <c r="CR136" s="404">
        <v>7.0</v>
      </c>
      <c r="CS136" s="404">
        <v>0.0</v>
      </c>
      <c r="CT136" s="404">
        <v>8.0</v>
      </c>
      <c r="CU136" s="404">
        <v>7.0</v>
      </c>
      <c r="CV136" s="404">
        <v>0.0</v>
      </c>
      <c r="CW136" s="404">
        <v>3.0</v>
      </c>
      <c r="CX136" s="404">
        <v>3.0</v>
      </c>
      <c r="CY136" s="404">
        <v>0.0</v>
      </c>
      <c r="CZ136" s="404">
        <v>0.0</v>
      </c>
      <c r="DA136" s="404">
        <v>1.0</v>
      </c>
      <c r="DB136" s="404">
        <v>1.0</v>
      </c>
      <c r="DC136" s="404">
        <v>0.0</v>
      </c>
      <c r="DD136" s="404">
        <v>1.0</v>
      </c>
      <c r="DE136" s="423">
        <v>1.0</v>
      </c>
      <c r="DF136" s="411" t="s">
        <v>678</v>
      </c>
      <c r="DG136" s="500"/>
      <c r="DH136" s="404">
        <v>1.0</v>
      </c>
      <c r="DI136" s="404">
        <v>0.0</v>
      </c>
      <c r="DJ136" s="404">
        <v>0.0</v>
      </c>
      <c r="DK136" s="404">
        <v>0.0</v>
      </c>
      <c r="DL136" s="486"/>
      <c r="DM136" s="486"/>
      <c r="DN136" s="486"/>
      <c r="DO136" s="486"/>
      <c r="DP136" s="486"/>
      <c r="DQ136" s="486"/>
      <c r="DR136" s="486"/>
      <c r="DS136" s="486"/>
      <c r="DT136" s="490"/>
      <c r="DU136" s="491"/>
      <c r="DV136" s="415">
        <v>3.0</v>
      </c>
      <c r="DW136" s="416" t="s">
        <v>591</v>
      </c>
      <c r="DX136" s="416" t="s">
        <v>146</v>
      </c>
      <c r="DY136" s="415">
        <v>1.0</v>
      </c>
      <c r="DZ136" s="416" t="s">
        <v>131</v>
      </c>
      <c r="EA136" s="416" t="s">
        <v>167</v>
      </c>
      <c r="EB136" s="426"/>
      <c r="EC136" s="416" t="s">
        <v>139</v>
      </c>
      <c r="ED136" s="492"/>
      <c r="EE136" s="416" t="s">
        <v>131</v>
      </c>
      <c r="EF136" s="416" t="s">
        <v>141</v>
      </c>
      <c r="EG136" s="397">
        <f t="shared" si="134"/>
        <v>45605</v>
      </c>
      <c r="EH136" s="501">
        <f t="shared" si="124"/>
        <v>45605</v>
      </c>
      <c r="EI136" s="383">
        <f t="shared" si="153"/>
        <v>32.87197232</v>
      </c>
    </row>
    <row r="137" ht="15.75" customHeight="1">
      <c r="A137" s="89" t="s">
        <v>679</v>
      </c>
      <c r="B137" s="134" t="s">
        <v>175</v>
      </c>
      <c r="C137" s="499">
        <v>45619.0</v>
      </c>
      <c r="D137" s="128">
        <v>55.0</v>
      </c>
      <c r="E137" s="104" t="s">
        <v>130</v>
      </c>
      <c r="F137" s="128">
        <v>165.0</v>
      </c>
      <c r="G137" s="135">
        <v>69.0</v>
      </c>
      <c r="H137" s="104" t="s">
        <v>131</v>
      </c>
      <c r="I137" s="128">
        <v>4.0</v>
      </c>
      <c r="J137" s="372">
        <v>45139.0</v>
      </c>
      <c r="K137" s="104" t="s">
        <v>131</v>
      </c>
      <c r="L137" s="128">
        <v>2.0</v>
      </c>
      <c r="M137" s="456" t="s">
        <v>764</v>
      </c>
      <c r="N137" s="128">
        <v>0.0</v>
      </c>
      <c r="O137" s="373">
        <v>44593.0</v>
      </c>
      <c r="P137" s="104" t="s">
        <v>132</v>
      </c>
      <c r="Q137" s="104"/>
      <c r="R137" s="104"/>
      <c r="S137" s="104"/>
      <c r="T137" s="104"/>
      <c r="U137" s="104"/>
      <c r="V137" s="121" t="str">
        <f t="shared" si="97"/>
        <v>Paciente ambulatorio</v>
      </c>
      <c r="W137" s="104" t="s">
        <v>183</v>
      </c>
      <c r="X137" s="104" t="s">
        <v>132</v>
      </c>
      <c r="Y137" s="128">
        <v>2.0</v>
      </c>
      <c r="Z137" s="128">
        <v>3.0</v>
      </c>
      <c r="AA137" s="128">
        <v>3.0</v>
      </c>
      <c r="AB137" s="128">
        <v>3.0</v>
      </c>
      <c r="AC137" s="128">
        <v>3.0</v>
      </c>
      <c r="AD137" s="128">
        <v>1.0</v>
      </c>
      <c r="AE137" s="128">
        <v>3.0</v>
      </c>
      <c r="AF137" s="128">
        <v>1.0</v>
      </c>
      <c r="AG137" s="128">
        <v>3.0</v>
      </c>
      <c r="AH137" s="128">
        <v>1.0</v>
      </c>
      <c r="AI137" s="128">
        <v>1.0</v>
      </c>
      <c r="AJ137" s="128">
        <v>1.0</v>
      </c>
      <c r="AK137" s="502" t="s">
        <v>534</v>
      </c>
      <c r="AL137" s="104" t="s">
        <v>132</v>
      </c>
      <c r="AM137" s="104" t="s">
        <v>132</v>
      </c>
      <c r="AN137" s="104" t="s">
        <v>132</v>
      </c>
      <c r="AO137" s="104" t="s">
        <v>132</v>
      </c>
      <c r="AP137" s="104" t="s">
        <v>132</v>
      </c>
      <c r="AQ137" s="104" t="s">
        <v>132</v>
      </c>
      <c r="AR137" s="104" t="s">
        <v>132</v>
      </c>
      <c r="AS137" s="127" t="s">
        <v>132</v>
      </c>
      <c r="AT137" s="104" t="s">
        <v>132</v>
      </c>
      <c r="AU137" s="104" t="s">
        <v>132</v>
      </c>
      <c r="AV137" s="104" t="s">
        <v>131</v>
      </c>
      <c r="AW137" s="104" t="s">
        <v>535</v>
      </c>
      <c r="AX137" s="127" t="s">
        <v>132</v>
      </c>
      <c r="AY137" s="457"/>
      <c r="AZ137" s="457"/>
      <c r="BA137" s="457"/>
      <c r="BB137" s="104" t="s">
        <v>145</v>
      </c>
      <c r="BC137" s="465"/>
      <c r="BD137" s="470">
        <v>1.0</v>
      </c>
      <c r="BE137" s="128">
        <v>1.0</v>
      </c>
      <c r="BF137" s="128">
        <v>1.0</v>
      </c>
      <c r="BG137" s="128">
        <v>2.0</v>
      </c>
      <c r="BH137" s="128">
        <v>4.0</v>
      </c>
      <c r="BI137" s="476" t="str">
        <f t="shared" ref="BI137:BI139" si="261">CONCATENATE(BD137:BH137)</f>
        <v>11124</v>
      </c>
      <c r="BJ137" s="128">
        <v>90.0</v>
      </c>
      <c r="BK137" s="128">
        <v>2.0</v>
      </c>
      <c r="BL137" s="128">
        <v>2.0</v>
      </c>
      <c r="BM137" s="128">
        <v>2.0</v>
      </c>
      <c r="BN137" s="128">
        <v>3.0</v>
      </c>
      <c r="BO137" s="128">
        <v>2.0</v>
      </c>
      <c r="BP137" s="128">
        <v>2.0</v>
      </c>
      <c r="BQ137" s="128">
        <v>2.0</v>
      </c>
      <c r="BR137" s="128">
        <v>2.0</v>
      </c>
      <c r="BS137" s="128">
        <v>3.0</v>
      </c>
      <c r="BT137" s="128">
        <v>2.0</v>
      </c>
      <c r="BU137" s="475">
        <f t="shared" ref="BU137:BU139" si="262">IF(BN137=1,5,IF(BN137=2,4,IF(BN137=3,3,IF(BN137=4,2,IF(BN137=5,1)))))</f>
        <v>3</v>
      </c>
      <c r="BV137" s="475">
        <f t="shared" ref="BV137:BV139" si="263">IF(BT137=1,5,IF(BT137=2,4,IF(BT137=3,3,IF(BT137=4,2,IF(BT137=5,1)))))</f>
        <v>4</v>
      </c>
      <c r="BW137" s="475">
        <f t="shared" ref="BW137:BW139" si="264">SUM(BK137,BL137,BM137,BO137,BP137,BQ137,BR137,BS137,BT137,BV137)</f>
        <v>23</v>
      </c>
      <c r="BX137" s="471" t="str">
        <f t="shared" ref="BX137:BX139" si="265">IF(BW137&lt;22,"NO HAY FATIGA",IF(BW137&lt;35,"FATIGA","FATIGA EXTREMA"))</f>
        <v>FATIGA</v>
      </c>
      <c r="BY137" s="128">
        <v>0.0</v>
      </c>
      <c r="BZ137" s="128">
        <v>0.0</v>
      </c>
      <c r="CA137" s="128">
        <v>0.0</v>
      </c>
      <c r="CB137" s="128">
        <v>0.0</v>
      </c>
      <c r="CC137" s="128">
        <v>0.0</v>
      </c>
      <c r="CD137" s="128">
        <v>0.0</v>
      </c>
      <c r="CE137" s="128">
        <v>1.0</v>
      </c>
      <c r="CF137" s="128">
        <v>0.0</v>
      </c>
      <c r="CG137" s="128">
        <v>12.0</v>
      </c>
      <c r="CH137" s="128">
        <v>12.0</v>
      </c>
      <c r="CI137" s="128">
        <v>0.0</v>
      </c>
      <c r="CJ137" s="475">
        <f t="shared" ref="CJ137:CJ139" si="266">(8*BY137*(BZ137*60+CA137)+4*CB137*(CC137*60+CD137)+3.3*CE137*(CF137*60+CG137))</f>
        <v>39.6</v>
      </c>
      <c r="CK137" s="476">
        <f t="shared" ref="CK137:CK139" si="267">(BY137+CB137+CE137)</f>
        <v>1</v>
      </c>
      <c r="CL137" s="476" t="b">
        <f>IF(CJ139&gt;3000,IF(CK139&gt;6,"Nivel de actividad física alto"),IF(CJ139&gt;1500,IF(BY139&gt;2,"Nivel de actividad física alto")))</f>
        <v>0</v>
      </c>
      <c r="CM137" s="476" t="b">
        <f t="shared" ref="CM137:CM139" si="268">IF(BY137&gt;2,(IF(BZ137*60+CA137&gt;25,"Nivel de actividad física moderado")),IF(CB137+CE137&gt;5,IF(CC137*60+CD137+CF137*60+CG137&gt;30,"Nivel de actividad física moderado"),IF(CJ137&gt;600,(IF(CK137&gt;5,"Nivel de actividad física moderado")))))</f>
        <v>0</v>
      </c>
      <c r="CN137" s="477" t="str">
        <f t="shared" ref="CN137:CN139" si="269">IF(CL137="Nivel de actividad física alto","Nivel de actividad física alto",IF(CM137="Nivel de actividad física moderado","Nivel de actividad física moderado","Nivel de actividad física bajo"))</f>
        <v>Nivel de actividad física bajo</v>
      </c>
      <c r="CO137" s="128">
        <v>0.0</v>
      </c>
      <c r="CP137" s="128">
        <v>30.0</v>
      </c>
      <c r="CQ137" s="467">
        <f t="shared" ref="CQ137:CQ139" si="270">IF(CP137&gt;60,3,IF(CP137&gt;30,2,IF(CP137&gt;15,1,0)))</f>
        <v>1</v>
      </c>
      <c r="CR137" s="128">
        <v>6.0</v>
      </c>
      <c r="CS137" s="128">
        <v>0.0</v>
      </c>
      <c r="CT137" s="128">
        <v>6.0</v>
      </c>
      <c r="CU137" s="128">
        <v>6.0</v>
      </c>
      <c r="CV137" s="128">
        <v>0.0</v>
      </c>
      <c r="CW137" s="128">
        <v>3.0</v>
      </c>
      <c r="CX137" s="128">
        <v>3.0</v>
      </c>
      <c r="CY137" s="128">
        <v>0.0</v>
      </c>
      <c r="CZ137" s="128">
        <v>0.0</v>
      </c>
      <c r="DA137" s="128">
        <v>0.0</v>
      </c>
      <c r="DB137" s="128">
        <v>3.0</v>
      </c>
      <c r="DC137" s="128">
        <v>0.0</v>
      </c>
      <c r="DD137" s="128">
        <v>0.0</v>
      </c>
      <c r="DE137" s="124">
        <v>3.0</v>
      </c>
      <c r="DF137" s="104" t="s">
        <v>536</v>
      </c>
      <c r="DG137" s="475">
        <f t="shared" ref="DG137:DG139" si="271">SUM(CW137:DF137)</f>
        <v>12</v>
      </c>
      <c r="DH137" s="128">
        <v>1.0</v>
      </c>
      <c r="DI137" s="128">
        <v>0.0</v>
      </c>
      <c r="DJ137" s="128">
        <v>3.0</v>
      </c>
      <c r="DK137" s="128">
        <v>2.0</v>
      </c>
      <c r="DL137" s="475">
        <f t="shared" ref="DL137:DL139" si="272">((CU137/CT137)*100)</f>
        <v>100</v>
      </c>
      <c r="DM137" s="475">
        <f t="shared" ref="DM137:DM139" si="273">IF(CU137&gt;=7,0,IF(CU137&gt;=6,1,IF(CU137&gt;=5,2,IF(CU137&lt;5,3))))</f>
        <v>1</v>
      </c>
      <c r="DN137" s="475">
        <f t="shared" ref="DN137:DN139" si="274">IF(DG137&gt;18,3,IF(DG137&gt;9,2,IF(DG137&gt;=1,1,0)))</f>
        <v>2</v>
      </c>
      <c r="DO137" s="475">
        <f t="shared" ref="DO137:DO139" si="275">IF(CV137+CQ137&gt;=5,3,IF(CQ137+CV137&gt;=3,2,IF(CQ137+CV137&gt;=1,1,0)))</f>
        <v>1</v>
      </c>
      <c r="DP137" s="475">
        <f t="shared" ref="DP137:DP139" si="276">IF(DJ137+DK137&gt;=5,3,IF(DJ137+DK137&gt;=3,2,IF(DJ137+DK137&gt;=1,1,0)))</f>
        <v>3</v>
      </c>
      <c r="DQ137" s="475">
        <f t="shared" ref="DQ137:DQ139" si="277">IF(DL137&gt;85,0,IF(DL137&gt;75,1,IF(DL137&gt;65,2,3)))</f>
        <v>0</v>
      </c>
      <c r="DR137" s="475">
        <f t="shared" ref="DR137:DS137" si="260">(DH137)</f>
        <v>1</v>
      </c>
      <c r="DS137" s="475">
        <f t="shared" si="260"/>
        <v>0</v>
      </c>
      <c r="DT137" s="478">
        <f t="shared" ref="DT137:DT139" si="279">SUM(DM137:DS137)</f>
        <v>8</v>
      </c>
      <c r="DU137" s="479" t="str">
        <f t="shared" ref="DU137:DU139" si="280">IF(DT137&gt;5,"poor sleep quality","good sleep quality")</f>
        <v>poor sleep quality</v>
      </c>
      <c r="DV137" s="472">
        <v>4.0</v>
      </c>
      <c r="DW137" s="104" t="s">
        <v>537</v>
      </c>
      <c r="DX137" s="461" t="s">
        <v>146</v>
      </c>
      <c r="DY137" s="472">
        <v>2.0</v>
      </c>
      <c r="DZ137" s="461" t="s">
        <v>131</v>
      </c>
      <c r="EA137" s="461" t="s">
        <v>202</v>
      </c>
      <c r="EB137" s="457"/>
      <c r="EC137" s="461" t="s">
        <v>139</v>
      </c>
      <c r="ED137" s="457"/>
      <c r="EE137" s="461" t="s">
        <v>131</v>
      </c>
      <c r="EF137" s="461" t="s">
        <v>151</v>
      </c>
      <c r="EG137" s="359"/>
      <c r="EH137" s="370">
        <f t="shared" si="124"/>
        <v>1026</v>
      </c>
      <c r="EI137" s="119">
        <f t="shared" si="153"/>
        <v>25.34435262</v>
      </c>
    </row>
    <row r="138" ht="15.75" customHeight="1">
      <c r="A138" s="89" t="s">
        <v>681</v>
      </c>
      <c r="B138" s="134" t="s">
        <v>175</v>
      </c>
      <c r="C138" s="499">
        <v>45619.0</v>
      </c>
      <c r="D138" s="128">
        <v>64.0</v>
      </c>
      <c r="E138" s="104" t="s">
        <v>153</v>
      </c>
      <c r="F138" s="128">
        <v>170.0</v>
      </c>
      <c r="G138" s="135">
        <v>107.0</v>
      </c>
      <c r="H138" s="104" t="s">
        <v>131</v>
      </c>
      <c r="I138" s="128">
        <v>6.0</v>
      </c>
      <c r="J138" s="400">
        <v>45413.0</v>
      </c>
      <c r="K138" s="104" t="s">
        <v>131</v>
      </c>
      <c r="L138" s="128">
        <v>1.0</v>
      </c>
      <c r="M138" s="371">
        <v>44197.0</v>
      </c>
      <c r="N138" s="128">
        <v>0.0</v>
      </c>
      <c r="O138" s="376"/>
      <c r="P138" s="104" t="s">
        <v>132</v>
      </c>
      <c r="Q138" s="104"/>
      <c r="R138" s="104"/>
      <c r="S138" s="104"/>
      <c r="T138" s="104"/>
      <c r="U138" s="104"/>
      <c r="V138" s="121" t="str">
        <f t="shared" si="97"/>
        <v>Paciente ambulatorio</v>
      </c>
      <c r="W138" s="104" t="s">
        <v>176</v>
      </c>
      <c r="X138" s="104" t="s">
        <v>132</v>
      </c>
      <c r="Y138" s="128">
        <v>3.0</v>
      </c>
      <c r="Z138" s="128">
        <v>2.0</v>
      </c>
      <c r="AA138" s="128">
        <v>3.0</v>
      </c>
      <c r="AB138" s="128">
        <v>2.0</v>
      </c>
      <c r="AC138" s="128">
        <v>1.0</v>
      </c>
      <c r="AD138" s="128">
        <v>2.0</v>
      </c>
      <c r="AE138" s="128">
        <v>3.0</v>
      </c>
      <c r="AF138" s="128">
        <v>1.0</v>
      </c>
      <c r="AG138" s="128">
        <v>1.0</v>
      </c>
      <c r="AH138" s="128">
        <v>1.0</v>
      </c>
      <c r="AI138" s="128">
        <v>3.0</v>
      </c>
      <c r="AJ138" s="128">
        <v>3.0</v>
      </c>
      <c r="AK138" s="502" t="s">
        <v>539</v>
      </c>
      <c r="AL138" s="104" t="s">
        <v>132</v>
      </c>
      <c r="AM138" s="104" t="s">
        <v>132</v>
      </c>
      <c r="AN138" s="104" t="s">
        <v>132</v>
      </c>
      <c r="AO138" s="104" t="s">
        <v>132</v>
      </c>
      <c r="AP138" s="104" t="s">
        <v>132</v>
      </c>
      <c r="AQ138" s="104" t="s">
        <v>132</v>
      </c>
      <c r="AR138" s="104" t="s">
        <v>132</v>
      </c>
      <c r="AS138" s="104" t="s">
        <v>132</v>
      </c>
      <c r="AT138" s="104" t="s">
        <v>132</v>
      </c>
      <c r="AU138" s="104" t="s">
        <v>132</v>
      </c>
      <c r="AV138" s="104" t="s">
        <v>132</v>
      </c>
      <c r="AW138" s="457"/>
      <c r="AX138" s="127" t="s">
        <v>165</v>
      </c>
      <c r="AY138" s="457"/>
      <c r="AZ138" s="457"/>
      <c r="BA138" s="128">
        <v>5.0</v>
      </c>
      <c r="BB138" s="104" t="s">
        <v>135</v>
      </c>
      <c r="BC138" s="473">
        <v>5.0</v>
      </c>
      <c r="BD138" s="470">
        <v>1.0</v>
      </c>
      <c r="BE138" s="128">
        <v>1.0</v>
      </c>
      <c r="BF138" s="128">
        <v>1.0</v>
      </c>
      <c r="BG138" s="128">
        <v>1.0</v>
      </c>
      <c r="BH138" s="128">
        <v>1.0</v>
      </c>
      <c r="BI138" s="476" t="str">
        <f t="shared" si="261"/>
        <v>11111</v>
      </c>
      <c r="BJ138" s="128">
        <v>95.0</v>
      </c>
      <c r="BK138" s="128">
        <v>2.0</v>
      </c>
      <c r="BL138" s="128">
        <v>2.0</v>
      </c>
      <c r="BM138" s="128">
        <v>4.0</v>
      </c>
      <c r="BN138" s="128">
        <v>5.0</v>
      </c>
      <c r="BO138" s="128">
        <v>2.0</v>
      </c>
      <c r="BP138" s="128">
        <v>2.0</v>
      </c>
      <c r="BQ138" s="128">
        <v>3.0</v>
      </c>
      <c r="BR138" s="128">
        <v>2.0</v>
      </c>
      <c r="BS138" s="128">
        <v>2.0</v>
      </c>
      <c r="BT138" s="128">
        <v>4.0</v>
      </c>
      <c r="BU138" s="475">
        <f t="shared" si="262"/>
        <v>1</v>
      </c>
      <c r="BV138" s="475">
        <f t="shared" si="263"/>
        <v>2</v>
      </c>
      <c r="BW138" s="475">
        <f t="shared" si="264"/>
        <v>25</v>
      </c>
      <c r="BX138" s="471" t="str">
        <f t="shared" si="265"/>
        <v>FATIGA</v>
      </c>
      <c r="BY138" s="128">
        <v>0.0</v>
      </c>
      <c r="BZ138" s="128">
        <v>0.0</v>
      </c>
      <c r="CA138" s="128">
        <v>0.0</v>
      </c>
      <c r="CB138" s="128">
        <v>0.0</v>
      </c>
      <c r="CC138" s="128">
        <v>0.0</v>
      </c>
      <c r="CD138" s="128">
        <v>0.0</v>
      </c>
      <c r="CE138" s="128">
        <v>7.0</v>
      </c>
      <c r="CF138" s="128">
        <v>0.0</v>
      </c>
      <c r="CG138" s="128">
        <v>15.0</v>
      </c>
      <c r="CH138" s="128">
        <v>8.0</v>
      </c>
      <c r="CI138" s="128">
        <v>0.0</v>
      </c>
      <c r="CJ138" s="475">
        <f t="shared" si="266"/>
        <v>346.5</v>
      </c>
      <c r="CK138" s="476">
        <f t="shared" si="267"/>
        <v>7</v>
      </c>
      <c r="CL138" s="476" t="b">
        <f>IF(CJ139&gt;3000,IF(CK139&gt;6,"Nivel de actividad física alto"),IF(CJ139&gt;1500,IF(BY139&gt;2,"Nivel de actividad física alto")))</f>
        <v>0</v>
      </c>
      <c r="CM138" s="476" t="b">
        <f t="shared" si="268"/>
        <v>0</v>
      </c>
      <c r="CN138" s="477" t="str">
        <f t="shared" si="269"/>
        <v>Nivel de actividad física bajo</v>
      </c>
      <c r="CO138" s="402">
        <v>0.9375</v>
      </c>
      <c r="CP138" s="128">
        <v>5.0</v>
      </c>
      <c r="CQ138" s="467">
        <f t="shared" si="270"/>
        <v>0</v>
      </c>
      <c r="CR138" s="128">
        <v>5.0</v>
      </c>
      <c r="CS138" s="128">
        <v>30.0</v>
      </c>
      <c r="CT138" s="128">
        <v>7.0</v>
      </c>
      <c r="CU138" s="128">
        <v>6.0</v>
      </c>
      <c r="CV138" s="128">
        <v>0.0</v>
      </c>
      <c r="CW138" s="128">
        <v>0.0</v>
      </c>
      <c r="CX138" s="128">
        <v>3.0</v>
      </c>
      <c r="CY138" s="128">
        <v>0.0</v>
      </c>
      <c r="CZ138" s="128">
        <v>0.0</v>
      </c>
      <c r="DA138" s="128">
        <v>0.0</v>
      </c>
      <c r="DB138" s="128">
        <v>1.0</v>
      </c>
      <c r="DC138" s="128">
        <v>0.0</v>
      </c>
      <c r="DD138" s="128">
        <v>0.0</v>
      </c>
      <c r="DE138" s="124">
        <v>0.0</v>
      </c>
      <c r="DF138" s="457"/>
      <c r="DG138" s="475">
        <f t="shared" si="271"/>
        <v>4</v>
      </c>
      <c r="DH138" s="128">
        <v>1.0</v>
      </c>
      <c r="DI138" s="128">
        <v>0.0</v>
      </c>
      <c r="DJ138" s="128">
        <v>2.0</v>
      </c>
      <c r="DK138" s="128">
        <v>0.0</v>
      </c>
      <c r="DL138" s="475">
        <f t="shared" si="272"/>
        <v>85.71428571</v>
      </c>
      <c r="DM138" s="475">
        <f t="shared" si="273"/>
        <v>1</v>
      </c>
      <c r="DN138" s="475">
        <f t="shared" si="274"/>
        <v>1</v>
      </c>
      <c r="DO138" s="475">
        <f t="shared" si="275"/>
        <v>0</v>
      </c>
      <c r="DP138" s="475">
        <f t="shared" si="276"/>
        <v>1</v>
      </c>
      <c r="DQ138" s="475">
        <f t="shared" si="277"/>
        <v>0</v>
      </c>
      <c r="DR138" s="475">
        <f t="shared" ref="DR138:DS138" si="278">(DH138)</f>
        <v>1</v>
      </c>
      <c r="DS138" s="475">
        <f t="shared" si="278"/>
        <v>0</v>
      </c>
      <c r="DT138" s="478">
        <f t="shared" si="279"/>
        <v>4</v>
      </c>
      <c r="DU138" s="479" t="str">
        <f t="shared" si="280"/>
        <v>good sleep quality</v>
      </c>
      <c r="DV138" s="472">
        <v>2.0</v>
      </c>
      <c r="DW138" s="104" t="s">
        <v>489</v>
      </c>
      <c r="DX138" s="461" t="s">
        <v>146</v>
      </c>
      <c r="DY138" s="472">
        <v>1.0</v>
      </c>
      <c r="DZ138" s="461" t="s">
        <v>131</v>
      </c>
      <c r="EA138" s="461" t="s">
        <v>202</v>
      </c>
      <c r="EB138" s="457"/>
      <c r="EC138" s="461" t="s">
        <v>139</v>
      </c>
      <c r="ED138" s="457"/>
      <c r="EE138" s="461" t="s">
        <v>131</v>
      </c>
      <c r="EF138" s="461" t="s">
        <v>151</v>
      </c>
      <c r="EG138" s="370">
        <f t="shared" ref="EG138:EG139" si="282">C138-M138</f>
        <v>1422</v>
      </c>
      <c r="EH138" s="370">
        <f t="shared" si="124"/>
        <v>45619</v>
      </c>
      <c r="EI138" s="119">
        <f t="shared" si="153"/>
        <v>37.02422145</v>
      </c>
    </row>
    <row r="139" ht="15.75" customHeight="1">
      <c r="A139" s="89" t="s">
        <v>682</v>
      </c>
      <c r="B139" s="134" t="s">
        <v>175</v>
      </c>
      <c r="C139" s="499">
        <v>45619.0</v>
      </c>
      <c r="D139" s="128">
        <v>51.0</v>
      </c>
      <c r="E139" s="104" t="s">
        <v>130</v>
      </c>
      <c r="F139" s="128">
        <v>160.0</v>
      </c>
      <c r="G139" s="147">
        <v>77.0</v>
      </c>
      <c r="H139" s="104" t="s">
        <v>131</v>
      </c>
      <c r="I139" s="128">
        <v>2.0</v>
      </c>
      <c r="J139" s="356"/>
      <c r="K139" s="104" t="s">
        <v>131</v>
      </c>
      <c r="L139" s="128">
        <v>1.0</v>
      </c>
      <c r="M139" s="503">
        <v>44196.0</v>
      </c>
      <c r="N139" s="128">
        <v>0.0</v>
      </c>
      <c r="O139" s="376"/>
      <c r="P139" s="104" t="s">
        <v>132</v>
      </c>
      <c r="Q139" s="104"/>
      <c r="R139" s="104"/>
      <c r="S139" s="104"/>
      <c r="T139" s="104"/>
      <c r="U139" s="104"/>
      <c r="V139" s="121" t="str">
        <f t="shared" si="97"/>
        <v>Paciente ambulatorio</v>
      </c>
      <c r="W139" s="104" t="s">
        <v>190</v>
      </c>
      <c r="X139" s="104" t="s">
        <v>132</v>
      </c>
      <c r="Y139" s="128">
        <v>1.0</v>
      </c>
      <c r="Z139" s="128">
        <v>1.0</v>
      </c>
      <c r="AA139" s="128">
        <v>1.0</v>
      </c>
      <c r="AB139" s="128">
        <v>1.0</v>
      </c>
      <c r="AC139" s="128">
        <v>3.0</v>
      </c>
      <c r="AD139" s="128">
        <v>1.0</v>
      </c>
      <c r="AE139" s="128">
        <v>1.0</v>
      </c>
      <c r="AF139" s="128">
        <v>1.0</v>
      </c>
      <c r="AG139" s="128">
        <v>1.0</v>
      </c>
      <c r="AH139" s="128">
        <v>1.0</v>
      </c>
      <c r="AI139" s="128">
        <v>1.0</v>
      </c>
      <c r="AJ139" s="128">
        <v>1.0</v>
      </c>
      <c r="AK139" s="465"/>
      <c r="AL139" s="104" t="s">
        <v>132</v>
      </c>
      <c r="AM139" s="104" t="s">
        <v>132</v>
      </c>
      <c r="AN139" s="104" t="s">
        <v>132</v>
      </c>
      <c r="AO139" s="104" t="s">
        <v>132</v>
      </c>
      <c r="AP139" s="104" t="s">
        <v>132</v>
      </c>
      <c r="AQ139" s="104" t="s">
        <v>132</v>
      </c>
      <c r="AR139" s="104" t="s">
        <v>132</v>
      </c>
      <c r="AS139" s="104" t="s">
        <v>132</v>
      </c>
      <c r="AT139" s="104" t="s">
        <v>132</v>
      </c>
      <c r="AU139" s="104" t="s">
        <v>132</v>
      </c>
      <c r="AV139" s="104" t="s">
        <v>131</v>
      </c>
      <c r="AW139" s="104" t="s">
        <v>541</v>
      </c>
      <c r="AX139" s="127" t="s">
        <v>132</v>
      </c>
      <c r="AY139" s="457"/>
      <c r="AZ139" s="457"/>
      <c r="BA139" s="457"/>
      <c r="BB139" s="104" t="s">
        <v>192</v>
      </c>
      <c r="BC139" s="473">
        <v>0.5</v>
      </c>
      <c r="BD139" s="470">
        <v>2.0</v>
      </c>
      <c r="BE139" s="128">
        <v>1.0</v>
      </c>
      <c r="BF139" s="128">
        <v>3.0</v>
      </c>
      <c r="BG139" s="128">
        <v>3.0</v>
      </c>
      <c r="BH139" s="128">
        <v>5.0</v>
      </c>
      <c r="BI139" s="476" t="str">
        <f t="shared" si="261"/>
        <v>21335</v>
      </c>
      <c r="BJ139" s="128">
        <v>40.0</v>
      </c>
      <c r="BK139" s="128">
        <v>4.0</v>
      </c>
      <c r="BL139" s="128">
        <v>5.0</v>
      </c>
      <c r="BM139" s="128">
        <v>3.0</v>
      </c>
      <c r="BN139" s="128">
        <v>3.0</v>
      </c>
      <c r="BO139" s="128">
        <v>4.0</v>
      </c>
      <c r="BP139" s="128">
        <v>3.0</v>
      </c>
      <c r="BQ139" s="128">
        <v>5.0</v>
      </c>
      <c r="BR139" s="128">
        <v>3.0</v>
      </c>
      <c r="BS139" s="128">
        <v>5.0</v>
      </c>
      <c r="BT139" s="128">
        <v>1.0</v>
      </c>
      <c r="BU139" s="475">
        <f t="shared" si="262"/>
        <v>3</v>
      </c>
      <c r="BV139" s="475">
        <f t="shared" si="263"/>
        <v>5</v>
      </c>
      <c r="BW139" s="475">
        <f t="shared" si="264"/>
        <v>38</v>
      </c>
      <c r="BX139" s="471" t="str">
        <f t="shared" si="265"/>
        <v>FATIGA EXTREMA</v>
      </c>
      <c r="BY139" s="128">
        <v>2.0</v>
      </c>
      <c r="BZ139" s="128">
        <v>1.0</v>
      </c>
      <c r="CA139" s="128">
        <v>0.0</v>
      </c>
      <c r="CB139" s="128">
        <v>2.0</v>
      </c>
      <c r="CC139" s="128">
        <v>1.0</v>
      </c>
      <c r="CD139" s="128">
        <v>0.0</v>
      </c>
      <c r="CE139" s="128">
        <v>0.0</v>
      </c>
      <c r="CF139" s="128">
        <v>0.0</v>
      </c>
      <c r="CG139" s="128">
        <v>0.0</v>
      </c>
      <c r="CH139" s="128">
        <v>6.0</v>
      </c>
      <c r="CI139" s="128">
        <v>0.0</v>
      </c>
      <c r="CJ139" s="475">
        <f t="shared" si="266"/>
        <v>1440</v>
      </c>
      <c r="CK139" s="476">
        <f t="shared" si="267"/>
        <v>4</v>
      </c>
      <c r="CL139" s="476" t="str">
        <f>IF(#REF!&gt;3000,IF(#REF!&gt;6,"Nivel de actividad física alto"),IF(#REF!&gt;1500,IF(#REF!&gt;2,"Nivel de actividad física alto")))</f>
        <v>#REF!</v>
      </c>
      <c r="CM139" s="476" t="b">
        <f t="shared" si="268"/>
        <v>0</v>
      </c>
      <c r="CN139" s="477" t="str">
        <f t="shared" si="269"/>
        <v>#REF!</v>
      </c>
      <c r="CO139" s="128">
        <v>22.0</v>
      </c>
      <c r="CP139" s="128">
        <v>15.0</v>
      </c>
      <c r="CQ139" s="467">
        <f t="shared" si="270"/>
        <v>0</v>
      </c>
      <c r="CR139" s="128">
        <v>6.0</v>
      </c>
      <c r="CS139" s="128">
        <v>0.0</v>
      </c>
      <c r="CT139" s="128">
        <v>8.0</v>
      </c>
      <c r="CU139" s="128">
        <v>4.0</v>
      </c>
      <c r="CV139" s="128">
        <v>0.0</v>
      </c>
      <c r="CW139" s="128">
        <v>3.0</v>
      </c>
      <c r="CX139" s="128">
        <v>0.0</v>
      </c>
      <c r="CY139" s="128">
        <v>0.0</v>
      </c>
      <c r="CZ139" s="128">
        <v>0.0</v>
      </c>
      <c r="DA139" s="128">
        <v>0.0</v>
      </c>
      <c r="DB139" s="128">
        <v>3.0</v>
      </c>
      <c r="DC139" s="128">
        <v>3.0</v>
      </c>
      <c r="DD139" s="128">
        <v>3.0</v>
      </c>
      <c r="DE139" s="124">
        <v>0.0</v>
      </c>
      <c r="DF139" s="457"/>
      <c r="DG139" s="475">
        <f t="shared" si="271"/>
        <v>12</v>
      </c>
      <c r="DH139" s="128">
        <v>2.0</v>
      </c>
      <c r="DI139" s="128">
        <v>3.0</v>
      </c>
      <c r="DJ139" s="128">
        <v>2.0</v>
      </c>
      <c r="DK139" s="128">
        <v>3.0</v>
      </c>
      <c r="DL139" s="475">
        <f t="shared" si="272"/>
        <v>50</v>
      </c>
      <c r="DM139" s="475">
        <f t="shared" si="273"/>
        <v>3</v>
      </c>
      <c r="DN139" s="475">
        <f t="shared" si="274"/>
        <v>2</v>
      </c>
      <c r="DO139" s="475">
        <f t="shared" si="275"/>
        <v>0</v>
      </c>
      <c r="DP139" s="475">
        <f t="shared" si="276"/>
        <v>3</v>
      </c>
      <c r="DQ139" s="475">
        <f t="shared" si="277"/>
        <v>3</v>
      </c>
      <c r="DR139" s="475">
        <f t="shared" ref="DR139:DS139" si="281">(DH139)</f>
        <v>2</v>
      </c>
      <c r="DS139" s="475">
        <f t="shared" si="281"/>
        <v>3</v>
      </c>
      <c r="DT139" s="478">
        <f t="shared" si="279"/>
        <v>16</v>
      </c>
      <c r="DU139" s="479" t="str">
        <f t="shared" si="280"/>
        <v>poor sleep quality</v>
      </c>
      <c r="DV139" s="472">
        <v>0.0</v>
      </c>
      <c r="DW139" s="104" t="s">
        <v>161</v>
      </c>
      <c r="DX139" s="461" t="s">
        <v>146</v>
      </c>
      <c r="DY139" s="472">
        <v>1.0</v>
      </c>
      <c r="DZ139" s="461" t="s">
        <v>131</v>
      </c>
      <c r="EA139" s="461" t="s">
        <v>167</v>
      </c>
      <c r="EB139" s="457"/>
      <c r="EC139" s="461" t="s">
        <v>139</v>
      </c>
      <c r="ED139" s="457"/>
      <c r="EE139" s="461" t="s">
        <v>131</v>
      </c>
      <c r="EF139" s="461" t="s">
        <v>141</v>
      </c>
      <c r="EG139" s="370">
        <f t="shared" si="282"/>
        <v>1423</v>
      </c>
      <c r="EH139" s="370">
        <f t="shared" si="124"/>
        <v>45619</v>
      </c>
      <c r="EI139" s="119">
        <f t="shared" si="153"/>
        <v>30.078125</v>
      </c>
    </row>
    <row r="140" ht="15.75" customHeight="1">
      <c r="D140" s="327">
        <f>AVERAGE(D4:D139)</f>
        <v>49.88970588</v>
      </c>
    </row>
    <row r="141" ht="15.75" customHeight="1">
      <c r="D141" s="327">
        <f>MEDIAN(D4:D139)</f>
        <v>50</v>
      </c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</sheetData>
  <mergeCells count="9">
    <mergeCell ref="D2:G2"/>
    <mergeCell ref="P3:U3"/>
    <mergeCell ref="BZ1:CA1"/>
    <mergeCell ref="CR1:CS1"/>
    <mergeCell ref="AL2:BC2"/>
    <mergeCell ref="BK2:BV2"/>
    <mergeCell ref="BY2:CJ2"/>
    <mergeCell ref="CO2:DU2"/>
    <mergeCell ref="DV2:EF2"/>
  </mergeCells>
  <conditionalFormatting sqref="D4:D56 E4:E102 F4:G56 H4:H102 I4:J56 K4:K102 L4:M56 N4:N102 O4:O56 P4:P102 Q4:R21 S4:S8 T4:T21 U4:U16 V4:V139 W4:X102 Y4:AK56 AL4:AV116 AW4:AW56 AX4:AX123 AY4:BA56 BB4:BB116 BC4:BC56 BD4:BD61 BE4:BH56 BJ4:BT56 BY4:CF56 CO4:CP56 CR4:DF56 DH4:DK56 EI4:EI139 CG5:CI56 S10:S16 S18:S21 U18:U21 Q45:U45 Q49:U56 DV49:DW56 DX49:EA116 EB49:EB114 EC49:EC116 ED49:ED114 EE49:EF116 D61 F61:G61 I61:J61 L61:M61 Y61:AJ61 AK61:AK89 AW61:AW66 AY61:AY66 AZ61:BA61 BC61:BC66 BE61:BH61 BJ61:BT61 BY61:CI61 CO61:CP61 CR61:DF61 DH61:DK61 DV61:DW61 S64 U64 BD67:BD114 Y68:AJ89 AW68:AW114 AY68:BA114 BC68:BC114 BE68:BH114 BJ68:BT114 BY68:CI114 CR68:DF114 DH68:DK114 DV68:DV114 DW68:DW69 CO70:CP114 DW77 D79:D85 F79:G85 I79:J85 L79:M85 O79:O85 Q79:T85 U79:U102 DW79:DW114 E104:E105 H104 AX125:AX128 AX130 AX132:AX139">
    <cfRule type="containsBlanks" dxfId="3" priority="1">
      <formula>LEN(TRIM(D4))=0</formula>
    </cfRule>
  </conditionalFormatting>
  <conditionalFormatting sqref="DV9:EF44 DV46:DW56 DX46:EA116 EB46:EB114 EC46:EC116 ED46:ED114 EE46:EF116 DV61:DW61 DV68:DV114 DW68:DW69 DW77 DW79:DW114">
    <cfRule type="containsBlanks" dxfId="3" priority="2">
      <formula>LEN(TRIM(DV9))=0</formula>
    </cfRule>
  </conditionalFormatting>
  <conditionalFormatting sqref="EG1:EH139">
    <cfRule type="containsBlanks" dxfId="3" priority="3">
      <formula>LEN(TRIM(EG1))=0</formula>
    </cfRule>
  </conditionalFormatting>
  <dataValidations>
    <dataValidation type="list" allowBlank="1" showErrorMessage="1" sqref="ED4:ED47 EE48 ED49:ED114 ED116:ED139">
      <formula1>"SI,NO,No se aplica,No se/prefiero no contestar"</formula1>
    </dataValidation>
    <dataValidation type="list" allowBlank="1" showErrorMessage="1" sqref="AL4:AV11 AL12:AW12 AX30 AX33 AX47:AX48 AX50 AX66 AL13:AV102 AL103:AX103 P5:P107 X4:X107 AL104:AV108 AX110:AX111 AX113:AX115 AX124 AL110:AV128 AL129:AX129 AL130:AW130 AX131 AL131:AV133 AL134:AW134 K4:K139 P109:P139 X109:X139 AL135:AV139">
      <formula1>"SI,NO"</formula1>
    </dataValidation>
    <dataValidation type="list" allowBlank="1" showErrorMessage="1" sqref="E4:E139">
      <formula1>"F,M,O"</formula1>
    </dataValidation>
    <dataValidation type="list" allowBlank="1" showErrorMessage="1" sqref="H4:H139">
      <formula1>"SI,NO,NS/NC"</formula1>
    </dataValidation>
    <dataValidation type="list" allowBlank="1" showErrorMessage="1" sqref="DY4:DY139">
      <formula1>"1,2,3 o más,Prefiero no contestar"</formula1>
    </dataValidation>
    <dataValidation type="list" allowBlank="1" showErrorMessage="1" sqref="EA4 EA5:EB114 EA115 EA116:EB139">
      <formula1>"Sin estudios,Primario incompleto,Primario completo,Secundario incompleto,Secundario completo,Terciario incompleto,Terciario completo,Universitario incompleto,Universitario completo,Posgrado,No se/prefiero no contestar"</formula1>
    </dataValidation>
    <dataValidation type="list" allowBlank="1" showErrorMessage="1" sqref="U49 U51:U56 U64 S4:S67 S73 U79:U102 S79:S107 U104:U107 S119:S121 U119:U121 S132:S133 U132:U133">
      <formula1>"NO,SI"</formula1>
    </dataValidation>
    <dataValidation type="list" allowBlank="1" showErrorMessage="1" sqref="BB4:BB139">
      <formula1>"Si,todos los días,Si,los fines de semana,No"</formula1>
    </dataValidation>
    <dataValidation type="list" allowBlank="1" showErrorMessage="1" sqref="EE4:EE47 DZ4:DZ139 EE49:EE139">
      <formula1>"SI,NO,No se/prefiero no contestar"</formula1>
    </dataValidation>
    <dataValidation type="list" allowBlank="1" showErrorMessage="1" sqref="P4">
      <formula1>"Opción 1,Opción 2"</formula1>
    </dataValidation>
    <dataValidation type="list" allowBlank="1" showErrorMessage="1" sqref="EC4:EC139">
      <formula1>"Trabajando tiempo completo,Trabajando medio tiempo,Desocupado y buscó trabajo en últimos 2 meses,buscó trabajo en últimos 2 meses,Desocupado y no buscó trabajo en últimos 2 meses,no buscó trabajo en últimos 2 meses,Jubilado,Pensionado,Estudiando,Haciendo "&amp;"tareas del hogar,Otro,No se/prefiero no contestar,Licencia,Cuidando familiar enfermo,Reposo por enfermedad"</formula1>
    </dataValidation>
    <dataValidation type="list" allowBlank="1" showErrorMessage="1" sqref="EF4:EF139">
      <formula1>"Asalariado formal,empleador,Actividad económica familiar sin remuneracion fija,Asalariado ni efectivo ni contratado (""en negro""),Servicio doméstico,No se aplica,No se/prefiero no contestar"</formula1>
    </dataValidation>
    <dataValidation type="list" allowBlank="1" showErrorMessage="1" sqref="AX4:AX29 AX31:AX32 AX34:AX46 AX49 AX51:AX65 AX67:AX102 AX104:AX108 AX112 AX116:AX123 AX125:AX128 AX130 AX132:AX139">
      <formula1>"SI,NO,EX FUMADOR"</formula1>
    </dataValidation>
    <dataValidation type="list" allowBlank="1" showErrorMessage="1" sqref="W4:W107 W109:W139">
      <formula1>"Si,completamente,Si,parcialmente,No mucho,No,para nada"</formula1>
    </dataValidation>
    <dataValidation type="list" allowBlank="1" showErrorMessage="1" sqref="N4:N107 N111:N125 N127:N130 N132:N135 N137:N139">
      <formula1>"SI,0,1,2,3,4,5,48 HS ANTES"</formula1>
    </dataValidation>
    <dataValidation type="list" allowBlank="1" showErrorMessage="1" sqref="DX4:DX139">
      <formula1>"PROPIO,ALQUILADO,PRESTADO,OTROS,NO SE / PREFIERO NO CONTESTAR"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504" t="s">
        <v>0</v>
      </c>
      <c r="B1" s="505" t="s">
        <v>768</v>
      </c>
      <c r="C1" s="505" t="s">
        <v>769</v>
      </c>
      <c r="D1" s="505" t="s">
        <v>770</v>
      </c>
      <c r="E1" s="505" t="s">
        <v>771</v>
      </c>
    </row>
    <row r="2">
      <c r="A2" s="506" t="s">
        <v>128</v>
      </c>
      <c r="B2" s="507"/>
      <c r="C2" s="507"/>
      <c r="D2" s="507"/>
      <c r="E2" s="507"/>
    </row>
    <row r="3">
      <c r="A3" s="506" t="s">
        <v>142</v>
      </c>
      <c r="B3" s="507"/>
      <c r="C3" s="507"/>
      <c r="D3" s="507"/>
      <c r="E3" s="507"/>
    </row>
    <row r="4">
      <c r="A4" s="506" t="s">
        <v>148</v>
      </c>
      <c r="B4" s="507"/>
      <c r="C4" s="507"/>
      <c r="D4" s="507"/>
      <c r="E4" s="507"/>
    </row>
    <row r="5">
      <c r="A5" s="506" t="s">
        <v>152</v>
      </c>
      <c r="B5" s="507"/>
      <c r="C5" s="507"/>
      <c r="D5" s="507"/>
      <c r="E5" s="507"/>
    </row>
    <row r="6">
      <c r="A6" s="506" t="s">
        <v>154</v>
      </c>
      <c r="B6" s="507"/>
      <c r="C6" s="507"/>
      <c r="D6" s="507"/>
      <c r="E6" s="507"/>
    </row>
    <row r="7">
      <c r="A7" s="506" t="s">
        <v>159</v>
      </c>
      <c r="B7" s="507"/>
      <c r="C7" s="507"/>
      <c r="D7" s="507"/>
      <c r="E7" s="507"/>
    </row>
    <row r="8">
      <c r="A8" s="506" t="s">
        <v>163</v>
      </c>
      <c r="B8" s="507"/>
      <c r="C8" s="507"/>
      <c r="D8" s="507"/>
      <c r="E8" s="507"/>
    </row>
    <row r="9">
      <c r="A9" s="506" t="s">
        <v>164</v>
      </c>
      <c r="B9" s="507"/>
      <c r="C9" s="507"/>
      <c r="D9" s="507"/>
      <c r="E9" s="507"/>
    </row>
    <row r="10">
      <c r="A10" s="506" t="s">
        <v>168</v>
      </c>
      <c r="B10" s="507"/>
      <c r="C10" s="507"/>
      <c r="D10" s="507"/>
      <c r="E10" s="507"/>
    </row>
    <row r="11">
      <c r="A11" s="506" t="s">
        <v>173</v>
      </c>
      <c r="B11" s="507"/>
      <c r="C11" s="507"/>
      <c r="D11" s="507"/>
      <c r="E11" s="507"/>
    </row>
    <row r="12">
      <c r="A12" s="506" t="s">
        <v>772</v>
      </c>
      <c r="B12" s="507"/>
      <c r="C12" s="507"/>
      <c r="D12" s="507"/>
      <c r="E12" s="507"/>
    </row>
    <row r="13">
      <c r="A13" s="506" t="s">
        <v>174</v>
      </c>
      <c r="B13" s="507"/>
      <c r="C13" s="507"/>
      <c r="D13" s="507"/>
      <c r="E13" s="507"/>
    </row>
    <row r="14">
      <c r="A14" s="506" t="s">
        <v>179</v>
      </c>
      <c r="B14" s="507"/>
      <c r="C14" s="507"/>
      <c r="D14" s="507"/>
      <c r="E14" s="507"/>
    </row>
    <row r="15">
      <c r="A15" s="506" t="s">
        <v>182</v>
      </c>
      <c r="B15" s="507">
        <v>1.0</v>
      </c>
      <c r="C15" s="507">
        <v>14.931034482758623</v>
      </c>
      <c r="D15" s="507">
        <v>0.010818273092369476</v>
      </c>
      <c r="E15" s="507">
        <v>0.7945625</v>
      </c>
    </row>
    <row r="16">
      <c r="A16" s="506" t="s">
        <v>727</v>
      </c>
      <c r="B16" s="507"/>
      <c r="C16" s="507"/>
      <c r="D16" s="507"/>
      <c r="E16" s="507"/>
    </row>
    <row r="17">
      <c r="A17" s="506" t="s">
        <v>186</v>
      </c>
      <c r="B17" s="507"/>
      <c r="C17" s="507"/>
      <c r="D17" s="507"/>
      <c r="E17" s="507"/>
    </row>
    <row r="18">
      <c r="A18" s="506" t="s">
        <v>189</v>
      </c>
      <c r="B18" s="507">
        <v>2.0</v>
      </c>
      <c r="C18" s="507">
        <v>7.094827586206898</v>
      </c>
      <c r="D18" s="507">
        <v>0.010140562248995982</v>
      </c>
      <c r="E18" s="507">
        <v>0.9083125</v>
      </c>
    </row>
    <row r="19">
      <c r="A19" s="506" t="s">
        <v>194</v>
      </c>
      <c r="B19" s="507">
        <v>3.0</v>
      </c>
      <c r="C19" s="507">
        <v>9.327586206896553</v>
      </c>
      <c r="D19" s="507">
        <v>0.0107429718875502</v>
      </c>
      <c r="E19" s="507">
        <v>1.1813124999999998</v>
      </c>
    </row>
    <row r="20">
      <c r="A20" s="506" t="s">
        <v>199</v>
      </c>
      <c r="B20" s="507"/>
      <c r="C20" s="507"/>
      <c r="D20" s="507"/>
      <c r="E20" s="507"/>
    </row>
    <row r="21">
      <c r="A21" s="506" t="s">
        <v>204</v>
      </c>
      <c r="B21" s="507">
        <v>4.0</v>
      </c>
      <c r="C21" s="507">
        <v>9.702586206896552</v>
      </c>
      <c r="D21" s="507">
        <v>0.01109437751004016</v>
      </c>
      <c r="E21" s="507">
        <v>1.0191249999999998</v>
      </c>
    </row>
    <row r="22">
      <c r="A22" s="506" t="s">
        <v>208</v>
      </c>
      <c r="B22" s="507"/>
      <c r="C22" s="507"/>
      <c r="D22" s="507"/>
      <c r="E22" s="507"/>
    </row>
    <row r="23">
      <c r="A23" s="506" t="s">
        <v>210</v>
      </c>
      <c r="B23" s="507">
        <v>5.0</v>
      </c>
      <c r="C23" s="507">
        <v>7.9655172413793105</v>
      </c>
      <c r="D23" s="507">
        <v>0.01096887550200803</v>
      </c>
      <c r="E23" s="507">
        <v>1.218375</v>
      </c>
    </row>
    <row r="24">
      <c r="A24" s="506" t="s">
        <v>214</v>
      </c>
      <c r="B24" s="507">
        <v>6.0</v>
      </c>
      <c r="C24" s="507">
        <v>9.689655172413792</v>
      </c>
      <c r="D24" s="507">
        <v>0.013353413654618474</v>
      </c>
      <c r="E24" s="507">
        <v>0.8697499999999999</v>
      </c>
    </row>
    <row r="25">
      <c r="A25" s="506" t="s">
        <v>217</v>
      </c>
      <c r="B25" s="507"/>
      <c r="C25" s="507"/>
      <c r="D25" s="507"/>
      <c r="E25" s="507"/>
    </row>
    <row r="26">
      <c r="A26" s="506" t="s">
        <v>220</v>
      </c>
      <c r="B26" s="507">
        <v>7.0</v>
      </c>
      <c r="C26" s="507">
        <v>7.7284482758620685</v>
      </c>
      <c r="D26" s="507">
        <v>0.011044176706827308</v>
      </c>
      <c r="E26" s="507">
        <v>1.002875</v>
      </c>
    </row>
    <row r="27">
      <c r="A27" s="506" t="s">
        <v>223</v>
      </c>
      <c r="B27" s="507">
        <v>8.0</v>
      </c>
      <c r="C27" s="507">
        <v>13.13362068965517</v>
      </c>
      <c r="D27" s="507">
        <v>0.010692771084337348</v>
      </c>
      <c r="E27" s="507">
        <v>0.8377500000000001</v>
      </c>
    </row>
    <row r="28">
      <c r="A28" s="506" t="s">
        <v>226</v>
      </c>
      <c r="B28" s="507"/>
      <c r="C28" s="507"/>
      <c r="D28" s="507"/>
      <c r="E28" s="507"/>
    </row>
    <row r="29">
      <c r="A29" s="506" t="s">
        <v>227</v>
      </c>
      <c r="B29" s="507"/>
      <c r="C29" s="507"/>
      <c r="D29" s="507"/>
      <c r="E29" s="507"/>
    </row>
    <row r="30">
      <c r="A30" s="506" t="s">
        <v>231</v>
      </c>
      <c r="B30" s="507"/>
      <c r="C30" s="507"/>
      <c r="D30" s="507"/>
      <c r="E30" s="507"/>
    </row>
    <row r="31">
      <c r="A31" s="506" t="s">
        <v>233</v>
      </c>
      <c r="B31" s="507">
        <v>9.0</v>
      </c>
      <c r="C31" s="507">
        <v>8.862068965517242</v>
      </c>
      <c r="D31" s="507">
        <v>0.010517068273092367</v>
      </c>
      <c r="E31" s="507">
        <v>0.98525</v>
      </c>
    </row>
    <row r="32">
      <c r="A32" s="506" t="s">
        <v>236</v>
      </c>
      <c r="B32" s="507">
        <v>10.0</v>
      </c>
      <c r="C32" s="507">
        <v>7.439655172413792</v>
      </c>
      <c r="D32" s="507">
        <v>0.01177208835341365</v>
      </c>
      <c r="E32" s="507">
        <v>1.0223125</v>
      </c>
    </row>
    <row r="33">
      <c r="A33" s="506" t="s">
        <v>237</v>
      </c>
      <c r="B33" s="507">
        <v>11.0</v>
      </c>
      <c r="C33" s="507">
        <v>8.168103448275861</v>
      </c>
      <c r="D33" s="507">
        <v>0.01149598393574297</v>
      </c>
      <c r="E33" s="507">
        <v>0.9584374999999997</v>
      </c>
    </row>
    <row r="34">
      <c r="A34" s="506" t="s">
        <v>241</v>
      </c>
      <c r="B34" s="507"/>
      <c r="C34" s="507"/>
      <c r="D34" s="507"/>
      <c r="E34" s="507"/>
    </row>
    <row r="35">
      <c r="A35" s="506" t="s">
        <v>242</v>
      </c>
      <c r="B35" s="507">
        <v>12.0</v>
      </c>
      <c r="C35" s="507">
        <v>9.948275862068964</v>
      </c>
      <c r="D35" s="507">
        <v>0.011194779116465861</v>
      </c>
      <c r="E35" s="507">
        <v>0.9920624999999998</v>
      </c>
    </row>
    <row r="36">
      <c r="A36" s="506" t="s">
        <v>245</v>
      </c>
      <c r="B36" s="507">
        <v>13.0</v>
      </c>
      <c r="C36" s="507">
        <v>7.547413793103449</v>
      </c>
      <c r="D36" s="507">
        <v>0.011395582329317267</v>
      </c>
      <c r="E36" s="507">
        <v>1.0065</v>
      </c>
    </row>
    <row r="37">
      <c r="A37" s="506" t="s">
        <v>249</v>
      </c>
      <c r="B37" s="507">
        <v>14.0</v>
      </c>
      <c r="C37" s="507">
        <v>7.646551724137931</v>
      </c>
      <c r="D37" s="507">
        <v>0.011546184738955821</v>
      </c>
      <c r="E37" s="507">
        <v>0.8226875</v>
      </c>
    </row>
    <row r="38">
      <c r="A38" s="506" t="s">
        <v>250</v>
      </c>
      <c r="B38" s="507"/>
      <c r="C38" s="507"/>
      <c r="D38" s="507"/>
      <c r="E38" s="507"/>
    </row>
    <row r="39">
      <c r="A39" s="506" t="s">
        <v>253</v>
      </c>
      <c r="B39" s="507"/>
      <c r="C39" s="507"/>
      <c r="D39" s="507"/>
      <c r="E39" s="507"/>
    </row>
    <row r="40">
      <c r="A40" s="506" t="s">
        <v>255</v>
      </c>
      <c r="B40" s="507">
        <v>15.0</v>
      </c>
      <c r="C40" s="507">
        <v>7.112068965517243</v>
      </c>
      <c r="D40" s="507">
        <v>0.011445783132530118</v>
      </c>
      <c r="E40" s="507">
        <v>1.0316875</v>
      </c>
    </row>
    <row r="41">
      <c r="A41" s="506" t="s">
        <v>258</v>
      </c>
      <c r="B41" s="507">
        <v>16.0</v>
      </c>
      <c r="C41" s="507">
        <v>8.715517241379311</v>
      </c>
      <c r="D41" s="507">
        <v>0.010993975903614457</v>
      </c>
      <c r="E41" s="507">
        <v>1.015125</v>
      </c>
    </row>
    <row r="42">
      <c r="A42" s="506" t="s">
        <v>262</v>
      </c>
      <c r="B42" s="507">
        <v>17.0</v>
      </c>
      <c r="C42" s="507">
        <v>8.849137931034484</v>
      </c>
      <c r="D42" s="507">
        <v>0.011244979919678712</v>
      </c>
      <c r="E42" s="507">
        <v>0.6664999999999999</v>
      </c>
    </row>
    <row r="43">
      <c r="A43" s="506" t="s">
        <v>265</v>
      </c>
      <c r="B43" s="507"/>
      <c r="C43" s="507"/>
      <c r="D43" s="507"/>
      <c r="E43" s="507"/>
    </row>
    <row r="44">
      <c r="A44" s="506" t="s">
        <v>268</v>
      </c>
      <c r="B44" s="507"/>
      <c r="C44" s="507"/>
      <c r="D44" s="507"/>
      <c r="E44" s="507"/>
    </row>
    <row r="45">
      <c r="A45" s="506" t="s">
        <v>271</v>
      </c>
      <c r="B45" s="507"/>
      <c r="C45" s="507"/>
      <c r="D45" s="507"/>
      <c r="E45" s="507"/>
    </row>
    <row r="46">
      <c r="A46" s="506" t="s">
        <v>274</v>
      </c>
      <c r="B46" s="507"/>
      <c r="C46" s="507"/>
      <c r="D46" s="507"/>
      <c r="E46" s="507"/>
    </row>
    <row r="47">
      <c r="A47" s="506" t="s">
        <v>277</v>
      </c>
      <c r="B47" s="507">
        <v>18.0</v>
      </c>
      <c r="C47" s="507">
        <v>5.814655172413794</v>
      </c>
      <c r="D47" s="507">
        <v>0.011194779116465863</v>
      </c>
      <c r="E47" s="507">
        <v>0.8142499999999999</v>
      </c>
    </row>
    <row r="48">
      <c r="A48" s="506" t="s">
        <v>281</v>
      </c>
      <c r="B48" s="507">
        <v>19.0</v>
      </c>
      <c r="C48" s="507">
        <v>8.22844827586207</v>
      </c>
      <c r="D48" s="507">
        <v>0.01132028112449799</v>
      </c>
      <c r="E48" s="507">
        <v>1.1909375</v>
      </c>
    </row>
    <row r="49">
      <c r="A49" s="506" t="s">
        <v>282</v>
      </c>
      <c r="B49" s="507"/>
      <c r="C49" s="507"/>
      <c r="D49" s="507"/>
      <c r="E49" s="507"/>
    </row>
    <row r="50">
      <c r="A50" s="506" t="s">
        <v>283</v>
      </c>
      <c r="B50" s="507"/>
      <c r="C50" s="507"/>
      <c r="D50" s="507"/>
      <c r="E50" s="507"/>
    </row>
    <row r="51">
      <c r="A51" s="506" t="s">
        <v>288</v>
      </c>
      <c r="B51" s="507">
        <v>20.0</v>
      </c>
      <c r="C51" s="507">
        <v>7.357758620689657</v>
      </c>
      <c r="D51" s="507">
        <v>0.01127008032128514</v>
      </c>
      <c r="E51" s="507">
        <v>0.8346875</v>
      </c>
    </row>
    <row r="52">
      <c r="A52" s="506" t="s">
        <v>291</v>
      </c>
    </row>
    <row r="53">
      <c r="A53" s="506" t="s">
        <v>294</v>
      </c>
      <c r="B53" s="507"/>
      <c r="C53" s="507"/>
      <c r="D53" s="507"/>
      <c r="E53" s="507"/>
    </row>
    <row r="54">
      <c r="A54" s="506" t="s">
        <v>298</v>
      </c>
      <c r="B54" s="507"/>
      <c r="C54" s="507"/>
      <c r="D54" s="507"/>
      <c r="E54" s="507"/>
    </row>
    <row r="55">
      <c r="A55" s="506" t="s">
        <v>300</v>
      </c>
      <c r="B55" s="507"/>
      <c r="C55" s="507"/>
      <c r="D55" s="507"/>
      <c r="E55" s="507"/>
    </row>
    <row r="56">
      <c r="A56" s="506" t="s">
        <v>301</v>
      </c>
      <c r="B56" s="507"/>
      <c r="C56" s="507"/>
      <c r="D56" s="507"/>
      <c r="E56" s="507"/>
    </row>
    <row r="57">
      <c r="A57" s="506" t="s">
        <v>302</v>
      </c>
      <c r="B57" s="507"/>
      <c r="C57" s="507"/>
      <c r="D57" s="507"/>
      <c r="E57" s="507"/>
    </row>
    <row r="58">
      <c r="A58" s="506" t="s">
        <v>305</v>
      </c>
      <c r="B58" s="507"/>
      <c r="C58" s="507"/>
      <c r="D58" s="507"/>
      <c r="E58" s="507"/>
    </row>
    <row r="59">
      <c r="A59" s="506" t="s">
        <v>309</v>
      </c>
      <c r="B59" s="507">
        <v>21.0</v>
      </c>
      <c r="C59" s="507">
        <v>7.344827586206896</v>
      </c>
      <c r="D59" s="507">
        <v>0.011144578313253009</v>
      </c>
      <c r="E59" s="507">
        <v>0.7004375</v>
      </c>
    </row>
    <row r="60">
      <c r="A60" s="506" t="s">
        <v>311</v>
      </c>
      <c r="B60" s="507"/>
      <c r="C60" s="507"/>
      <c r="D60" s="507"/>
      <c r="E60" s="507"/>
    </row>
    <row r="61">
      <c r="A61" s="506" t="s">
        <v>313</v>
      </c>
      <c r="B61" s="507"/>
      <c r="C61" s="507"/>
      <c r="D61" s="507"/>
      <c r="E61" s="507"/>
    </row>
    <row r="62">
      <c r="A62" s="506" t="s">
        <v>315</v>
      </c>
      <c r="B62" s="507">
        <v>22.0</v>
      </c>
      <c r="C62" s="507">
        <v>6.181034482758622</v>
      </c>
      <c r="D62" s="507">
        <v>0.011947791164658631</v>
      </c>
      <c r="E62" s="507">
        <v>0.8595</v>
      </c>
    </row>
    <row r="63">
      <c r="A63" s="506" t="s">
        <v>317</v>
      </c>
      <c r="B63" s="507"/>
      <c r="C63" s="507"/>
      <c r="D63" s="507"/>
      <c r="E63" s="507"/>
    </row>
    <row r="64">
      <c r="A64" s="506" t="s">
        <v>319</v>
      </c>
      <c r="B64" s="507"/>
      <c r="C64" s="507"/>
      <c r="D64" s="507"/>
      <c r="E64" s="507"/>
    </row>
    <row r="65">
      <c r="A65" s="506" t="s">
        <v>324</v>
      </c>
      <c r="B65" s="507">
        <v>23.0</v>
      </c>
      <c r="C65" s="507">
        <v>5.982758620689657</v>
      </c>
      <c r="D65" s="507">
        <v>0.011345381526104415</v>
      </c>
      <c r="E65" s="507">
        <v>0.9824999999999997</v>
      </c>
    </row>
    <row r="66">
      <c r="A66" s="506" t="s">
        <v>327</v>
      </c>
    </row>
    <row r="67">
      <c r="A67" s="506" t="s">
        <v>329</v>
      </c>
    </row>
    <row r="68">
      <c r="A68" s="506" t="s">
        <v>336</v>
      </c>
    </row>
    <row r="69">
      <c r="A69" s="506" t="s">
        <v>338</v>
      </c>
    </row>
    <row r="70">
      <c r="A70" s="506" t="s">
        <v>342</v>
      </c>
    </row>
    <row r="71">
      <c r="A71" s="506" t="s">
        <v>346</v>
      </c>
      <c r="B71" s="89" t="s">
        <v>773</v>
      </c>
      <c r="C71" s="507">
        <v>7.814655172413794</v>
      </c>
      <c r="D71" s="507">
        <v>0.010843373493975902</v>
      </c>
      <c r="E71" s="507">
        <v>0.6633749999999999</v>
      </c>
    </row>
    <row r="72">
      <c r="A72" s="506" t="s">
        <v>347</v>
      </c>
      <c r="B72" s="507"/>
      <c r="C72" s="507"/>
      <c r="D72" s="507"/>
      <c r="E72" s="507"/>
    </row>
    <row r="73">
      <c r="A73" s="506" t="s">
        <v>350</v>
      </c>
      <c r="B73" s="89" t="s">
        <v>774</v>
      </c>
      <c r="C73" s="507">
        <v>6.620689655172414</v>
      </c>
      <c r="D73" s="507">
        <v>0.010466867469879517</v>
      </c>
      <c r="E73" s="507">
        <v>0.9710624999999997</v>
      </c>
    </row>
    <row r="74">
      <c r="A74" s="506" t="s">
        <v>351</v>
      </c>
      <c r="B74" s="89"/>
      <c r="C74" s="507"/>
      <c r="D74" s="507"/>
      <c r="E74" s="507"/>
    </row>
    <row r="75">
      <c r="A75" s="506" t="s">
        <v>355</v>
      </c>
      <c r="B75" s="89" t="s">
        <v>775</v>
      </c>
      <c r="C75" s="507">
        <v>7.25</v>
      </c>
      <c r="D75" s="507">
        <v>0.010642570281124497</v>
      </c>
      <c r="E75" s="507">
        <v>1.1476875</v>
      </c>
    </row>
    <row r="76">
      <c r="A76" s="506" t="s">
        <v>356</v>
      </c>
      <c r="B76" s="89" t="s">
        <v>776</v>
      </c>
      <c r="C76" s="507">
        <v>5.724137931034484</v>
      </c>
      <c r="D76" s="507">
        <v>0.010592369477911645</v>
      </c>
      <c r="E76" s="507">
        <v>0.924</v>
      </c>
    </row>
    <row r="77">
      <c r="A77" s="506" t="s">
        <v>357</v>
      </c>
    </row>
    <row r="78">
      <c r="A78" s="506" t="s">
        <v>742</v>
      </c>
    </row>
    <row r="79">
      <c r="A79" s="506" t="s">
        <v>358</v>
      </c>
    </row>
    <row r="80">
      <c r="A80" s="506" t="s">
        <v>359</v>
      </c>
    </row>
    <row r="81">
      <c r="A81" s="506" t="s">
        <v>361</v>
      </c>
    </row>
    <row r="82">
      <c r="A82" s="506" t="s">
        <v>363</v>
      </c>
      <c r="B82" s="507"/>
      <c r="C82" s="507"/>
      <c r="D82" s="507"/>
      <c r="E82" s="507"/>
    </row>
    <row r="83">
      <c r="A83" s="506" t="s">
        <v>364</v>
      </c>
      <c r="B83" s="89" t="s">
        <v>777</v>
      </c>
      <c r="C83" s="507">
        <v>8.40948275862069</v>
      </c>
      <c r="D83" s="507">
        <v>0.011119477911646584</v>
      </c>
      <c r="E83" s="507">
        <v>0.909875</v>
      </c>
    </row>
    <row r="84">
      <c r="A84" s="506" t="s">
        <v>365</v>
      </c>
      <c r="B84" s="507"/>
      <c r="C84" s="507"/>
      <c r="D84" s="507"/>
      <c r="E84" s="507"/>
    </row>
    <row r="85">
      <c r="A85" s="506" t="s">
        <v>368</v>
      </c>
      <c r="B85" s="507"/>
      <c r="C85" s="507"/>
      <c r="D85" s="507"/>
      <c r="E85" s="507"/>
    </row>
    <row r="86">
      <c r="A86" s="506" t="s">
        <v>370</v>
      </c>
      <c r="B86" s="507"/>
      <c r="C86" s="507"/>
      <c r="D86" s="507"/>
      <c r="E86" s="507"/>
    </row>
    <row r="87">
      <c r="A87" s="506" t="s">
        <v>371</v>
      </c>
      <c r="B87" s="507"/>
      <c r="C87" s="507"/>
      <c r="D87" s="507"/>
      <c r="E87" s="507"/>
    </row>
    <row r="88">
      <c r="A88" s="506" t="s">
        <v>372</v>
      </c>
      <c r="B88" s="507"/>
      <c r="C88" s="507"/>
      <c r="D88" s="507"/>
      <c r="E88" s="507"/>
    </row>
    <row r="89">
      <c r="A89" s="506" t="s">
        <v>374</v>
      </c>
      <c r="B89" s="507"/>
      <c r="C89" s="507"/>
      <c r="D89" s="507"/>
      <c r="E89" s="507"/>
    </row>
    <row r="90">
      <c r="A90" s="506" t="s">
        <v>375</v>
      </c>
    </row>
    <row r="91">
      <c r="A91" s="506" t="s">
        <v>379</v>
      </c>
      <c r="B91" s="89" t="s">
        <v>778</v>
      </c>
      <c r="C91" s="507">
        <v>6.8965517241379315</v>
      </c>
      <c r="D91" s="507">
        <v>0.010592369477911645</v>
      </c>
      <c r="E91" s="507">
        <v>0.9081875</v>
      </c>
    </row>
    <row r="92">
      <c r="A92" s="506" t="s">
        <v>381</v>
      </c>
    </row>
    <row r="93">
      <c r="A93" s="506" t="s">
        <v>779</v>
      </c>
    </row>
    <row r="94">
      <c r="A94" s="506" t="s">
        <v>383</v>
      </c>
      <c r="B94" s="507">
        <v>29.0</v>
      </c>
      <c r="C94" s="507">
        <v>6.97844827586207</v>
      </c>
      <c r="D94" s="507">
        <v>0.011119477911646584</v>
      </c>
      <c r="E94" s="507">
        <v>0.864375</v>
      </c>
    </row>
    <row r="95">
      <c r="A95" s="508" t="s">
        <v>386</v>
      </c>
      <c r="B95" s="507"/>
      <c r="C95" s="507"/>
      <c r="D95" s="507"/>
      <c r="E95" s="507"/>
    </row>
    <row r="96">
      <c r="A96" s="508" t="s">
        <v>387</v>
      </c>
      <c r="B96" s="507"/>
      <c r="C96" s="507"/>
      <c r="D96" s="507"/>
      <c r="E96" s="507"/>
    </row>
    <row r="97">
      <c r="A97" s="508" t="s">
        <v>389</v>
      </c>
      <c r="B97" s="507"/>
      <c r="C97" s="507"/>
      <c r="D97" s="507"/>
      <c r="E97" s="507"/>
    </row>
    <row r="98">
      <c r="A98" s="508" t="s">
        <v>390</v>
      </c>
      <c r="B98" s="507"/>
      <c r="C98" s="507"/>
      <c r="D98" s="507"/>
      <c r="E98" s="507"/>
    </row>
    <row r="99">
      <c r="A99" s="508" t="s">
        <v>395</v>
      </c>
      <c r="B99" s="507"/>
      <c r="C99" s="507"/>
      <c r="D99" s="507"/>
      <c r="E99" s="507"/>
    </row>
    <row r="100">
      <c r="A100" s="508" t="s">
        <v>399</v>
      </c>
    </row>
    <row r="101">
      <c r="A101" s="508" t="s">
        <v>406</v>
      </c>
    </row>
    <row r="102">
      <c r="A102" s="508" t="s">
        <v>411</v>
      </c>
    </row>
    <row r="103">
      <c r="A103" s="508" t="s">
        <v>412</v>
      </c>
    </row>
    <row r="104">
      <c r="A104" s="508" t="s">
        <v>414</v>
      </c>
    </row>
    <row r="105">
      <c r="A105" s="508" t="s">
        <v>417</v>
      </c>
      <c r="B105" s="507"/>
      <c r="C105" s="507"/>
      <c r="D105" s="507"/>
      <c r="E105" s="507"/>
    </row>
    <row r="106">
      <c r="A106" s="508" t="s">
        <v>418</v>
      </c>
      <c r="B106" s="507"/>
      <c r="C106" s="507"/>
      <c r="D106" s="507"/>
      <c r="E106" s="507"/>
    </row>
    <row r="107">
      <c r="A107" s="508" t="s">
        <v>419</v>
      </c>
      <c r="B107" s="507"/>
      <c r="C107" s="507"/>
      <c r="D107" s="507"/>
      <c r="E107" s="507"/>
    </row>
    <row r="108">
      <c r="A108" s="508" t="s">
        <v>422</v>
      </c>
      <c r="B108" s="507"/>
      <c r="C108" s="507"/>
      <c r="D108" s="507"/>
      <c r="E108" s="507"/>
    </row>
    <row r="109">
      <c r="A109" s="508" t="s">
        <v>423</v>
      </c>
      <c r="B109" s="507"/>
      <c r="C109" s="507"/>
      <c r="D109" s="507"/>
      <c r="E109" s="507"/>
    </row>
    <row r="110">
      <c r="A110" s="508" t="s">
        <v>425</v>
      </c>
      <c r="B110" s="507"/>
      <c r="C110" s="507"/>
      <c r="D110" s="507"/>
      <c r="E110" s="507"/>
    </row>
    <row r="111">
      <c r="A111" s="508" t="s">
        <v>427</v>
      </c>
      <c r="B111" s="507"/>
      <c r="C111" s="507"/>
      <c r="D111" s="507"/>
      <c r="E111" s="507"/>
    </row>
    <row r="112">
      <c r="A112" s="508" t="s">
        <v>429</v>
      </c>
      <c r="B112" s="507"/>
      <c r="C112" s="507"/>
      <c r="D112" s="507"/>
      <c r="E112" s="507"/>
    </row>
    <row r="113">
      <c r="A113" s="508" t="s">
        <v>432</v>
      </c>
      <c r="B113" s="507"/>
      <c r="C113" s="507"/>
      <c r="D113" s="507"/>
      <c r="E113" s="507"/>
    </row>
    <row r="114">
      <c r="A114" s="508" t="s">
        <v>434</v>
      </c>
    </row>
    <row r="115">
      <c r="A115" s="508" t="s">
        <v>436</v>
      </c>
    </row>
    <row r="116">
      <c r="A116" s="508" t="s">
        <v>439</v>
      </c>
    </row>
    <row r="117">
      <c r="A117" s="508" t="s">
        <v>440</v>
      </c>
    </row>
    <row r="118">
      <c r="A118" s="506" t="s">
        <v>442</v>
      </c>
    </row>
    <row r="119">
      <c r="A119" s="506" t="s">
        <v>446</v>
      </c>
      <c r="B119" s="507"/>
      <c r="C119" s="507"/>
      <c r="D119" s="507"/>
      <c r="E119" s="507"/>
    </row>
    <row r="120">
      <c r="A120" s="506" t="s">
        <v>448</v>
      </c>
      <c r="B120" s="507"/>
      <c r="C120" s="507"/>
      <c r="D120" s="507"/>
      <c r="E120" s="507"/>
    </row>
    <row r="121">
      <c r="A121" s="506" t="s">
        <v>452</v>
      </c>
      <c r="B121" s="507">
        <v>24.0</v>
      </c>
      <c r="C121" s="507">
        <v>6.469827586206897</v>
      </c>
      <c r="D121" s="507">
        <v>0.011546184738955821</v>
      </c>
      <c r="E121" s="507">
        <v>0.9486249999999999</v>
      </c>
    </row>
    <row r="122">
      <c r="A122" s="506" t="s">
        <v>454</v>
      </c>
    </row>
    <row r="123">
      <c r="A123" s="508" t="s">
        <v>456</v>
      </c>
    </row>
    <row r="124">
      <c r="A124" s="508" t="s">
        <v>459</v>
      </c>
    </row>
    <row r="125">
      <c r="A125" s="508" t="s">
        <v>463</v>
      </c>
    </row>
    <row r="126">
      <c r="A126" s="508" t="s">
        <v>467</v>
      </c>
      <c r="B126" s="507">
        <v>25.0</v>
      </c>
      <c r="C126" s="507">
        <v>6.870689655172413</v>
      </c>
      <c r="D126" s="507">
        <v>0.011194779116465861</v>
      </c>
      <c r="E126" s="507">
        <v>1.000375</v>
      </c>
    </row>
    <row r="127">
      <c r="A127" s="508" t="s">
        <v>471</v>
      </c>
      <c r="B127" s="507">
        <v>26.0</v>
      </c>
      <c r="C127" s="507">
        <v>7.883620689655175</v>
      </c>
      <c r="D127" s="507">
        <v>0.011922690763052206</v>
      </c>
      <c r="E127" s="507">
        <v>0.9783125</v>
      </c>
    </row>
    <row r="128">
      <c r="A128" s="508" t="s">
        <v>473</v>
      </c>
    </row>
    <row r="129">
      <c r="A129" s="508" t="s">
        <v>474</v>
      </c>
      <c r="B129" s="507"/>
      <c r="C129" s="507"/>
      <c r="D129" s="507"/>
      <c r="E129" s="507"/>
    </row>
    <row r="130">
      <c r="A130" s="508" t="s">
        <v>477</v>
      </c>
      <c r="B130" s="507"/>
      <c r="C130" s="507"/>
      <c r="D130" s="507"/>
      <c r="E130" s="507"/>
    </row>
    <row r="131">
      <c r="A131" s="508" t="s">
        <v>478</v>
      </c>
      <c r="B131" s="507"/>
      <c r="C131" s="507"/>
      <c r="D131" s="507"/>
      <c r="E131" s="507"/>
    </row>
    <row r="132">
      <c r="A132" s="508" t="s">
        <v>480</v>
      </c>
      <c r="B132" s="507"/>
      <c r="C132" s="507"/>
      <c r="D132" s="507"/>
      <c r="E132" s="507"/>
    </row>
    <row r="133">
      <c r="A133" s="508" t="s">
        <v>484</v>
      </c>
      <c r="B133" s="507">
        <v>27.0</v>
      </c>
      <c r="C133" s="507">
        <v>6.8663793103448265</v>
      </c>
      <c r="D133" s="507">
        <v>0.012098393574297185</v>
      </c>
      <c r="E133" s="507">
        <v>1.1286874999999998</v>
      </c>
    </row>
    <row r="134">
      <c r="A134" s="508" t="s">
        <v>488</v>
      </c>
      <c r="B134" s="507"/>
      <c r="C134" s="507"/>
      <c r="D134" s="507"/>
      <c r="E134" s="507"/>
    </row>
    <row r="135">
      <c r="A135" s="508" t="s">
        <v>490</v>
      </c>
    </row>
    <row r="136">
      <c r="A136" s="508" t="s">
        <v>491</v>
      </c>
      <c r="B136" s="507"/>
      <c r="C136" s="507"/>
      <c r="D136" s="507"/>
      <c r="E136" s="507"/>
    </row>
    <row r="137">
      <c r="A137" s="508" t="s">
        <v>492</v>
      </c>
      <c r="B137" s="507">
        <v>28.0</v>
      </c>
      <c r="C137" s="507">
        <v>6.142241379310345</v>
      </c>
      <c r="D137" s="507">
        <v>0.010968875502008032</v>
      </c>
      <c r="E137" s="507">
        <v>1.0428125000000001</v>
      </c>
    </row>
    <row r="138">
      <c r="A138" s="508" t="s">
        <v>494</v>
      </c>
    </row>
    <row r="139">
      <c r="A139" s="508" t="s">
        <v>497</v>
      </c>
      <c r="B139" s="507"/>
      <c r="C139" s="507"/>
      <c r="D139" s="507"/>
      <c r="E139" s="507"/>
    </row>
    <row r="140">
      <c r="A140" s="508" t="s">
        <v>500</v>
      </c>
      <c r="B140" s="507">
        <v>30.0</v>
      </c>
      <c r="C140" s="507">
        <v>7.413793103448278</v>
      </c>
      <c r="D140" s="507">
        <v>0.010843373493975902</v>
      </c>
      <c r="E140" s="507">
        <v>1.11825</v>
      </c>
    </row>
    <row r="141">
      <c r="A141" s="508" t="s">
        <v>503</v>
      </c>
      <c r="B141" s="507">
        <v>31.0</v>
      </c>
      <c r="C141" s="507">
        <v>7.586206896551726</v>
      </c>
      <c r="D141" s="507">
        <v>0.010943775100401605</v>
      </c>
      <c r="E141" s="507">
        <v>1.2220624999999998</v>
      </c>
    </row>
    <row r="142">
      <c r="A142" s="508" t="s">
        <v>506</v>
      </c>
      <c r="B142" s="507">
        <v>32.0</v>
      </c>
      <c r="C142" s="507">
        <v>5.969590643274853</v>
      </c>
      <c r="D142" s="507">
        <v>0.01174719887955182</v>
      </c>
      <c r="E142" s="89"/>
    </row>
    <row r="143">
      <c r="A143" s="508" t="s">
        <v>510</v>
      </c>
      <c r="B143" s="507">
        <v>33.0</v>
      </c>
      <c r="C143" s="507">
        <v>4.382066276803118</v>
      </c>
      <c r="D143" s="507">
        <v>0.011160714285714282</v>
      </c>
      <c r="E143" s="89"/>
    </row>
    <row r="144">
      <c r="A144" s="508" t="s">
        <v>512</v>
      </c>
      <c r="B144" s="507">
        <v>34.0</v>
      </c>
      <c r="C144" s="507">
        <v>3.0003898635477584</v>
      </c>
      <c r="D144" s="507">
        <v>0.01187850140056022</v>
      </c>
      <c r="E144" s="89"/>
    </row>
    <row r="145">
      <c r="A145" s="508" t="s">
        <v>515</v>
      </c>
      <c r="B145" s="507">
        <v>35.0</v>
      </c>
      <c r="C145" s="507">
        <v>4.330604288499026</v>
      </c>
      <c r="D145" s="507">
        <v>0.013270308123249298</v>
      </c>
      <c r="E145" s="89"/>
    </row>
    <row r="146">
      <c r="A146" s="508" t="s">
        <v>518</v>
      </c>
      <c r="B146" s="507">
        <v>36.0</v>
      </c>
      <c r="C146" s="507">
        <v>4.4756335282651065</v>
      </c>
      <c r="D146" s="507">
        <v>0.010582983193277313</v>
      </c>
      <c r="E146" s="89"/>
    </row>
    <row r="147">
      <c r="A147" s="508" t="s">
        <v>520</v>
      </c>
      <c r="B147" s="507">
        <v>37.0</v>
      </c>
      <c r="C147" s="507">
        <v>5.102534113060429</v>
      </c>
      <c r="D147" s="507">
        <v>0.010084033613445377</v>
      </c>
      <c r="E147" s="89"/>
      <c r="F147" s="507"/>
      <c r="G147" s="507"/>
      <c r="H147" s="507"/>
      <c r="I147" s="507"/>
    </row>
    <row r="148">
      <c r="A148" s="509" t="s">
        <v>521</v>
      </c>
      <c r="B148" s="507">
        <v>38.0</v>
      </c>
      <c r="C148" s="507">
        <v>5.46588693957115</v>
      </c>
      <c r="D148" s="507">
        <v>0.012526260504201676</v>
      </c>
      <c r="E148" s="89"/>
    </row>
    <row r="149">
      <c r="A149" s="508" t="s">
        <v>523</v>
      </c>
      <c r="B149" s="507">
        <v>39.0</v>
      </c>
      <c r="C149" s="507">
        <v>18.76803118908382</v>
      </c>
      <c r="D149" s="507">
        <v>0.013996848739495794</v>
      </c>
      <c r="E149" s="89"/>
    </row>
    <row r="150">
      <c r="A150" s="508" t="s">
        <v>526</v>
      </c>
      <c r="B150" s="507">
        <v>40.0</v>
      </c>
      <c r="C150" s="507">
        <v>4.991812865497076</v>
      </c>
      <c r="D150" s="507">
        <v>0.012473739495798317</v>
      </c>
      <c r="E150" s="89"/>
    </row>
    <row r="151">
      <c r="A151" s="508" t="s">
        <v>527</v>
      </c>
      <c r="B151" s="507">
        <v>41.0</v>
      </c>
      <c r="C151" s="507">
        <v>3.5711500974658867</v>
      </c>
      <c r="D151" s="507">
        <v>0.012972689075630253</v>
      </c>
      <c r="E151" s="89"/>
      <c r="J151" s="89"/>
    </row>
    <row r="152">
      <c r="A152" s="509" t="s">
        <v>529</v>
      </c>
      <c r="B152" s="507">
        <v>42.0</v>
      </c>
      <c r="C152" s="507">
        <v>5.180506822612085</v>
      </c>
      <c r="D152" s="507">
        <v>0.01145833333333333</v>
      </c>
    </row>
    <row r="153">
      <c r="A153" s="509" t="s">
        <v>532</v>
      </c>
      <c r="B153" s="507">
        <v>43.0</v>
      </c>
      <c r="C153" s="507">
        <v>4.463157894736842</v>
      </c>
      <c r="D153" s="507">
        <v>0.012001050420168068</v>
      </c>
      <c r="E153" s="89"/>
    </row>
    <row r="154">
      <c r="A154" s="508" t="s">
        <v>533</v>
      </c>
      <c r="B154" s="507">
        <v>59.0</v>
      </c>
      <c r="C154" s="507">
        <v>3.762962962962963</v>
      </c>
      <c r="D154" s="507">
        <v>0.01180847338935574</v>
      </c>
      <c r="E154" s="89"/>
    </row>
    <row r="155">
      <c r="A155" s="508" t="s">
        <v>538</v>
      </c>
      <c r="B155" s="507">
        <v>44.0</v>
      </c>
      <c r="C155" s="507">
        <v>4.076413255360624</v>
      </c>
      <c r="D155" s="507">
        <v>0.012753851540616243</v>
      </c>
      <c r="E155" s="89"/>
    </row>
    <row r="156">
      <c r="A156" s="508" t="s">
        <v>540</v>
      </c>
      <c r="B156" s="507">
        <v>45.0</v>
      </c>
      <c r="C156" s="507">
        <v>4.874853801169591</v>
      </c>
      <c r="D156" s="507">
        <v>0.013900560224089632</v>
      </c>
      <c r="E156" s="89"/>
    </row>
    <row r="157">
      <c r="A157" s="508" t="s">
        <v>542</v>
      </c>
      <c r="B157" s="507">
        <v>46.0</v>
      </c>
      <c r="C157" s="507">
        <v>22.05692007797271</v>
      </c>
      <c r="D157" s="507">
        <v>0.012683823529411763</v>
      </c>
      <c r="E157" s="89"/>
    </row>
    <row r="158">
      <c r="A158" s="508" t="s">
        <v>543</v>
      </c>
      <c r="B158" s="507">
        <v>47.0</v>
      </c>
      <c r="C158" s="507">
        <v>2.8101364522417156</v>
      </c>
      <c r="D158" s="507">
        <v>0.010705532212885152</v>
      </c>
      <c r="E158" s="89"/>
    </row>
    <row r="159">
      <c r="A159" s="508" t="s">
        <v>546</v>
      </c>
      <c r="B159" s="507">
        <v>48.0</v>
      </c>
      <c r="C159" s="507">
        <v>3.472904483430799</v>
      </c>
      <c r="D159" s="507">
        <v>0.010092787114845935</v>
      </c>
      <c r="E159" s="89"/>
    </row>
    <row r="160">
      <c r="A160" s="508" t="s">
        <v>548</v>
      </c>
      <c r="B160" s="507">
        <v>49.0</v>
      </c>
      <c r="C160" s="507">
        <v>11.281091617933722</v>
      </c>
      <c r="D160" s="507">
        <v>0.011265756302521007</v>
      </c>
      <c r="E160" s="89"/>
    </row>
    <row r="161">
      <c r="A161" s="508" t="s">
        <v>550</v>
      </c>
      <c r="B161" s="507">
        <v>50.0</v>
      </c>
      <c r="C161" s="507">
        <v>3.433918128654971</v>
      </c>
      <c r="D161" s="507">
        <v>0.013156512605042017</v>
      </c>
      <c r="E161" s="89"/>
    </row>
    <row r="162">
      <c r="A162" s="508" t="s">
        <v>553</v>
      </c>
      <c r="B162" s="507">
        <v>51.0</v>
      </c>
      <c r="C162" s="507">
        <v>5.473684210526316</v>
      </c>
      <c r="D162" s="507">
        <v>0.01129201680672269</v>
      </c>
      <c r="E162" s="89"/>
    </row>
    <row r="163">
      <c r="A163" s="508" t="s">
        <v>555</v>
      </c>
      <c r="B163" s="507">
        <v>52.0</v>
      </c>
      <c r="C163" s="507">
        <v>4.130994152046784</v>
      </c>
      <c r="D163" s="507">
        <v>0.018995098039215685</v>
      </c>
      <c r="E163" s="89"/>
    </row>
    <row r="164">
      <c r="A164" s="508" t="s">
        <v>557</v>
      </c>
      <c r="B164" s="507">
        <v>53.0</v>
      </c>
      <c r="C164" s="507">
        <v>5.3317738791423</v>
      </c>
      <c r="D164" s="507">
        <v>0.011467086834733894</v>
      </c>
      <c r="E164" s="89"/>
    </row>
    <row r="165">
      <c r="A165" s="508" t="s">
        <v>559</v>
      </c>
      <c r="B165" s="89" t="s">
        <v>780</v>
      </c>
      <c r="C165" s="507">
        <v>8.676724137931036</v>
      </c>
      <c r="D165" s="507">
        <v>0.010667670682730923</v>
      </c>
      <c r="E165" s="89"/>
    </row>
    <row r="166">
      <c r="A166" s="508" t="s">
        <v>561</v>
      </c>
      <c r="B166" s="507">
        <v>54.0</v>
      </c>
      <c r="C166" s="507">
        <v>4.848343079922027</v>
      </c>
      <c r="D166" s="507">
        <v>0.011081932773109239</v>
      </c>
      <c r="E166" s="89"/>
    </row>
    <row r="167">
      <c r="A167" s="508" t="s">
        <v>563</v>
      </c>
      <c r="B167" s="89" t="s">
        <v>781</v>
      </c>
      <c r="C167" s="507">
        <v>7.614814814814815</v>
      </c>
      <c r="D167" s="507">
        <v>0.008543417366946776</v>
      </c>
      <c r="E167" s="507">
        <v>0.8870625</v>
      </c>
    </row>
    <row r="168">
      <c r="A168" s="508" t="s">
        <v>564</v>
      </c>
      <c r="B168" s="507">
        <v>55.0</v>
      </c>
      <c r="C168" s="507">
        <v>5.258479532163743</v>
      </c>
      <c r="D168" s="507">
        <v>0.015817577030812324</v>
      </c>
      <c r="E168" s="89"/>
    </row>
    <row r="169">
      <c r="A169" s="508" t="s">
        <v>567</v>
      </c>
      <c r="B169" s="507">
        <v>63.0</v>
      </c>
      <c r="C169" s="507">
        <v>8.93411306042885</v>
      </c>
      <c r="D169" s="507">
        <v>0.012753851540616243</v>
      </c>
      <c r="E169" s="89"/>
    </row>
    <row r="170">
      <c r="A170" s="509" t="s">
        <v>570</v>
      </c>
      <c r="B170" s="89" t="s">
        <v>782</v>
      </c>
      <c r="C170" s="507">
        <v>12.318965517241377</v>
      </c>
      <c r="D170" s="507">
        <v>0.010717871485943773</v>
      </c>
      <c r="E170" s="507">
        <v>0.83175</v>
      </c>
    </row>
    <row r="171">
      <c r="A171" s="508" t="s">
        <v>571</v>
      </c>
      <c r="B171" s="507">
        <v>56.0</v>
      </c>
      <c r="C171" s="507">
        <v>4.642495126705653</v>
      </c>
      <c r="D171" s="507">
        <v>0.01145833333333333</v>
      </c>
      <c r="E171" s="89"/>
    </row>
    <row r="172">
      <c r="A172" s="508" t="s">
        <v>573</v>
      </c>
      <c r="B172" s="89" t="s">
        <v>783</v>
      </c>
      <c r="C172" s="507">
        <v>7.6912280701754385</v>
      </c>
      <c r="D172" s="507">
        <v>0.010968137254901958</v>
      </c>
      <c r="E172" s="89"/>
    </row>
    <row r="173">
      <c r="A173" s="508" t="s">
        <v>576</v>
      </c>
      <c r="B173" s="507">
        <v>57.0</v>
      </c>
      <c r="C173" s="507">
        <v>5.094736842105264</v>
      </c>
      <c r="D173" s="507">
        <v>0.013681722689075632</v>
      </c>
    </row>
    <row r="174">
      <c r="A174" s="508" t="s">
        <v>580</v>
      </c>
      <c r="B174" s="507">
        <v>60.0</v>
      </c>
      <c r="C174" s="507">
        <v>4.575438596491229</v>
      </c>
      <c r="D174" s="507">
        <v>0.011887254901960779</v>
      </c>
      <c r="E174" s="89"/>
    </row>
    <row r="175">
      <c r="A175" s="509" t="s">
        <v>582</v>
      </c>
      <c r="B175" s="507">
        <v>62.0</v>
      </c>
      <c r="C175" s="507">
        <v>4.793762183235868</v>
      </c>
      <c r="D175" s="507">
        <v>0.01410189075630252</v>
      </c>
      <c r="E175" s="507"/>
    </row>
    <row r="176">
      <c r="A176" s="508" t="s">
        <v>584</v>
      </c>
      <c r="B176" s="507">
        <v>58.0</v>
      </c>
      <c r="C176" s="507">
        <v>5.177387914230019</v>
      </c>
      <c r="D176" s="507">
        <v>0.011607142857142852</v>
      </c>
      <c r="E176" s="507">
        <v>0.8853749999999999</v>
      </c>
    </row>
    <row r="177">
      <c r="A177" s="508" t="s">
        <v>588</v>
      </c>
      <c r="B177" s="507">
        <v>61.0</v>
      </c>
      <c r="C177" s="507">
        <v>4.692397660818713</v>
      </c>
      <c r="D177" s="507">
        <v>0.011335784313725486</v>
      </c>
      <c r="E177" s="89"/>
    </row>
    <row r="178">
      <c r="A178" s="508" t="s">
        <v>592</v>
      </c>
      <c r="B178" s="89" t="s">
        <v>784</v>
      </c>
      <c r="C178" s="507">
        <v>3.5274853801169592</v>
      </c>
      <c r="D178" s="507">
        <v>0.011125700280112045</v>
      </c>
      <c r="E178" s="89"/>
    </row>
    <row r="179">
      <c r="A179" s="509" t="s">
        <v>595</v>
      </c>
      <c r="B179" s="89"/>
      <c r="C179" s="323">
        <v>0.3282008</v>
      </c>
      <c r="D179" s="507"/>
      <c r="E179" s="89"/>
    </row>
    <row r="180">
      <c r="A180" s="508" t="s">
        <v>597</v>
      </c>
      <c r="B180" s="89" t="s">
        <v>785</v>
      </c>
      <c r="C180" s="507">
        <v>8.021551724137932</v>
      </c>
      <c r="D180" s="507">
        <v>0.010893574297188752</v>
      </c>
      <c r="E180" s="89"/>
    </row>
    <row r="181">
      <c r="A181" s="508" t="s">
        <v>598</v>
      </c>
      <c r="B181" s="89" t="s">
        <v>786</v>
      </c>
      <c r="C181" s="507">
        <v>7.254310344827585</v>
      </c>
      <c r="D181" s="507">
        <v>0.011194779116465861</v>
      </c>
      <c r="E181" s="89"/>
    </row>
    <row r="182">
      <c r="A182" s="508" t="s">
        <v>601</v>
      </c>
      <c r="B182" s="89" t="s">
        <v>787</v>
      </c>
      <c r="C182" s="507">
        <v>3.246783625730994</v>
      </c>
      <c r="D182" s="507">
        <v>0.011607142857142852</v>
      </c>
      <c r="E182" s="89"/>
    </row>
    <row r="183">
      <c r="A183" s="508" t="s">
        <v>604</v>
      </c>
      <c r="B183" s="89" t="s">
        <v>788</v>
      </c>
      <c r="C183" s="507">
        <v>7.596101364522418</v>
      </c>
      <c r="D183" s="507">
        <v>0.008245798319327728</v>
      </c>
      <c r="E183" s="89"/>
    </row>
    <row r="184">
      <c r="A184" s="508" t="s">
        <v>606</v>
      </c>
      <c r="B184" s="89" t="s">
        <v>789</v>
      </c>
      <c r="C184" s="507">
        <v>3.9641325536062384</v>
      </c>
      <c r="D184" s="507">
        <v>0.009558823529411762</v>
      </c>
      <c r="E184" s="89"/>
    </row>
    <row r="185">
      <c r="A185" s="508" t="s">
        <v>607</v>
      </c>
      <c r="B185" s="89" t="s">
        <v>790</v>
      </c>
      <c r="C185" s="507">
        <v>4.18869395711501</v>
      </c>
      <c r="D185" s="507">
        <v>0.008989845938375348</v>
      </c>
      <c r="E185" s="89"/>
    </row>
    <row r="186">
      <c r="A186" s="508" t="s">
        <v>609</v>
      </c>
      <c r="B186" s="89" t="s">
        <v>791</v>
      </c>
      <c r="C186" s="507">
        <v>5.189863547758285</v>
      </c>
      <c r="D186" s="507">
        <v>0.010049019607843135</v>
      </c>
      <c r="E186" s="89"/>
    </row>
    <row r="187">
      <c r="B187" s="89"/>
      <c r="C187" s="89"/>
      <c r="D187" s="89"/>
      <c r="E187" s="89"/>
    </row>
    <row r="188">
      <c r="B188" s="89"/>
      <c r="C188" s="89"/>
      <c r="D188" s="89"/>
      <c r="E188" s="89"/>
    </row>
    <row r="189">
      <c r="B189" s="89"/>
      <c r="C189" s="89"/>
      <c r="D189" s="89"/>
      <c r="E189" s="89"/>
    </row>
    <row r="190">
      <c r="B190" s="89"/>
      <c r="C190" s="89"/>
      <c r="D190" s="89"/>
      <c r="E190" s="89"/>
    </row>
    <row r="191">
      <c r="B191" s="89"/>
      <c r="C191" s="89"/>
      <c r="D191" s="89"/>
      <c r="E191" s="89"/>
    </row>
    <row r="192">
      <c r="B192" s="89"/>
      <c r="C192" s="89"/>
      <c r="D192" s="89"/>
      <c r="E192" s="89"/>
    </row>
    <row r="193">
      <c r="B193" s="89"/>
      <c r="C193" s="89"/>
      <c r="D193" s="89"/>
      <c r="E193" s="89"/>
    </row>
    <row r="194">
      <c r="B194" s="89"/>
      <c r="C194" s="89"/>
      <c r="D194" s="89"/>
      <c r="E194" s="89"/>
    </row>
    <row r="195">
      <c r="B195" s="89"/>
      <c r="C195" s="89"/>
      <c r="D195" s="89"/>
      <c r="E195" s="89"/>
    </row>
    <row r="196">
      <c r="B196" s="89"/>
      <c r="C196" s="89"/>
      <c r="D196" s="89"/>
      <c r="E196" s="89"/>
    </row>
    <row r="197">
      <c r="B197" s="89"/>
      <c r="C197" s="89"/>
      <c r="D197" s="89"/>
      <c r="E197" s="89"/>
    </row>
    <row r="198">
      <c r="B198" s="89"/>
      <c r="C198" s="89"/>
      <c r="D198" s="89"/>
      <c r="E198" s="89"/>
    </row>
    <row r="199">
      <c r="B199" s="89"/>
      <c r="C199" s="89"/>
      <c r="D199" s="89"/>
      <c r="E199" s="89"/>
    </row>
    <row r="200">
      <c r="B200" s="89"/>
      <c r="C200" s="89"/>
      <c r="D200" s="89"/>
      <c r="E200" s="89"/>
    </row>
    <row r="201">
      <c r="B201" s="89"/>
      <c r="C201" s="89"/>
      <c r="D201" s="89"/>
      <c r="E201" s="89"/>
    </row>
    <row r="202">
      <c r="B202" s="89"/>
      <c r="C202" s="89"/>
      <c r="D202" s="89"/>
      <c r="E202" s="89"/>
    </row>
    <row r="203">
      <c r="B203" s="89"/>
      <c r="C203" s="89"/>
      <c r="D203" s="89"/>
      <c r="E203" s="89"/>
    </row>
    <row r="204">
      <c r="B204" s="89"/>
      <c r="C204" s="89"/>
      <c r="D204" s="89"/>
      <c r="E204" s="89"/>
    </row>
    <row r="205">
      <c r="B205" s="89"/>
      <c r="C205" s="89"/>
      <c r="D205" s="89"/>
      <c r="E205" s="89"/>
    </row>
    <row r="206">
      <c r="B206" s="89"/>
      <c r="C206" s="89"/>
      <c r="D206" s="89"/>
      <c r="E206" s="89"/>
    </row>
    <row r="207">
      <c r="B207" s="89"/>
      <c r="C207" s="89"/>
      <c r="D207" s="89"/>
      <c r="E207" s="89"/>
    </row>
    <row r="208">
      <c r="B208" s="89"/>
      <c r="C208" s="89"/>
      <c r="D208" s="89"/>
      <c r="E208" s="89"/>
    </row>
    <row r="209">
      <c r="B209" s="89"/>
      <c r="C209" s="89"/>
      <c r="D209" s="89"/>
      <c r="E209" s="89"/>
    </row>
    <row r="210">
      <c r="B210" s="89"/>
      <c r="C210" s="89"/>
      <c r="D210" s="89"/>
      <c r="E210" s="89"/>
    </row>
    <row r="211">
      <c r="B211" s="89"/>
      <c r="C211" s="89"/>
      <c r="D211" s="89"/>
      <c r="E211" s="89"/>
    </row>
    <row r="212">
      <c r="B212" s="89"/>
      <c r="C212" s="89"/>
      <c r="D212" s="89"/>
      <c r="E212" s="89"/>
    </row>
    <row r="213">
      <c r="B213" s="89"/>
      <c r="C213" s="89"/>
      <c r="D213" s="89"/>
      <c r="E213" s="89"/>
    </row>
    <row r="214">
      <c r="B214" s="89"/>
      <c r="C214" s="89"/>
      <c r="D214" s="89"/>
      <c r="E214" s="89"/>
    </row>
    <row r="215">
      <c r="B215" s="89"/>
      <c r="C215" s="89"/>
      <c r="D215" s="89"/>
      <c r="E215" s="89"/>
    </row>
    <row r="216">
      <c r="B216" s="89"/>
      <c r="C216" s="89"/>
      <c r="D216" s="89"/>
      <c r="E216" s="89"/>
    </row>
    <row r="217">
      <c r="B217" s="89"/>
      <c r="C217" s="89"/>
      <c r="D217" s="89"/>
      <c r="E217" s="89"/>
    </row>
    <row r="218">
      <c r="B218" s="89"/>
      <c r="C218" s="89"/>
      <c r="D218" s="89"/>
      <c r="E218" s="89"/>
    </row>
    <row r="219">
      <c r="B219" s="89"/>
      <c r="C219" s="89"/>
      <c r="D219" s="89"/>
      <c r="E219" s="89"/>
    </row>
    <row r="220">
      <c r="B220" s="89"/>
      <c r="C220" s="89"/>
      <c r="D220" s="89"/>
      <c r="E220" s="89"/>
    </row>
    <row r="221">
      <c r="B221" s="89"/>
      <c r="C221" s="89"/>
      <c r="D221" s="89"/>
      <c r="E221" s="89"/>
    </row>
    <row r="222">
      <c r="B222" s="89"/>
      <c r="C222" s="89"/>
      <c r="D222" s="89"/>
      <c r="E222" s="89"/>
    </row>
    <row r="223">
      <c r="B223" s="89"/>
      <c r="C223" s="89"/>
      <c r="D223" s="89"/>
      <c r="E223" s="89"/>
    </row>
    <row r="224">
      <c r="B224" s="89"/>
      <c r="C224" s="89"/>
      <c r="D224" s="89"/>
      <c r="E224" s="89"/>
    </row>
    <row r="225">
      <c r="B225" s="89"/>
      <c r="C225" s="89"/>
      <c r="D225" s="89"/>
      <c r="E225" s="89"/>
    </row>
    <row r="226">
      <c r="B226" s="89"/>
      <c r="C226" s="89"/>
      <c r="D226" s="89"/>
      <c r="E226" s="89"/>
    </row>
    <row r="227">
      <c r="B227" s="89"/>
      <c r="C227" s="89"/>
      <c r="D227" s="89"/>
      <c r="E227" s="89"/>
    </row>
    <row r="228">
      <c r="B228" s="89"/>
      <c r="C228" s="89"/>
      <c r="D228" s="89"/>
      <c r="E228" s="89"/>
    </row>
    <row r="229">
      <c r="B229" s="89"/>
      <c r="C229" s="89"/>
      <c r="D229" s="89"/>
      <c r="E229" s="89"/>
    </row>
    <row r="230">
      <c r="B230" s="89"/>
      <c r="C230" s="89"/>
      <c r="D230" s="89"/>
      <c r="E230" s="89"/>
    </row>
    <row r="231">
      <c r="B231" s="89"/>
      <c r="C231" s="89"/>
      <c r="D231" s="89"/>
      <c r="E231" s="89"/>
    </row>
    <row r="232">
      <c r="B232" s="89"/>
      <c r="C232" s="89"/>
      <c r="D232" s="89"/>
      <c r="E232" s="89"/>
    </row>
    <row r="233">
      <c r="B233" s="89"/>
      <c r="C233" s="89"/>
      <c r="D233" s="89"/>
      <c r="E233" s="89"/>
    </row>
    <row r="234">
      <c r="B234" s="89"/>
      <c r="C234" s="89"/>
      <c r="D234" s="89"/>
      <c r="E234" s="89"/>
    </row>
    <row r="235">
      <c r="B235" s="89"/>
      <c r="C235" s="89"/>
      <c r="D235" s="89"/>
      <c r="E235" s="89"/>
    </row>
    <row r="236">
      <c r="B236" s="89"/>
      <c r="C236" s="89"/>
      <c r="D236" s="89"/>
      <c r="E236" s="89"/>
    </row>
    <row r="237">
      <c r="B237" s="89"/>
      <c r="C237" s="89"/>
      <c r="D237" s="89"/>
      <c r="E237" s="89"/>
    </row>
    <row r="238">
      <c r="B238" s="89"/>
      <c r="C238" s="89"/>
      <c r="D238" s="89"/>
      <c r="E238" s="89"/>
    </row>
    <row r="239">
      <c r="B239" s="89"/>
      <c r="C239" s="89"/>
      <c r="D239" s="89"/>
      <c r="E239" s="89"/>
    </row>
    <row r="240">
      <c r="B240" s="89"/>
      <c r="C240" s="89"/>
      <c r="D240" s="89"/>
      <c r="E240" s="89"/>
    </row>
    <row r="241">
      <c r="B241" s="89"/>
      <c r="C241" s="89"/>
      <c r="D241" s="89"/>
      <c r="E241" s="89"/>
    </row>
    <row r="242">
      <c r="B242" s="89"/>
      <c r="C242" s="89"/>
      <c r="D242" s="89"/>
      <c r="E242" s="89"/>
    </row>
    <row r="243">
      <c r="B243" s="89"/>
      <c r="C243" s="89"/>
      <c r="D243" s="89"/>
      <c r="E243" s="89"/>
    </row>
    <row r="244">
      <c r="B244" s="89"/>
      <c r="C244" s="89"/>
      <c r="D244" s="89"/>
      <c r="E244" s="89"/>
    </row>
    <row r="245">
      <c r="B245" s="89"/>
      <c r="C245" s="89"/>
      <c r="D245" s="89"/>
      <c r="E245" s="89"/>
    </row>
    <row r="246">
      <c r="B246" s="89"/>
      <c r="C246" s="89"/>
      <c r="D246" s="89"/>
      <c r="E246" s="89"/>
    </row>
    <row r="247">
      <c r="B247" s="89"/>
      <c r="C247" s="89"/>
      <c r="D247" s="89"/>
      <c r="E247" s="89"/>
    </row>
    <row r="248">
      <c r="B248" s="89"/>
      <c r="C248" s="89"/>
      <c r="D248" s="89"/>
      <c r="E248" s="89"/>
    </row>
    <row r="249">
      <c r="B249" s="89"/>
      <c r="C249" s="89"/>
      <c r="D249" s="89"/>
      <c r="E249" s="89"/>
    </row>
    <row r="250">
      <c r="B250" s="89"/>
      <c r="C250" s="89"/>
      <c r="D250" s="89"/>
      <c r="E250" s="89"/>
    </row>
    <row r="251">
      <c r="B251" s="89"/>
      <c r="C251" s="89"/>
      <c r="D251" s="89"/>
      <c r="E251" s="89"/>
    </row>
    <row r="252">
      <c r="B252" s="89"/>
      <c r="C252" s="89"/>
      <c r="D252" s="89"/>
      <c r="E252" s="89"/>
    </row>
    <row r="253">
      <c r="B253" s="89"/>
      <c r="C253" s="89"/>
      <c r="D253" s="89"/>
      <c r="E253" s="89"/>
    </row>
    <row r="254">
      <c r="B254" s="89"/>
      <c r="C254" s="89"/>
      <c r="D254" s="89"/>
      <c r="E254" s="89"/>
    </row>
    <row r="255">
      <c r="B255" s="89"/>
      <c r="C255" s="89"/>
      <c r="D255" s="89"/>
      <c r="E255" s="89"/>
    </row>
    <row r="256">
      <c r="B256" s="89"/>
      <c r="C256" s="89"/>
      <c r="D256" s="89"/>
      <c r="E256" s="89"/>
    </row>
    <row r="257">
      <c r="B257" s="89"/>
      <c r="C257" s="89"/>
      <c r="D257" s="89"/>
      <c r="E257" s="89"/>
    </row>
    <row r="258">
      <c r="B258" s="89"/>
      <c r="C258" s="89"/>
      <c r="D258" s="89"/>
      <c r="E258" s="89"/>
    </row>
    <row r="259">
      <c r="B259" s="89"/>
      <c r="C259" s="89"/>
      <c r="D259" s="89"/>
      <c r="E259" s="89"/>
    </row>
    <row r="260">
      <c r="B260" s="89"/>
      <c r="C260" s="89"/>
      <c r="D260" s="89"/>
      <c r="E260" s="89"/>
    </row>
    <row r="261">
      <c r="B261" s="89"/>
      <c r="C261" s="89"/>
      <c r="D261" s="89"/>
      <c r="E261" s="89"/>
    </row>
    <row r="262">
      <c r="B262" s="89"/>
      <c r="C262" s="89"/>
      <c r="D262" s="89"/>
      <c r="E262" s="89"/>
    </row>
    <row r="263">
      <c r="B263" s="89"/>
      <c r="C263" s="89"/>
      <c r="D263" s="89"/>
      <c r="E263" s="89"/>
    </row>
    <row r="264">
      <c r="B264" s="89"/>
      <c r="C264" s="89"/>
      <c r="D264" s="89"/>
      <c r="E264" s="89"/>
    </row>
    <row r="265">
      <c r="B265" s="89"/>
      <c r="C265" s="89"/>
      <c r="D265" s="89"/>
      <c r="E265" s="89"/>
    </row>
    <row r="266">
      <c r="B266" s="89"/>
      <c r="C266" s="89"/>
      <c r="D266" s="89"/>
      <c r="E266" s="89"/>
    </row>
    <row r="267">
      <c r="B267" s="89"/>
      <c r="C267" s="89"/>
      <c r="D267" s="89"/>
      <c r="E267" s="89"/>
    </row>
    <row r="268">
      <c r="B268" s="89"/>
      <c r="C268" s="89"/>
      <c r="D268" s="89"/>
      <c r="E268" s="89"/>
    </row>
    <row r="269">
      <c r="B269" s="89"/>
      <c r="C269" s="89"/>
      <c r="D269" s="89"/>
      <c r="E269" s="89"/>
    </row>
    <row r="270">
      <c r="B270" s="89"/>
      <c r="C270" s="89"/>
      <c r="D270" s="89"/>
      <c r="E270" s="89"/>
    </row>
    <row r="271">
      <c r="B271" s="89"/>
      <c r="C271" s="89"/>
      <c r="D271" s="89"/>
      <c r="E271" s="89"/>
    </row>
    <row r="272">
      <c r="B272" s="89"/>
      <c r="C272" s="89"/>
      <c r="D272" s="89"/>
      <c r="E272" s="89"/>
    </row>
    <row r="273">
      <c r="B273" s="89"/>
      <c r="C273" s="89"/>
      <c r="D273" s="89"/>
      <c r="E273" s="89"/>
    </row>
    <row r="274">
      <c r="B274" s="89"/>
      <c r="C274" s="89"/>
      <c r="D274" s="89"/>
      <c r="E274" s="89"/>
    </row>
    <row r="275">
      <c r="B275" s="89"/>
      <c r="C275" s="89"/>
      <c r="D275" s="89"/>
      <c r="E275" s="89"/>
    </row>
    <row r="276">
      <c r="B276" s="89"/>
      <c r="C276" s="89"/>
      <c r="D276" s="89"/>
      <c r="E276" s="89"/>
    </row>
    <row r="277">
      <c r="B277" s="89"/>
      <c r="C277" s="89"/>
      <c r="D277" s="89"/>
      <c r="E277" s="89"/>
    </row>
    <row r="278">
      <c r="B278" s="89"/>
      <c r="C278" s="89"/>
      <c r="D278" s="89"/>
      <c r="E278" s="89"/>
    </row>
    <row r="279">
      <c r="B279" s="89"/>
      <c r="C279" s="89"/>
      <c r="D279" s="89"/>
      <c r="E279" s="89"/>
    </row>
    <row r="280">
      <c r="B280" s="89"/>
      <c r="C280" s="89"/>
      <c r="D280" s="89"/>
      <c r="E280" s="89"/>
    </row>
    <row r="281">
      <c r="B281" s="89"/>
      <c r="C281" s="89"/>
      <c r="D281" s="89"/>
      <c r="E281" s="89"/>
    </row>
    <row r="282">
      <c r="B282" s="89"/>
      <c r="C282" s="89"/>
      <c r="D282" s="89"/>
      <c r="E282" s="89"/>
    </row>
    <row r="283">
      <c r="B283" s="89"/>
      <c r="C283" s="89"/>
      <c r="D283" s="89"/>
      <c r="E283" s="89"/>
    </row>
    <row r="284">
      <c r="B284" s="89"/>
      <c r="C284" s="89"/>
      <c r="D284" s="89"/>
      <c r="E284" s="89"/>
    </row>
    <row r="285">
      <c r="B285" s="89"/>
      <c r="C285" s="89"/>
      <c r="D285" s="89"/>
      <c r="E285" s="89"/>
    </row>
    <row r="286">
      <c r="B286" s="89"/>
      <c r="C286" s="89"/>
      <c r="D286" s="89"/>
      <c r="E286" s="89"/>
    </row>
    <row r="287">
      <c r="B287" s="89"/>
      <c r="C287" s="89"/>
      <c r="D287" s="89"/>
      <c r="E287" s="89"/>
    </row>
    <row r="288">
      <c r="B288" s="89"/>
      <c r="C288" s="89"/>
      <c r="D288" s="89"/>
      <c r="E288" s="89"/>
    </row>
    <row r="289">
      <c r="B289" s="89"/>
      <c r="C289" s="89"/>
      <c r="D289" s="89"/>
      <c r="E289" s="89"/>
    </row>
    <row r="290">
      <c r="B290" s="89"/>
      <c r="C290" s="89"/>
      <c r="D290" s="89"/>
      <c r="E290" s="89"/>
    </row>
    <row r="291">
      <c r="B291" s="89"/>
      <c r="C291" s="89"/>
      <c r="D291" s="89"/>
      <c r="E291" s="89"/>
    </row>
    <row r="292">
      <c r="B292" s="89"/>
      <c r="C292" s="89"/>
      <c r="D292" s="89"/>
      <c r="E292" s="89"/>
    </row>
    <row r="293">
      <c r="B293" s="89"/>
      <c r="C293" s="89"/>
      <c r="D293" s="89"/>
      <c r="E293" s="89"/>
    </row>
    <row r="294">
      <c r="B294" s="89"/>
      <c r="C294" s="89"/>
      <c r="D294" s="89"/>
      <c r="E294" s="89"/>
    </row>
    <row r="295">
      <c r="B295" s="89"/>
      <c r="C295" s="89"/>
      <c r="D295" s="89"/>
      <c r="E295" s="89"/>
    </row>
    <row r="296">
      <c r="B296" s="89"/>
      <c r="C296" s="89"/>
      <c r="D296" s="89"/>
      <c r="E296" s="89"/>
    </row>
    <row r="297">
      <c r="B297" s="89"/>
      <c r="C297" s="89"/>
      <c r="D297" s="89"/>
      <c r="E297" s="89"/>
    </row>
    <row r="298">
      <c r="B298" s="89"/>
      <c r="C298" s="89"/>
      <c r="D298" s="89"/>
      <c r="E298" s="89"/>
    </row>
    <row r="299">
      <c r="B299" s="89"/>
      <c r="C299" s="89"/>
      <c r="D299" s="89"/>
      <c r="E299" s="89"/>
    </row>
    <row r="300">
      <c r="B300" s="89"/>
      <c r="C300" s="89"/>
      <c r="D300" s="89"/>
      <c r="E300" s="89"/>
    </row>
    <row r="301">
      <c r="B301" s="89"/>
      <c r="C301" s="89"/>
      <c r="D301" s="89"/>
      <c r="E301" s="89"/>
    </row>
    <row r="302">
      <c r="B302" s="89"/>
      <c r="C302" s="89"/>
      <c r="D302" s="89"/>
      <c r="E302" s="89"/>
    </row>
    <row r="303">
      <c r="B303" s="89"/>
      <c r="C303" s="89"/>
      <c r="D303" s="89"/>
      <c r="E303" s="89"/>
    </row>
    <row r="304">
      <c r="B304" s="89"/>
      <c r="C304" s="89"/>
      <c r="D304" s="89"/>
      <c r="E304" s="89"/>
    </row>
    <row r="305">
      <c r="B305" s="89"/>
      <c r="C305" s="89"/>
      <c r="D305" s="89"/>
      <c r="E305" s="89"/>
    </row>
    <row r="306">
      <c r="B306" s="89"/>
      <c r="C306" s="89"/>
      <c r="D306" s="89"/>
      <c r="E306" s="89"/>
    </row>
    <row r="307">
      <c r="B307" s="89"/>
      <c r="C307" s="89"/>
      <c r="D307" s="89"/>
      <c r="E307" s="89"/>
    </row>
    <row r="308">
      <c r="B308" s="89"/>
      <c r="C308" s="89"/>
      <c r="D308" s="89"/>
      <c r="E308" s="89"/>
    </row>
    <row r="309">
      <c r="B309" s="89"/>
      <c r="C309" s="89"/>
      <c r="D309" s="89"/>
      <c r="E309" s="89"/>
    </row>
    <row r="310">
      <c r="B310" s="89"/>
      <c r="C310" s="89"/>
      <c r="D310" s="89"/>
      <c r="E310" s="89"/>
    </row>
    <row r="311">
      <c r="B311" s="89"/>
      <c r="C311" s="89"/>
      <c r="D311" s="89"/>
      <c r="E311" s="89"/>
    </row>
    <row r="312">
      <c r="B312" s="89"/>
      <c r="C312" s="89"/>
      <c r="D312" s="89"/>
      <c r="E312" s="89"/>
    </row>
    <row r="313">
      <c r="B313" s="89"/>
      <c r="C313" s="89"/>
      <c r="D313" s="89"/>
      <c r="E313" s="89"/>
    </row>
    <row r="314">
      <c r="B314" s="89"/>
      <c r="C314" s="89"/>
      <c r="D314" s="89"/>
      <c r="E314" s="89"/>
    </row>
    <row r="315">
      <c r="B315" s="89"/>
      <c r="C315" s="89"/>
      <c r="D315" s="89"/>
      <c r="E315" s="89"/>
    </row>
    <row r="316">
      <c r="B316" s="89"/>
      <c r="C316" s="89"/>
      <c r="D316" s="89"/>
      <c r="E316" s="89"/>
    </row>
    <row r="317">
      <c r="B317" s="89"/>
      <c r="C317" s="89"/>
      <c r="D317" s="89"/>
      <c r="E317" s="89"/>
    </row>
    <row r="318">
      <c r="B318" s="89"/>
      <c r="C318" s="89"/>
      <c r="D318" s="89"/>
      <c r="E318" s="89"/>
    </row>
    <row r="319">
      <c r="B319" s="89"/>
      <c r="C319" s="89"/>
      <c r="D319" s="89"/>
      <c r="E319" s="89"/>
    </row>
    <row r="320">
      <c r="B320" s="89"/>
      <c r="C320" s="89"/>
      <c r="D320" s="89"/>
      <c r="E320" s="89"/>
    </row>
    <row r="321">
      <c r="B321" s="89"/>
      <c r="C321" s="89"/>
      <c r="D321" s="89"/>
      <c r="E321" s="89"/>
    </row>
    <row r="322">
      <c r="B322" s="89"/>
      <c r="C322" s="89"/>
      <c r="D322" s="89"/>
      <c r="E322" s="89"/>
    </row>
    <row r="323">
      <c r="B323" s="89"/>
      <c r="C323" s="89"/>
      <c r="D323" s="89"/>
      <c r="E323" s="89"/>
    </row>
    <row r="324">
      <c r="B324" s="89"/>
      <c r="C324" s="89"/>
      <c r="D324" s="89"/>
      <c r="E324" s="89"/>
    </row>
    <row r="325">
      <c r="B325" s="89"/>
      <c r="C325" s="89"/>
      <c r="D325" s="89"/>
      <c r="E325" s="89"/>
    </row>
    <row r="326">
      <c r="B326" s="89"/>
      <c r="C326" s="89"/>
      <c r="D326" s="89"/>
      <c r="E326" s="89"/>
    </row>
    <row r="327">
      <c r="B327" s="89"/>
      <c r="C327" s="89"/>
      <c r="D327" s="89"/>
      <c r="E327" s="89"/>
    </row>
    <row r="328">
      <c r="B328" s="89"/>
      <c r="C328" s="89"/>
      <c r="D328" s="89"/>
      <c r="E328" s="89"/>
    </row>
    <row r="329">
      <c r="B329" s="89"/>
      <c r="C329" s="89"/>
      <c r="D329" s="89"/>
      <c r="E329" s="89"/>
    </row>
    <row r="330">
      <c r="B330" s="89"/>
      <c r="C330" s="89"/>
      <c r="D330" s="89"/>
      <c r="E330" s="89"/>
    </row>
    <row r="331">
      <c r="B331" s="89"/>
      <c r="C331" s="89"/>
      <c r="D331" s="89"/>
      <c r="E331" s="89"/>
    </row>
    <row r="332">
      <c r="B332" s="89"/>
      <c r="C332" s="89"/>
      <c r="D332" s="89"/>
      <c r="E332" s="89"/>
    </row>
    <row r="333">
      <c r="B333" s="89"/>
      <c r="C333" s="89"/>
      <c r="D333" s="89"/>
      <c r="E333" s="89"/>
    </row>
    <row r="334">
      <c r="B334" s="89"/>
      <c r="C334" s="89"/>
      <c r="D334" s="89"/>
      <c r="E334" s="89"/>
    </row>
    <row r="335">
      <c r="B335" s="89"/>
      <c r="C335" s="89"/>
      <c r="D335" s="89"/>
      <c r="E335" s="89"/>
    </row>
    <row r="336">
      <c r="B336" s="89"/>
      <c r="C336" s="89"/>
      <c r="D336" s="89"/>
      <c r="E336" s="89"/>
    </row>
    <row r="337">
      <c r="B337" s="89"/>
      <c r="C337" s="89"/>
      <c r="D337" s="89"/>
      <c r="E337" s="89"/>
    </row>
    <row r="338">
      <c r="B338" s="89"/>
      <c r="C338" s="89"/>
      <c r="D338" s="89"/>
      <c r="E338" s="89"/>
    </row>
    <row r="339">
      <c r="B339" s="89"/>
      <c r="C339" s="89"/>
      <c r="D339" s="89"/>
      <c r="E339" s="89"/>
    </row>
    <row r="340">
      <c r="B340" s="89"/>
      <c r="C340" s="89"/>
      <c r="D340" s="89"/>
      <c r="E340" s="89"/>
    </row>
    <row r="341">
      <c r="B341" s="89"/>
      <c r="C341" s="89"/>
      <c r="D341" s="89"/>
      <c r="E341" s="89"/>
    </row>
    <row r="342">
      <c r="B342" s="89"/>
      <c r="C342" s="89"/>
      <c r="D342" s="89"/>
      <c r="E342" s="89"/>
    </row>
    <row r="343">
      <c r="B343" s="89"/>
      <c r="C343" s="89"/>
      <c r="D343" s="89"/>
      <c r="E343" s="89"/>
    </row>
    <row r="344">
      <c r="B344" s="89"/>
      <c r="C344" s="89"/>
      <c r="D344" s="89"/>
      <c r="E344" s="89"/>
    </row>
    <row r="345">
      <c r="B345" s="89"/>
      <c r="C345" s="89"/>
      <c r="D345" s="89"/>
      <c r="E345" s="89"/>
    </row>
    <row r="346">
      <c r="B346" s="89"/>
      <c r="C346" s="89"/>
      <c r="D346" s="89"/>
      <c r="E346" s="89"/>
    </row>
    <row r="347">
      <c r="B347" s="89"/>
      <c r="C347" s="89"/>
      <c r="D347" s="89"/>
      <c r="E347" s="89"/>
    </row>
    <row r="348">
      <c r="B348" s="89"/>
      <c r="C348" s="89"/>
      <c r="D348" s="89"/>
      <c r="E348" s="89"/>
    </row>
    <row r="349">
      <c r="B349" s="89"/>
      <c r="C349" s="89"/>
      <c r="D349" s="89"/>
      <c r="E349" s="89"/>
    </row>
    <row r="350">
      <c r="B350" s="89"/>
      <c r="C350" s="89"/>
      <c r="D350" s="89"/>
      <c r="E350" s="89"/>
    </row>
    <row r="351">
      <c r="B351" s="89"/>
      <c r="C351" s="89"/>
      <c r="D351" s="89"/>
      <c r="E351" s="89"/>
    </row>
    <row r="352">
      <c r="B352" s="89"/>
      <c r="C352" s="89"/>
      <c r="D352" s="89"/>
      <c r="E352" s="89"/>
    </row>
    <row r="353">
      <c r="B353" s="89"/>
      <c r="C353" s="89"/>
      <c r="D353" s="89"/>
      <c r="E353" s="89"/>
    </row>
    <row r="354">
      <c r="B354" s="89"/>
      <c r="C354" s="89"/>
      <c r="D354" s="89"/>
      <c r="E354" s="89"/>
    </row>
    <row r="355">
      <c r="B355" s="89"/>
      <c r="C355" s="89"/>
      <c r="D355" s="89"/>
      <c r="E355" s="89"/>
    </row>
    <row r="356">
      <c r="B356" s="89"/>
      <c r="C356" s="89"/>
      <c r="D356" s="89"/>
      <c r="E356" s="89"/>
    </row>
    <row r="357">
      <c r="B357" s="89"/>
      <c r="C357" s="89"/>
      <c r="D357" s="89"/>
      <c r="E357" s="89"/>
    </row>
    <row r="358">
      <c r="B358" s="89"/>
      <c r="C358" s="89"/>
      <c r="D358" s="89"/>
      <c r="E358" s="89"/>
    </row>
    <row r="359">
      <c r="B359" s="89"/>
      <c r="C359" s="89"/>
      <c r="D359" s="89"/>
      <c r="E359" s="89"/>
    </row>
    <row r="360">
      <c r="B360" s="89"/>
      <c r="C360" s="89"/>
      <c r="D360" s="89"/>
      <c r="E360" s="89"/>
    </row>
    <row r="361">
      <c r="B361" s="89"/>
      <c r="C361" s="89"/>
      <c r="D361" s="89"/>
      <c r="E361" s="89"/>
    </row>
    <row r="362">
      <c r="B362" s="89"/>
      <c r="C362" s="89"/>
      <c r="D362" s="89"/>
      <c r="E362" s="89"/>
    </row>
    <row r="363">
      <c r="B363" s="89"/>
      <c r="C363" s="89"/>
      <c r="D363" s="89"/>
      <c r="E363" s="89"/>
    </row>
    <row r="364">
      <c r="B364" s="89"/>
      <c r="C364" s="89"/>
      <c r="D364" s="89"/>
      <c r="E364" s="89"/>
    </row>
    <row r="365">
      <c r="B365" s="89"/>
      <c r="C365" s="89"/>
      <c r="D365" s="89"/>
      <c r="E365" s="89"/>
    </row>
    <row r="366">
      <c r="B366" s="89"/>
      <c r="C366" s="89"/>
      <c r="D366" s="89"/>
      <c r="E366" s="89"/>
    </row>
    <row r="367">
      <c r="B367" s="89"/>
      <c r="C367" s="89"/>
      <c r="D367" s="89"/>
      <c r="E367" s="89"/>
    </row>
    <row r="368">
      <c r="B368" s="89"/>
      <c r="C368" s="89"/>
      <c r="D368" s="89"/>
      <c r="E368" s="89"/>
    </row>
    <row r="369">
      <c r="B369" s="89"/>
      <c r="C369" s="89"/>
      <c r="D369" s="89"/>
      <c r="E369" s="89"/>
    </row>
    <row r="370">
      <c r="B370" s="89"/>
      <c r="C370" s="89"/>
      <c r="D370" s="89"/>
      <c r="E370" s="89"/>
    </row>
    <row r="371">
      <c r="B371" s="89"/>
      <c r="C371" s="89"/>
      <c r="D371" s="89"/>
      <c r="E371" s="89"/>
    </row>
    <row r="372">
      <c r="B372" s="89"/>
      <c r="C372" s="89"/>
      <c r="D372" s="89"/>
      <c r="E372" s="89"/>
    </row>
    <row r="373">
      <c r="B373" s="89"/>
      <c r="C373" s="89"/>
      <c r="D373" s="89"/>
      <c r="E373" s="89"/>
    </row>
    <row r="374">
      <c r="B374" s="89"/>
      <c r="C374" s="89"/>
      <c r="D374" s="89"/>
      <c r="E374" s="89"/>
    </row>
    <row r="375">
      <c r="B375" s="89"/>
      <c r="C375" s="89"/>
      <c r="D375" s="89"/>
      <c r="E375" s="89"/>
    </row>
    <row r="376">
      <c r="B376" s="89"/>
      <c r="C376" s="89"/>
      <c r="D376" s="89"/>
      <c r="E376" s="89"/>
    </row>
    <row r="377">
      <c r="B377" s="89"/>
      <c r="C377" s="89"/>
      <c r="D377" s="89"/>
      <c r="E377" s="89"/>
    </row>
    <row r="378">
      <c r="B378" s="89"/>
      <c r="C378" s="89"/>
      <c r="D378" s="89"/>
      <c r="E378" s="89"/>
    </row>
    <row r="379">
      <c r="B379" s="89"/>
      <c r="C379" s="89"/>
      <c r="D379" s="89"/>
      <c r="E379" s="89"/>
    </row>
    <row r="380">
      <c r="B380" s="89"/>
      <c r="C380" s="89"/>
      <c r="D380" s="89"/>
      <c r="E380" s="89"/>
    </row>
    <row r="381">
      <c r="B381" s="89"/>
      <c r="C381" s="89"/>
      <c r="D381" s="89"/>
      <c r="E381" s="89"/>
    </row>
    <row r="382">
      <c r="B382" s="89"/>
      <c r="C382" s="89"/>
      <c r="D382" s="89"/>
      <c r="E382" s="89"/>
    </row>
    <row r="383">
      <c r="B383" s="89"/>
      <c r="C383" s="89"/>
      <c r="D383" s="89"/>
      <c r="E383" s="89"/>
    </row>
    <row r="384">
      <c r="B384" s="89"/>
      <c r="C384" s="89"/>
      <c r="D384" s="89"/>
      <c r="E384" s="89"/>
    </row>
    <row r="385">
      <c r="B385" s="89"/>
      <c r="C385" s="89"/>
      <c r="D385" s="89"/>
      <c r="E385" s="89"/>
    </row>
    <row r="386">
      <c r="B386" s="89"/>
      <c r="C386" s="89"/>
      <c r="D386" s="89"/>
      <c r="E386" s="89"/>
    </row>
    <row r="387">
      <c r="B387" s="89"/>
      <c r="C387" s="89"/>
      <c r="D387" s="89"/>
      <c r="E387" s="89"/>
    </row>
    <row r="388">
      <c r="B388" s="89"/>
      <c r="C388" s="89"/>
      <c r="D388" s="89"/>
      <c r="E388" s="89"/>
    </row>
    <row r="389">
      <c r="B389" s="89"/>
      <c r="C389" s="89"/>
      <c r="D389" s="89"/>
      <c r="E389" s="89"/>
    </row>
    <row r="390">
      <c r="B390" s="89"/>
      <c r="C390" s="89"/>
      <c r="D390" s="89"/>
      <c r="E390" s="89"/>
    </row>
    <row r="391">
      <c r="B391" s="89"/>
      <c r="C391" s="89"/>
      <c r="D391" s="89"/>
      <c r="E391" s="89"/>
    </row>
    <row r="392">
      <c r="B392" s="89"/>
      <c r="C392" s="89"/>
      <c r="D392" s="89"/>
      <c r="E392" s="89"/>
    </row>
    <row r="393">
      <c r="B393" s="89"/>
      <c r="C393" s="89"/>
      <c r="D393" s="89"/>
      <c r="E393" s="89"/>
    </row>
    <row r="394">
      <c r="B394" s="89"/>
      <c r="C394" s="89"/>
      <c r="D394" s="89"/>
      <c r="E394" s="89"/>
    </row>
    <row r="395">
      <c r="B395" s="89"/>
      <c r="C395" s="89"/>
      <c r="D395" s="89"/>
      <c r="E395" s="89"/>
    </row>
    <row r="396">
      <c r="B396" s="89"/>
      <c r="C396" s="89"/>
      <c r="D396" s="89"/>
      <c r="E396" s="89"/>
    </row>
    <row r="397">
      <c r="B397" s="89"/>
      <c r="C397" s="89"/>
      <c r="D397" s="89"/>
      <c r="E397" s="89"/>
    </row>
    <row r="398">
      <c r="B398" s="89"/>
      <c r="C398" s="89"/>
      <c r="D398" s="89"/>
      <c r="E398" s="89"/>
    </row>
    <row r="399">
      <c r="B399" s="89"/>
      <c r="C399" s="89"/>
      <c r="D399" s="89"/>
      <c r="E399" s="89"/>
    </row>
    <row r="400">
      <c r="B400" s="89"/>
      <c r="C400" s="89"/>
      <c r="D400" s="89"/>
      <c r="E400" s="89"/>
    </row>
    <row r="401">
      <c r="B401" s="89"/>
      <c r="C401" s="89"/>
      <c r="D401" s="89"/>
      <c r="E401" s="89"/>
    </row>
    <row r="402">
      <c r="B402" s="89"/>
      <c r="C402" s="89"/>
      <c r="D402" s="89"/>
      <c r="E402" s="89"/>
    </row>
    <row r="403">
      <c r="B403" s="89"/>
      <c r="C403" s="89"/>
      <c r="D403" s="89"/>
      <c r="E403" s="89"/>
    </row>
    <row r="404">
      <c r="B404" s="89"/>
      <c r="C404" s="89"/>
      <c r="D404" s="89"/>
      <c r="E404" s="89"/>
    </row>
    <row r="405">
      <c r="B405" s="89"/>
      <c r="C405" s="89"/>
      <c r="D405" s="89"/>
      <c r="E405" s="89"/>
    </row>
    <row r="406">
      <c r="B406" s="89"/>
      <c r="C406" s="89"/>
      <c r="D406" s="89"/>
      <c r="E406" s="89"/>
    </row>
    <row r="407">
      <c r="B407" s="89"/>
      <c r="C407" s="89"/>
      <c r="D407" s="89"/>
      <c r="E407" s="89"/>
    </row>
    <row r="408">
      <c r="B408" s="89"/>
      <c r="C408" s="89"/>
      <c r="D408" s="89"/>
      <c r="E408" s="89"/>
    </row>
    <row r="409">
      <c r="B409" s="89"/>
      <c r="C409" s="89"/>
      <c r="D409" s="89"/>
      <c r="E409" s="89"/>
    </row>
    <row r="410">
      <c r="B410" s="89"/>
      <c r="C410" s="89"/>
      <c r="D410" s="89"/>
      <c r="E410" s="89"/>
    </row>
    <row r="411">
      <c r="B411" s="89"/>
      <c r="C411" s="89"/>
      <c r="D411" s="89"/>
      <c r="E411" s="89"/>
    </row>
    <row r="412">
      <c r="B412" s="89"/>
      <c r="C412" s="89"/>
      <c r="D412" s="89"/>
      <c r="E412" s="89"/>
    </row>
    <row r="413">
      <c r="B413" s="89"/>
      <c r="C413" s="89"/>
      <c r="D413" s="89"/>
      <c r="E413" s="89"/>
    </row>
    <row r="414">
      <c r="B414" s="89"/>
      <c r="C414" s="89"/>
      <c r="D414" s="89"/>
      <c r="E414" s="89"/>
    </row>
    <row r="415">
      <c r="B415" s="89"/>
      <c r="C415" s="89"/>
      <c r="D415" s="89"/>
      <c r="E415" s="89"/>
    </row>
    <row r="416">
      <c r="B416" s="89"/>
      <c r="C416" s="89"/>
      <c r="D416" s="89"/>
      <c r="E416" s="89"/>
    </row>
    <row r="417">
      <c r="B417" s="89"/>
      <c r="C417" s="89"/>
      <c r="D417" s="89"/>
      <c r="E417" s="89"/>
    </row>
    <row r="418">
      <c r="B418" s="89"/>
      <c r="C418" s="89"/>
      <c r="D418" s="89"/>
      <c r="E418" s="89"/>
    </row>
    <row r="419">
      <c r="B419" s="89"/>
      <c r="C419" s="89"/>
      <c r="D419" s="89"/>
      <c r="E419" s="89"/>
    </row>
    <row r="420">
      <c r="B420" s="89"/>
      <c r="C420" s="89"/>
      <c r="D420" s="89"/>
      <c r="E420" s="89"/>
    </row>
    <row r="421">
      <c r="B421" s="89"/>
      <c r="C421" s="89"/>
      <c r="D421" s="89"/>
      <c r="E421" s="89"/>
    </row>
    <row r="422">
      <c r="B422" s="89"/>
      <c r="C422" s="89"/>
      <c r="D422" s="89"/>
      <c r="E422" s="89"/>
    </row>
    <row r="423">
      <c r="B423" s="89"/>
      <c r="C423" s="89"/>
      <c r="D423" s="89"/>
      <c r="E423" s="89"/>
    </row>
    <row r="424">
      <c r="B424" s="89"/>
      <c r="C424" s="89"/>
      <c r="D424" s="89"/>
      <c r="E424" s="89"/>
    </row>
    <row r="425">
      <c r="B425" s="89"/>
      <c r="C425" s="89"/>
      <c r="D425" s="89"/>
      <c r="E425" s="89"/>
    </row>
    <row r="426">
      <c r="B426" s="89"/>
      <c r="C426" s="89"/>
      <c r="D426" s="89"/>
      <c r="E426" s="89"/>
    </row>
    <row r="427">
      <c r="B427" s="89"/>
      <c r="C427" s="89"/>
      <c r="D427" s="89"/>
      <c r="E427" s="89"/>
    </row>
    <row r="428">
      <c r="B428" s="89"/>
      <c r="C428" s="89"/>
      <c r="D428" s="89"/>
      <c r="E428" s="89"/>
    </row>
    <row r="429">
      <c r="B429" s="89"/>
      <c r="C429" s="89"/>
      <c r="D429" s="89"/>
      <c r="E429" s="89"/>
    </row>
    <row r="430">
      <c r="B430" s="89"/>
      <c r="C430" s="89"/>
      <c r="D430" s="89"/>
      <c r="E430" s="89"/>
    </row>
    <row r="431">
      <c r="B431" s="89"/>
      <c r="C431" s="89"/>
      <c r="D431" s="89"/>
      <c r="E431" s="89"/>
    </row>
    <row r="432">
      <c r="B432" s="89"/>
      <c r="C432" s="89"/>
      <c r="D432" s="89"/>
      <c r="E432" s="89"/>
    </row>
    <row r="433">
      <c r="B433" s="89"/>
      <c r="C433" s="89"/>
      <c r="D433" s="89"/>
      <c r="E433" s="89"/>
    </row>
    <row r="434">
      <c r="B434" s="89"/>
      <c r="C434" s="89"/>
      <c r="D434" s="89"/>
      <c r="E434" s="89"/>
    </row>
    <row r="435">
      <c r="B435" s="89"/>
      <c r="C435" s="89"/>
      <c r="D435" s="89"/>
      <c r="E435" s="89"/>
    </row>
    <row r="436">
      <c r="B436" s="89"/>
      <c r="C436" s="89"/>
      <c r="D436" s="89"/>
      <c r="E436" s="89"/>
    </row>
    <row r="437">
      <c r="B437" s="89"/>
      <c r="C437" s="89"/>
      <c r="D437" s="89"/>
      <c r="E437" s="89"/>
    </row>
    <row r="438">
      <c r="B438" s="89"/>
      <c r="C438" s="89"/>
      <c r="D438" s="89"/>
      <c r="E438" s="89"/>
    </row>
    <row r="439">
      <c r="B439" s="89"/>
      <c r="C439" s="89"/>
      <c r="D439" s="89"/>
      <c r="E439" s="89"/>
    </row>
    <row r="440">
      <c r="B440" s="89"/>
      <c r="C440" s="89"/>
      <c r="D440" s="89"/>
      <c r="E440" s="89"/>
    </row>
    <row r="441">
      <c r="B441" s="89"/>
      <c r="C441" s="89"/>
      <c r="D441" s="89"/>
      <c r="E441" s="89"/>
    </row>
    <row r="442">
      <c r="B442" s="89"/>
      <c r="C442" s="89"/>
      <c r="D442" s="89"/>
      <c r="E442" s="89"/>
    </row>
    <row r="443">
      <c r="B443" s="89"/>
      <c r="C443" s="89"/>
      <c r="D443" s="89"/>
      <c r="E443" s="89"/>
    </row>
    <row r="444">
      <c r="B444" s="89"/>
      <c r="C444" s="89"/>
      <c r="D444" s="89"/>
      <c r="E444" s="89"/>
    </row>
    <row r="445">
      <c r="B445" s="89"/>
      <c r="C445" s="89"/>
      <c r="D445" s="89"/>
      <c r="E445" s="89"/>
    </row>
    <row r="446">
      <c r="B446" s="89"/>
      <c r="C446" s="89"/>
      <c r="D446" s="89"/>
      <c r="E446" s="89"/>
    </row>
    <row r="447">
      <c r="B447" s="89"/>
      <c r="C447" s="89"/>
      <c r="D447" s="89"/>
      <c r="E447" s="89"/>
    </row>
    <row r="448">
      <c r="B448" s="89"/>
      <c r="C448" s="89"/>
      <c r="D448" s="89"/>
      <c r="E448" s="89"/>
    </row>
    <row r="449">
      <c r="B449" s="89"/>
      <c r="C449" s="89"/>
      <c r="D449" s="89"/>
      <c r="E449" s="89"/>
    </row>
    <row r="450">
      <c r="B450" s="89"/>
      <c r="C450" s="89"/>
      <c r="D450" s="89"/>
      <c r="E450" s="89"/>
    </row>
    <row r="451">
      <c r="B451" s="89"/>
      <c r="C451" s="89"/>
      <c r="D451" s="89"/>
      <c r="E451" s="89"/>
    </row>
    <row r="452">
      <c r="B452" s="89"/>
      <c r="C452" s="89"/>
      <c r="D452" s="89"/>
      <c r="E452" s="89"/>
    </row>
    <row r="453">
      <c r="B453" s="89"/>
      <c r="C453" s="89"/>
      <c r="D453" s="89"/>
      <c r="E453" s="89"/>
    </row>
    <row r="454">
      <c r="B454" s="89"/>
      <c r="C454" s="89"/>
      <c r="D454" s="89"/>
      <c r="E454" s="89"/>
    </row>
    <row r="455">
      <c r="B455" s="89"/>
      <c r="C455" s="89"/>
      <c r="D455" s="89"/>
      <c r="E455" s="89"/>
    </row>
    <row r="456">
      <c r="B456" s="89"/>
      <c r="C456" s="89"/>
      <c r="D456" s="89"/>
      <c r="E456" s="89"/>
    </row>
    <row r="457">
      <c r="B457" s="89"/>
      <c r="C457" s="89"/>
      <c r="D457" s="89"/>
      <c r="E457" s="89"/>
    </row>
    <row r="458">
      <c r="B458" s="89"/>
      <c r="C458" s="89"/>
      <c r="D458" s="89"/>
      <c r="E458" s="89"/>
    </row>
    <row r="459">
      <c r="B459" s="89"/>
      <c r="C459" s="89"/>
      <c r="D459" s="89"/>
      <c r="E459" s="89"/>
    </row>
    <row r="460">
      <c r="B460" s="89"/>
      <c r="C460" s="89"/>
      <c r="D460" s="89"/>
      <c r="E460" s="89"/>
    </row>
    <row r="461">
      <c r="B461" s="89"/>
      <c r="C461" s="89"/>
      <c r="D461" s="89"/>
      <c r="E461" s="89"/>
    </row>
    <row r="462">
      <c r="B462" s="89"/>
      <c r="C462" s="89"/>
      <c r="D462" s="89"/>
      <c r="E462" s="89"/>
    </row>
    <row r="463">
      <c r="B463" s="89"/>
      <c r="C463" s="89"/>
      <c r="D463" s="89"/>
      <c r="E463" s="89"/>
    </row>
    <row r="464">
      <c r="B464" s="89"/>
      <c r="C464" s="89"/>
      <c r="D464" s="89"/>
      <c r="E464" s="89"/>
    </row>
    <row r="465">
      <c r="B465" s="89"/>
      <c r="C465" s="89"/>
      <c r="D465" s="89"/>
      <c r="E465" s="89"/>
    </row>
    <row r="466">
      <c r="B466" s="89"/>
      <c r="C466" s="89"/>
      <c r="D466" s="89"/>
      <c r="E466" s="89"/>
    </row>
    <row r="467">
      <c r="B467" s="89"/>
      <c r="C467" s="89"/>
      <c r="D467" s="89"/>
      <c r="E467" s="89"/>
    </row>
    <row r="468">
      <c r="B468" s="89"/>
      <c r="C468" s="89"/>
      <c r="D468" s="89"/>
      <c r="E468" s="89"/>
    </row>
    <row r="469">
      <c r="B469" s="89"/>
      <c r="C469" s="89"/>
      <c r="D469" s="89"/>
      <c r="E469" s="89"/>
    </row>
    <row r="470">
      <c r="B470" s="89"/>
      <c r="C470" s="89"/>
      <c r="D470" s="89"/>
      <c r="E470" s="89"/>
    </row>
    <row r="471">
      <c r="B471" s="89"/>
      <c r="C471" s="89"/>
      <c r="D471" s="89"/>
      <c r="E471" s="89"/>
    </row>
    <row r="472">
      <c r="B472" s="89"/>
      <c r="C472" s="89"/>
      <c r="D472" s="89"/>
      <c r="E472" s="89"/>
    </row>
    <row r="473">
      <c r="B473" s="89"/>
      <c r="C473" s="89"/>
      <c r="D473" s="89"/>
      <c r="E473" s="89"/>
    </row>
    <row r="474">
      <c r="B474" s="89"/>
      <c r="C474" s="89"/>
      <c r="D474" s="89"/>
      <c r="E474" s="89"/>
    </row>
    <row r="475">
      <c r="B475" s="89"/>
      <c r="C475" s="89"/>
      <c r="D475" s="89"/>
      <c r="E475" s="89"/>
    </row>
    <row r="476">
      <c r="B476" s="89"/>
      <c r="C476" s="89"/>
      <c r="D476" s="89"/>
      <c r="E476" s="89"/>
    </row>
    <row r="477">
      <c r="B477" s="89"/>
      <c r="C477" s="89"/>
      <c r="D477" s="89"/>
      <c r="E477" s="89"/>
    </row>
    <row r="478">
      <c r="B478" s="89"/>
      <c r="C478" s="89"/>
      <c r="D478" s="89"/>
      <c r="E478" s="89"/>
    </row>
    <row r="479">
      <c r="B479" s="89"/>
      <c r="C479" s="89"/>
      <c r="D479" s="89"/>
      <c r="E479" s="89"/>
    </row>
    <row r="480">
      <c r="B480" s="89"/>
      <c r="C480" s="89"/>
      <c r="D480" s="89"/>
      <c r="E480" s="89"/>
    </row>
    <row r="481">
      <c r="B481" s="89"/>
      <c r="C481" s="89"/>
      <c r="D481" s="89"/>
      <c r="E481" s="89"/>
    </row>
    <row r="482">
      <c r="B482" s="89"/>
      <c r="C482" s="89"/>
      <c r="D482" s="89"/>
      <c r="E482" s="89"/>
    </row>
    <row r="483">
      <c r="B483" s="89"/>
      <c r="C483" s="89"/>
      <c r="D483" s="89"/>
      <c r="E483" s="89"/>
    </row>
    <row r="484">
      <c r="B484" s="89"/>
      <c r="C484" s="89"/>
      <c r="D484" s="89"/>
      <c r="E484" s="89"/>
    </row>
    <row r="485">
      <c r="B485" s="89"/>
      <c r="C485" s="89"/>
      <c r="D485" s="89"/>
      <c r="E485" s="89"/>
    </row>
    <row r="486">
      <c r="B486" s="89"/>
      <c r="C486" s="89"/>
      <c r="D486" s="89"/>
      <c r="E486" s="89"/>
    </row>
    <row r="487">
      <c r="B487" s="89"/>
      <c r="C487" s="89"/>
      <c r="D487" s="89"/>
      <c r="E487" s="89"/>
    </row>
    <row r="488">
      <c r="B488" s="89"/>
      <c r="C488" s="89"/>
      <c r="D488" s="89"/>
      <c r="E488" s="89"/>
    </row>
    <row r="489">
      <c r="B489" s="89"/>
      <c r="C489" s="89"/>
      <c r="D489" s="89"/>
      <c r="E489" s="89"/>
    </row>
    <row r="490">
      <c r="B490" s="89"/>
      <c r="C490" s="89"/>
      <c r="D490" s="89"/>
      <c r="E490" s="89"/>
    </row>
    <row r="491">
      <c r="B491" s="89"/>
      <c r="C491" s="89"/>
      <c r="D491" s="89"/>
      <c r="E491" s="89"/>
    </row>
    <row r="492">
      <c r="B492" s="89"/>
      <c r="C492" s="89"/>
      <c r="D492" s="89"/>
      <c r="E492" s="89"/>
    </row>
    <row r="493">
      <c r="B493" s="89"/>
      <c r="C493" s="89"/>
      <c r="D493" s="89"/>
      <c r="E493" s="89"/>
    </row>
    <row r="494">
      <c r="B494" s="89"/>
      <c r="C494" s="89"/>
      <c r="D494" s="89"/>
      <c r="E494" s="89"/>
    </row>
    <row r="495">
      <c r="B495" s="89"/>
      <c r="C495" s="89"/>
      <c r="D495" s="89"/>
      <c r="E495" s="89"/>
    </row>
    <row r="496">
      <c r="B496" s="89"/>
      <c r="C496" s="89"/>
      <c r="D496" s="89"/>
      <c r="E496" s="89"/>
    </row>
    <row r="497">
      <c r="B497" s="89"/>
      <c r="C497" s="89"/>
      <c r="D497" s="89"/>
      <c r="E497" s="89"/>
    </row>
    <row r="498">
      <c r="B498" s="89"/>
      <c r="C498" s="89"/>
      <c r="D498" s="89"/>
      <c r="E498" s="89"/>
    </row>
    <row r="499">
      <c r="B499" s="89"/>
      <c r="C499" s="89"/>
      <c r="D499" s="89"/>
      <c r="E499" s="89"/>
    </row>
    <row r="500">
      <c r="B500" s="89"/>
      <c r="C500" s="89"/>
      <c r="D500" s="89"/>
      <c r="E500" s="89"/>
    </row>
    <row r="501">
      <c r="B501" s="89"/>
      <c r="C501" s="89"/>
      <c r="D501" s="89"/>
      <c r="E501" s="89"/>
    </row>
    <row r="502">
      <c r="B502" s="89"/>
      <c r="C502" s="89"/>
      <c r="D502" s="89"/>
      <c r="E502" s="89"/>
    </row>
    <row r="503">
      <c r="B503" s="89"/>
      <c r="C503" s="89"/>
      <c r="D503" s="89"/>
      <c r="E503" s="89"/>
    </row>
    <row r="504">
      <c r="B504" s="89"/>
      <c r="C504" s="89"/>
      <c r="D504" s="89"/>
      <c r="E504" s="89"/>
    </row>
    <row r="505">
      <c r="B505" s="89"/>
      <c r="C505" s="89"/>
      <c r="D505" s="89"/>
      <c r="E505" s="89"/>
    </row>
    <row r="506">
      <c r="B506" s="89"/>
      <c r="C506" s="89"/>
      <c r="D506" s="89"/>
      <c r="E506" s="89"/>
    </row>
    <row r="507">
      <c r="B507" s="89"/>
      <c r="C507" s="89"/>
      <c r="D507" s="89"/>
      <c r="E507" s="89"/>
    </row>
    <row r="508">
      <c r="B508" s="89"/>
      <c r="C508" s="89"/>
      <c r="D508" s="89"/>
      <c r="E508" s="89"/>
    </row>
    <row r="509">
      <c r="B509" s="89"/>
      <c r="C509" s="89"/>
      <c r="D509" s="89"/>
      <c r="E509" s="89"/>
    </row>
    <row r="510">
      <c r="B510" s="89"/>
      <c r="C510" s="89"/>
      <c r="D510" s="89"/>
      <c r="E510" s="89"/>
    </row>
    <row r="511">
      <c r="B511" s="89"/>
      <c r="C511" s="89"/>
      <c r="D511" s="89"/>
      <c r="E511" s="89"/>
    </row>
    <row r="512">
      <c r="B512" s="89"/>
      <c r="C512" s="89"/>
      <c r="D512" s="89"/>
      <c r="E512" s="89"/>
    </row>
    <row r="513">
      <c r="B513" s="89"/>
      <c r="C513" s="89"/>
      <c r="D513" s="89"/>
      <c r="E513" s="89"/>
    </row>
    <row r="514">
      <c r="B514" s="89"/>
      <c r="C514" s="89"/>
      <c r="D514" s="89"/>
      <c r="E514" s="89"/>
    </row>
    <row r="515">
      <c r="B515" s="89"/>
      <c r="C515" s="89"/>
      <c r="D515" s="89"/>
      <c r="E515" s="89"/>
    </row>
    <row r="516">
      <c r="B516" s="89"/>
      <c r="C516" s="89"/>
      <c r="D516" s="89"/>
      <c r="E516" s="89"/>
    </row>
    <row r="517">
      <c r="B517" s="89"/>
      <c r="C517" s="89"/>
      <c r="D517" s="89"/>
      <c r="E517" s="89"/>
    </row>
    <row r="518">
      <c r="B518" s="89"/>
      <c r="C518" s="89"/>
      <c r="D518" s="89"/>
      <c r="E518" s="89"/>
    </row>
    <row r="519">
      <c r="B519" s="89"/>
      <c r="C519" s="89"/>
      <c r="D519" s="89"/>
      <c r="E519" s="89"/>
    </row>
    <row r="520">
      <c r="B520" s="89"/>
      <c r="C520" s="89"/>
      <c r="D520" s="89"/>
      <c r="E520" s="89"/>
    </row>
    <row r="521">
      <c r="B521" s="89"/>
      <c r="C521" s="89"/>
      <c r="D521" s="89"/>
      <c r="E521" s="89"/>
    </row>
    <row r="522">
      <c r="B522" s="89"/>
      <c r="C522" s="89"/>
      <c r="D522" s="89"/>
      <c r="E522" s="89"/>
    </row>
    <row r="523">
      <c r="B523" s="89"/>
      <c r="C523" s="89"/>
      <c r="D523" s="89"/>
      <c r="E523" s="89"/>
    </row>
    <row r="524">
      <c r="B524" s="89"/>
      <c r="C524" s="89"/>
      <c r="D524" s="89"/>
      <c r="E524" s="89"/>
    </row>
    <row r="525">
      <c r="B525" s="89"/>
      <c r="C525" s="89"/>
      <c r="D525" s="89"/>
      <c r="E525" s="89"/>
    </row>
    <row r="526">
      <c r="B526" s="89"/>
      <c r="C526" s="89"/>
      <c r="D526" s="89"/>
      <c r="E526" s="89"/>
    </row>
    <row r="527">
      <c r="B527" s="89"/>
      <c r="C527" s="89"/>
      <c r="D527" s="89"/>
      <c r="E527" s="89"/>
    </row>
    <row r="528">
      <c r="B528" s="89"/>
      <c r="C528" s="89"/>
      <c r="D528" s="89"/>
      <c r="E528" s="89"/>
    </row>
    <row r="529">
      <c r="B529" s="89"/>
      <c r="C529" s="89"/>
      <c r="D529" s="89"/>
      <c r="E529" s="89"/>
    </row>
    <row r="530">
      <c r="B530" s="89"/>
      <c r="C530" s="89"/>
      <c r="D530" s="89"/>
      <c r="E530" s="89"/>
    </row>
    <row r="531">
      <c r="B531" s="89"/>
      <c r="C531" s="89"/>
      <c r="D531" s="89"/>
      <c r="E531" s="89"/>
    </row>
    <row r="532">
      <c r="B532" s="89"/>
      <c r="C532" s="89"/>
      <c r="D532" s="89"/>
      <c r="E532" s="89"/>
    </row>
    <row r="533">
      <c r="B533" s="89"/>
      <c r="C533" s="89"/>
      <c r="D533" s="89"/>
      <c r="E533" s="89"/>
    </row>
    <row r="534">
      <c r="B534" s="89"/>
      <c r="C534" s="89"/>
      <c r="D534" s="89"/>
      <c r="E534" s="89"/>
    </row>
    <row r="535">
      <c r="B535" s="89"/>
      <c r="C535" s="89"/>
      <c r="D535" s="89"/>
      <c r="E535" s="89"/>
    </row>
    <row r="536">
      <c r="B536" s="89"/>
      <c r="C536" s="89"/>
      <c r="D536" s="89"/>
      <c r="E536" s="89"/>
    </row>
    <row r="537">
      <c r="B537" s="89"/>
      <c r="C537" s="89"/>
      <c r="D537" s="89"/>
      <c r="E537" s="89"/>
    </row>
    <row r="538">
      <c r="B538" s="89"/>
      <c r="C538" s="89"/>
      <c r="D538" s="89"/>
      <c r="E538" s="89"/>
    </row>
    <row r="539">
      <c r="B539" s="89"/>
      <c r="C539" s="89"/>
      <c r="D539" s="89"/>
      <c r="E539" s="89"/>
    </row>
    <row r="540">
      <c r="B540" s="89"/>
      <c r="C540" s="89"/>
      <c r="D540" s="89"/>
      <c r="E540" s="89"/>
    </row>
    <row r="541">
      <c r="B541" s="89"/>
      <c r="C541" s="89"/>
      <c r="D541" s="89"/>
      <c r="E541" s="89"/>
    </row>
    <row r="542">
      <c r="B542" s="89"/>
      <c r="C542" s="89"/>
      <c r="D542" s="89"/>
      <c r="E542" s="89"/>
    </row>
    <row r="543">
      <c r="B543" s="89"/>
      <c r="C543" s="89"/>
      <c r="D543" s="89"/>
      <c r="E543" s="89"/>
    </row>
    <row r="544">
      <c r="B544" s="89"/>
      <c r="C544" s="89"/>
      <c r="D544" s="89"/>
      <c r="E544" s="89"/>
    </row>
    <row r="545">
      <c r="B545" s="89"/>
      <c r="C545" s="89"/>
      <c r="D545" s="89"/>
      <c r="E545" s="89"/>
    </row>
    <row r="546">
      <c r="B546" s="89"/>
      <c r="C546" s="89"/>
      <c r="D546" s="89"/>
      <c r="E546" s="89"/>
    </row>
    <row r="547">
      <c r="B547" s="89"/>
      <c r="C547" s="89"/>
      <c r="D547" s="89"/>
      <c r="E547" s="89"/>
    </row>
    <row r="548">
      <c r="B548" s="89"/>
      <c r="C548" s="89"/>
      <c r="D548" s="89"/>
      <c r="E548" s="89"/>
    </row>
    <row r="549">
      <c r="B549" s="89"/>
      <c r="C549" s="89"/>
      <c r="D549" s="89"/>
      <c r="E549" s="89"/>
    </row>
    <row r="550">
      <c r="B550" s="89"/>
      <c r="C550" s="89"/>
      <c r="D550" s="89"/>
      <c r="E550" s="89"/>
    </row>
    <row r="551">
      <c r="B551" s="89"/>
      <c r="C551" s="89"/>
      <c r="D551" s="89"/>
      <c r="E551" s="89"/>
    </row>
    <row r="552">
      <c r="B552" s="89"/>
      <c r="C552" s="89"/>
      <c r="D552" s="89"/>
      <c r="E552" s="89"/>
    </row>
    <row r="553">
      <c r="B553" s="89"/>
      <c r="C553" s="89"/>
      <c r="D553" s="89"/>
      <c r="E553" s="89"/>
    </row>
    <row r="554">
      <c r="B554" s="89"/>
      <c r="C554" s="89"/>
      <c r="D554" s="89"/>
      <c r="E554" s="89"/>
    </row>
    <row r="555">
      <c r="B555" s="89"/>
      <c r="C555" s="89"/>
      <c r="D555" s="89"/>
      <c r="E555" s="89"/>
    </row>
    <row r="556">
      <c r="B556" s="89"/>
      <c r="C556" s="89"/>
      <c r="D556" s="89"/>
      <c r="E556" s="89"/>
    </row>
    <row r="557">
      <c r="B557" s="89"/>
      <c r="C557" s="89"/>
      <c r="D557" s="89"/>
      <c r="E557" s="89"/>
    </row>
    <row r="558">
      <c r="B558" s="89"/>
      <c r="C558" s="89"/>
      <c r="D558" s="89"/>
      <c r="E558" s="89"/>
    </row>
    <row r="559">
      <c r="B559" s="89"/>
      <c r="C559" s="89"/>
      <c r="D559" s="89"/>
      <c r="E559" s="89"/>
    </row>
    <row r="560">
      <c r="B560" s="89"/>
      <c r="C560" s="89"/>
      <c r="D560" s="89"/>
      <c r="E560" s="89"/>
    </row>
    <row r="561">
      <c r="B561" s="89"/>
      <c r="C561" s="89"/>
      <c r="D561" s="89"/>
      <c r="E561" s="89"/>
    </row>
    <row r="562">
      <c r="B562" s="89"/>
      <c r="C562" s="89"/>
      <c r="D562" s="89"/>
      <c r="E562" s="89"/>
    </row>
    <row r="563">
      <c r="B563" s="89"/>
      <c r="C563" s="89"/>
      <c r="D563" s="89"/>
      <c r="E563" s="89"/>
    </row>
    <row r="564">
      <c r="B564" s="89"/>
      <c r="C564" s="89"/>
      <c r="D564" s="89"/>
      <c r="E564" s="89"/>
    </row>
    <row r="565">
      <c r="B565" s="89"/>
      <c r="C565" s="89"/>
      <c r="D565" s="89"/>
      <c r="E565" s="89"/>
    </row>
    <row r="566">
      <c r="B566" s="89"/>
      <c r="C566" s="89"/>
      <c r="D566" s="89"/>
      <c r="E566" s="89"/>
    </row>
    <row r="567">
      <c r="B567" s="89"/>
      <c r="C567" s="89"/>
      <c r="D567" s="89"/>
      <c r="E567" s="89"/>
    </row>
    <row r="568">
      <c r="B568" s="89"/>
      <c r="C568" s="89"/>
      <c r="D568" s="89"/>
      <c r="E568" s="89"/>
    </row>
    <row r="569">
      <c r="B569" s="89"/>
      <c r="C569" s="89"/>
      <c r="D569" s="89"/>
      <c r="E569" s="89"/>
    </row>
    <row r="570">
      <c r="B570" s="89"/>
      <c r="C570" s="89"/>
      <c r="D570" s="89"/>
      <c r="E570" s="89"/>
    </row>
    <row r="571">
      <c r="B571" s="89"/>
      <c r="C571" s="89"/>
      <c r="D571" s="89"/>
      <c r="E571" s="89"/>
    </row>
    <row r="572">
      <c r="B572" s="89"/>
      <c r="C572" s="89"/>
      <c r="D572" s="89"/>
      <c r="E572" s="89"/>
    </row>
    <row r="573">
      <c r="B573" s="89"/>
      <c r="C573" s="89"/>
      <c r="D573" s="89"/>
      <c r="E573" s="89"/>
    </row>
    <row r="574">
      <c r="B574" s="89"/>
      <c r="C574" s="89"/>
      <c r="D574" s="89"/>
      <c r="E574" s="89"/>
    </row>
    <row r="575">
      <c r="B575" s="89"/>
      <c r="C575" s="89"/>
      <c r="D575" s="89"/>
      <c r="E575" s="89"/>
    </row>
    <row r="576">
      <c r="B576" s="89"/>
      <c r="C576" s="89"/>
      <c r="D576" s="89"/>
      <c r="E576" s="89"/>
    </row>
    <row r="577">
      <c r="B577" s="89"/>
      <c r="C577" s="89"/>
      <c r="D577" s="89"/>
      <c r="E577" s="89"/>
    </row>
    <row r="578">
      <c r="B578" s="89"/>
      <c r="C578" s="89"/>
      <c r="D578" s="89"/>
      <c r="E578" s="89"/>
    </row>
    <row r="579">
      <c r="B579" s="89"/>
      <c r="C579" s="89"/>
      <c r="D579" s="89"/>
      <c r="E579" s="89"/>
    </row>
    <row r="580">
      <c r="B580" s="89"/>
      <c r="C580" s="89"/>
      <c r="D580" s="89"/>
      <c r="E580" s="89"/>
    </row>
    <row r="581">
      <c r="B581" s="89"/>
      <c r="C581" s="89"/>
      <c r="D581" s="89"/>
      <c r="E581" s="89"/>
    </row>
    <row r="582">
      <c r="B582" s="89"/>
      <c r="C582" s="89"/>
      <c r="D582" s="89"/>
      <c r="E582" s="89"/>
    </row>
    <row r="583">
      <c r="B583" s="89"/>
      <c r="C583" s="89"/>
      <c r="D583" s="89"/>
      <c r="E583" s="89"/>
    </row>
    <row r="584">
      <c r="B584" s="89"/>
      <c r="C584" s="89"/>
      <c r="D584" s="89"/>
      <c r="E584" s="89"/>
    </row>
    <row r="585">
      <c r="B585" s="89"/>
      <c r="C585" s="89"/>
      <c r="D585" s="89"/>
      <c r="E585" s="89"/>
    </row>
    <row r="586">
      <c r="B586" s="89"/>
      <c r="C586" s="89"/>
      <c r="D586" s="89"/>
      <c r="E586" s="89"/>
    </row>
    <row r="587">
      <c r="B587" s="89"/>
      <c r="C587" s="89"/>
      <c r="D587" s="89"/>
      <c r="E587" s="89"/>
    </row>
    <row r="588">
      <c r="B588" s="89"/>
      <c r="C588" s="89"/>
      <c r="D588" s="89"/>
      <c r="E588" s="89"/>
    </row>
    <row r="589">
      <c r="B589" s="89"/>
      <c r="C589" s="89"/>
      <c r="D589" s="89"/>
      <c r="E589" s="89"/>
    </row>
    <row r="590">
      <c r="B590" s="89"/>
      <c r="C590" s="89"/>
      <c r="D590" s="89"/>
      <c r="E590" s="89"/>
    </row>
    <row r="591">
      <c r="B591" s="89"/>
      <c r="C591" s="89"/>
      <c r="D591" s="89"/>
      <c r="E591" s="89"/>
    </row>
    <row r="592">
      <c r="B592" s="89"/>
      <c r="C592" s="89"/>
      <c r="D592" s="89"/>
      <c r="E592" s="89"/>
    </row>
    <row r="593">
      <c r="B593" s="89"/>
      <c r="C593" s="89"/>
      <c r="D593" s="89"/>
      <c r="E593" s="89"/>
    </row>
    <row r="594">
      <c r="B594" s="89"/>
      <c r="C594" s="89"/>
      <c r="D594" s="89"/>
      <c r="E594" s="89"/>
    </row>
    <row r="595">
      <c r="B595" s="89"/>
      <c r="C595" s="89"/>
      <c r="D595" s="89"/>
      <c r="E595" s="89"/>
    </row>
    <row r="596">
      <c r="B596" s="89"/>
      <c r="C596" s="89"/>
      <c r="D596" s="89"/>
      <c r="E596" s="89"/>
    </row>
    <row r="597">
      <c r="B597" s="89"/>
      <c r="C597" s="89"/>
      <c r="D597" s="89"/>
      <c r="E597" s="89"/>
    </row>
    <row r="598">
      <c r="B598" s="89"/>
      <c r="C598" s="89"/>
      <c r="D598" s="89"/>
      <c r="E598" s="89"/>
    </row>
    <row r="599">
      <c r="B599" s="89"/>
      <c r="C599" s="89"/>
      <c r="D599" s="89"/>
      <c r="E599" s="89"/>
    </row>
    <row r="600">
      <c r="B600" s="89"/>
      <c r="C600" s="89"/>
      <c r="D600" s="89"/>
      <c r="E600" s="89"/>
    </row>
    <row r="601">
      <c r="B601" s="89"/>
      <c r="C601" s="89"/>
      <c r="D601" s="89"/>
      <c r="E601" s="89"/>
    </row>
    <row r="602">
      <c r="B602" s="89"/>
      <c r="C602" s="89"/>
      <c r="D602" s="89"/>
      <c r="E602" s="89"/>
    </row>
    <row r="603">
      <c r="B603" s="89"/>
      <c r="C603" s="89"/>
      <c r="D603" s="89"/>
      <c r="E603" s="89"/>
    </row>
    <row r="604">
      <c r="B604" s="89"/>
      <c r="C604" s="89"/>
      <c r="D604" s="89"/>
      <c r="E604" s="89"/>
    </row>
    <row r="605">
      <c r="B605" s="89"/>
      <c r="C605" s="89"/>
      <c r="D605" s="89"/>
      <c r="E605" s="89"/>
    </row>
    <row r="606">
      <c r="B606" s="89"/>
      <c r="C606" s="89"/>
      <c r="D606" s="89"/>
      <c r="E606" s="89"/>
    </row>
    <row r="607">
      <c r="B607" s="89"/>
      <c r="C607" s="89"/>
      <c r="D607" s="89"/>
      <c r="E607" s="89"/>
    </row>
    <row r="608">
      <c r="B608" s="89"/>
      <c r="C608" s="89"/>
      <c r="D608" s="89"/>
      <c r="E608" s="89"/>
    </row>
    <row r="609">
      <c r="B609" s="89"/>
      <c r="C609" s="89"/>
      <c r="D609" s="89"/>
      <c r="E609" s="89"/>
    </row>
    <row r="610">
      <c r="B610" s="89"/>
      <c r="C610" s="89"/>
      <c r="D610" s="89"/>
      <c r="E610" s="89"/>
    </row>
    <row r="611">
      <c r="B611" s="89"/>
      <c r="C611" s="89"/>
      <c r="D611" s="89"/>
      <c r="E611" s="89"/>
    </row>
    <row r="612">
      <c r="B612" s="89"/>
      <c r="C612" s="89"/>
      <c r="D612" s="89"/>
      <c r="E612" s="89"/>
    </row>
    <row r="613">
      <c r="B613" s="89"/>
      <c r="C613" s="89"/>
      <c r="D613" s="89"/>
      <c r="E613" s="89"/>
    </row>
    <row r="614">
      <c r="B614" s="89"/>
      <c r="C614" s="89"/>
      <c r="D614" s="89"/>
      <c r="E614" s="89"/>
    </row>
    <row r="615">
      <c r="B615" s="89"/>
      <c r="C615" s="89"/>
      <c r="D615" s="89"/>
      <c r="E615" s="89"/>
    </row>
    <row r="616">
      <c r="B616" s="89"/>
      <c r="C616" s="89"/>
      <c r="D616" s="89"/>
      <c r="E616" s="89"/>
    </row>
    <row r="617">
      <c r="B617" s="89"/>
      <c r="C617" s="89"/>
      <c r="D617" s="89"/>
      <c r="E617" s="89"/>
    </row>
    <row r="618">
      <c r="B618" s="89"/>
      <c r="C618" s="89"/>
      <c r="D618" s="89"/>
      <c r="E618" s="89"/>
    </row>
    <row r="619">
      <c r="B619" s="89"/>
      <c r="C619" s="89"/>
      <c r="D619" s="89"/>
      <c r="E619" s="89"/>
    </row>
    <row r="620">
      <c r="B620" s="89"/>
      <c r="C620" s="89"/>
      <c r="D620" s="89"/>
      <c r="E620" s="89"/>
    </row>
    <row r="621">
      <c r="B621" s="89"/>
      <c r="C621" s="89"/>
      <c r="D621" s="89"/>
      <c r="E621" s="89"/>
    </row>
    <row r="622">
      <c r="B622" s="89"/>
      <c r="C622" s="89"/>
      <c r="D622" s="89"/>
      <c r="E622" s="89"/>
    </row>
    <row r="623">
      <c r="B623" s="89"/>
      <c r="C623" s="89"/>
      <c r="D623" s="89"/>
      <c r="E623" s="89"/>
    </row>
    <row r="624">
      <c r="B624" s="89"/>
      <c r="C624" s="89"/>
      <c r="D624" s="89"/>
      <c r="E624" s="89"/>
    </row>
    <row r="625">
      <c r="B625" s="89"/>
      <c r="C625" s="89"/>
      <c r="D625" s="89"/>
      <c r="E625" s="89"/>
    </row>
    <row r="626">
      <c r="B626" s="89"/>
      <c r="C626" s="89"/>
      <c r="D626" s="89"/>
      <c r="E626" s="89"/>
    </row>
    <row r="627">
      <c r="B627" s="89"/>
      <c r="C627" s="89"/>
      <c r="D627" s="89"/>
      <c r="E627" s="89"/>
    </row>
    <row r="628">
      <c r="B628" s="89"/>
      <c r="C628" s="89"/>
      <c r="D628" s="89"/>
      <c r="E628" s="89"/>
    </row>
    <row r="629">
      <c r="B629" s="89"/>
      <c r="C629" s="89"/>
      <c r="D629" s="89"/>
      <c r="E629" s="89"/>
    </row>
    <row r="630">
      <c r="B630" s="89"/>
      <c r="C630" s="89"/>
      <c r="D630" s="89"/>
      <c r="E630" s="89"/>
    </row>
    <row r="631">
      <c r="B631" s="89"/>
      <c r="C631" s="89"/>
      <c r="D631" s="89"/>
      <c r="E631" s="89"/>
    </row>
    <row r="632">
      <c r="B632" s="89"/>
      <c r="C632" s="89"/>
      <c r="D632" s="89"/>
      <c r="E632" s="89"/>
    </row>
    <row r="633">
      <c r="B633" s="89"/>
      <c r="C633" s="89"/>
      <c r="D633" s="89"/>
      <c r="E633" s="89"/>
    </row>
    <row r="634">
      <c r="B634" s="89"/>
      <c r="C634" s="89"/>
      <c r="D634" s="89"/>
      <c r="E634" s="89"/>
    </row>
    <row r="635">
      <c r="B635" s="89"/>
      <c r="C635" s="89"/>
      <c r="D635" s="89"/>
      <c r="E635" s="89"/>
    </row>
    <row r="636">
      <c r="B636" s="89"/>
      <c r="C636" s="89"/>
      <c r="D636" s="89"/>
      <c r="E636" s="89"/>
    </row>
    <row r="637">
      <c r="B637" s="89"/>
      <c r="C637" s="89"/>
      <c r="D637" s="89"/>
      <c r="E637" s="89"/>
    </row>
    <row r="638">
      <c r="B638" s="89"/>
      <c r="C638" s="89"/>
      <c r="D638" s="89"/>
      <c r="E638" s="89"/>
    </row>
    <row r="639">
      <c r="B639" s="89"/>
      <c r="C639" s="89"/>
      <c r="D639" s="89"/>
      <c r="E639" s="89"/>
    </row>
    <row r="640">
      <c r="B640" s="89"/>
      <c r="C640" s="89"/>
      <c r="D640" s="89"/>
      <c r="E640" s="89"/>
    </row>
    <row r="641">
      <c r="B641" s="89"/>
      <c r="C641" s="89"/>
      <c r="D641" s="89"/>
      <c r="E641" s="89"/>
    </row>
    <row r="642">
      <c r="B642" s="89"/>
      <c r="C642" s="89"/>
      <c r="D642" s="89"/>
      <c r="E642" s="89"/>
    </row>
    <row r="643">
      <c r="B643" s="89"/>
      <c r="C643" s="89"/>
      <c r="D643" s="89"/>
      <c r="E643" s="89"/>
    </row>
    <row r="644">
      <c r="B644" s="89"/>
      <c r="C644" s="89"/>
      <c r="D644" s="89"/>
      <c r="E644" s="89"/>
    </row>
    <row r="645">
      <c r="B645" s="89"/>
      <c r="C645" s="89"/>
      <c r="D645" s="89"/>
      <c r="E645" s="89"/>
    </row>
    <row r="646">
      <c r="B646" s="89"/>
      <c r="C646" s="89"/>
      <c r="D646" s="89"/>
      <c r="E646" s="89"/>
    </row>
    <row r="647">
      <c r="B647" s="89"/>
      <c r="C647" s="89"/>
      <c r="D647" s="89"/>
      <c r="E647" s="89"/>
    </row>
    <row r="648">
      <c r="B648" s="89"/>
      <c r="C648" s="89"/>
      <c r="D648" s="89"/>
      <c r="E648" s="89"/>
    </row>
    <row r="649">
      <c r="B649" s="89"/>
      <c r="C649" s="89"/>
      <c r="D649" s="89"/>
      <c r="E649" s="89"/>
    </row>
    <row r="650">
      <c r="B650" s="89"/>
      <c r="C650" s="89"/>
      <c r="D650" s="89"/>
      <c r="E650" s="89"/>
    </row>
    <row r="651">
      <c r="B651" s="89"/>
      <c r="C651" s="89"/>
      <c r="D651" s="89"/>
      <c r="E651" s="89"/>
    </row>
    <row r="652">
      <c r="B652" s="89"/>
      <c r="C652" s="89"/>
      <c r="D652" s="89"/>
      <c r="E652" s="89"/>
    </row>
    <row r="653">
      <c r="B653" s="89"/>
      <c r="C653" s="89"/>
      <c r="D653" s="89"/>
      <c r="E653" s="89"/>
    </row>
    <row r="654">
      <c r="B654" s="89"/>
      <c r="C654" s="89"/>
      <c r="D654" s="89"/>
      <c r="E654" s="89"/>
    </row>
    <row r="655">
      <c r="B655" s="89"/>
      <c r="C655" s="89"/>
      <c r="D655" s="89"/>
      <c r="E655" s="89"/>
    </row>
    <row r="656">
      <c r="B656" s="89"/>
      <c r="C656" s="89"/>
      <c r="D656" s="89"/>
      <c r="E656" s="89"/>
    </row>
    <row r="657">
      <c r="B657" s="89"/>
      <c r="C657" s="89"/>
      <c r="D657" s="89"/>
      <c r="E657" s="89"/>
    </row>
    <row r="658">
      <c r="B658" s="89"/>
      <c r="C658" s="89"/>
      <c r="D658" s="89"/>
      <c r="E658" s="89"/>
    </row>
    <row r="659">
      <c r="B659" s="89"/>
      <c r="C659" s="89"/>
      <c r="D659" s="89"/>
      <c r="E659" s="89"/>
    </row>
    <row r="660">
      <c r="B660" s="89"/>
      <c r="C660" s="89"/>
      <c r="D660" s="89"/>
      <c r="E660" s="89"/>
    </row>
    <row r="661">
      <c r="B661" s="89"/>
      <c r="C661" s="89"/>
      <c r="D661" s="89"/>
      <c r="E661" s="89"/>
    </row>
    <row r="662">
      <c r="B662" s="89"/>
      <c r="C662" s="89"/>
      <c r="D662" s="89"/>
      <c r="E662" s="89"/>
    </row>
    <row r="663">
      <c r="B663" s="89"/>
      <c r="C663" s="89"/>
      <c r="D663" s="89"/>
      <c r="E663" s="89"/>
    </row>
    <row r="664">
      <c r="B664" s="89"/>
      <c r="C664" s="89"/>
      <c r="D664" s="89"/>
      <c r="E664" s="89"/>
    </row>
    <row r="665">
      <c r="B665" s="89"/>
      <c r="C665" s="89"/>
      <c r="D665" s="89"/>
      <c r="E665" s="89"/>
    </row>
    <row r="666">
      <c r="B666" s="89"/>
      <c r="C666" s="89"/>
      <c r="D666" s="89"/>
      <c r="E666" s="89"/>
    </row>
    <row r="667">
      <c r="B667" s="89"/>
      <c r="C667" s="89"/>
      <c r="D667" s="89"/>
      <c r="E667" s="89"/>
    </row>
    <row r="668">
      <c r="B668" s="89"/>
      <c r="C668" s="89"/>
      <c r="D668" s="89"/>
      <c r="E668" s="89"/>
    </row>
    <row r="669">
      <c r="B669" s="89"/>
      <c r="C669" s="89"/>
      <c r="D669" s="89"/>
      <c r="E669" s="89"/>
    </row>
    <row r="670">
      <c r="B670" s="89"/>
      <c r="C670" s="89"/>
      <c r="D670" s="89"/>
      <c r="E670" s="89"/>
    </row>
    <row r="671">
      <c r="B671" s="89"/>
      <c r="C671" s="89"/>
      <c r="D671" s="89"/>
      <c r="E671" s="89"/>
    </row>
    <row r="672">
      <c r="B672" s="89"/>
      <c r="C672" s="89"/>
      <c r="D672" s="89"/>
      <c r="E672" s="89"/>
    </row>
    <row r="673">
      <c r="B673" s="89"/>
      <c r="C673" s="89"/>
      <c r="D673" s="89"/>
      <c r="E673" s="89"/>
    </row>
    <row r="674">
      <c r="B674" s="89"/>
      <c r="C674" s="89"/>
      <c r="D674" s="89"/>
      <c r="E674" s="89"/>
    </row>
    <row r="675">
      <c r="B675" s="89"/>
      <c r="C675" s="89"/>
      <c r="D675" s="89"/>
      <c r="E675" s="89"/>
    </row>
    <row r="676">
      <c r="B676" s="89"/>
      <c r="C676" s="89"/>
      <c r="D676" s="89"/>
      <c r="E676" s="89"/>
    </row>
    <row r="677">
      <c r="B677" s="89"/>
      <c r="C677" s="89"/>
      <c r="D677" s="89"/>
      <c r="E677" s="89"/>
    </row>
    <row r="678">
      <c r="B678" s="89"/>
      <c r="C678" s="89"/>
      <c r="D678" s="89"/>
      <c r="E678" s="89"/>
    </row>
    <row r="679">
      <c r="B679" s="89"/>
      <c r="C679" s="89"/>
      <c r="D679" s="89"/>
      <c r="E679" s="89"/>
    </row>
    <row r="680">
      <c r="B680" s="89"/>
      <c r="C680" s="89"/>
      <c r="D680" s="89"/>
      <c r="E680" s="89"/>
    </row>
    <row r="681">
      <c r="B681" s="89"/>
      <c r="C681" s="89"/>
      <c r="D681" s="89"/>
      <c r="E681" s="89"/>
    </row>
    <row r="682">
      <c r="B682" s="89"/>
      <c r="C682" s="89"/>
      <c r="D682" s="89"/>
      <c r="E682" s="89"/>
    </row>
    <row r="683">
      <c r="B683" s="89"/>
      <c r="C683" s="89"/>
      <c r="D683" s="89"/>
      <c r="E683" s="89"/>
    </row>
    <row r="684">
      <c r="B684" s="89"/>
      <c r="C684" s="89"/>
      <c r="D684" s="89"/>
      <c r="E684" s="89"/>
    </row>
    <row r="685">
      <c r="B685" s="89"/>
      <c r="C685" s="89"/>
      <c r="D685" s="89"/>
      <c r="E685" s="89"/>
    </row>
    <row r="686">
      <c r="B686" s="89"/>
      <c r="C686" s="89"/>
      <c r="D686" s="89"/>
      <c r="E686" s="89"/>
    </row>
    <row r="687">
      <c r="B687" s="89"/>
      <c r="C687" s="89"/>
      <c r="D687" s="89"/>
      <c r="E687" s="89"/>
    </row>
    <row r="688">
      <c r="B688" s="89"/>
      <c r="C688" s="89"/>
      <c r="D688" s="89"/>
      <c r="E688" s="89"/>
    </row>
    <row r="689">
      <c r="B689" s="89"/>
      <c r="C689" s="89"/>
      <c r="D689" s="89"/>
      <c r="E689" s="89"/>
    </row>
    <row r="690">
      <c r="B690" s="89"/>
      <c r="C690" s="89"/>
      <c r="D690" s="89"/>
      <c r="E690" s="89"/>
    </row>
    <row r="691">
      <c r="B691" s="89"/>
      <c r="C691" s="89"/>
      <c r="D691" s="89"/>
      <c r="E691" s="89"/>
    </row>
    <row r="692">
      <c r="B692" s="89"/>
      <c r="C692" s="89"/>
      <c r="D692" s="89"/>
      <c r="E692" s="89"/>
    </row>
    <row r="693">
      <c r="B693" s="89"/>
      <c r="C693" s="89"/>
      <c r="D693" s="89"/>
      <c r="E693" s="89"/>
    </row>
    <row r="694">
      <c r="B694" s="89"/>
      <c r="C694" s="89"/>
      <c r="D694" s="89"/>
      <c r="E694" s="89"/>
    </row>
    <row r="695">
      <c r="B695" s="89"/>
      <c r="C695" s="89"/>
      <c r="D695" s="89"/>
      <c r="E695" s="89"/>
    </row>
    <row r="696">
      <c r="B696" s="89"/>
      <c r="C696" s="89"/>
      <c r="D696" s="89"/>
      <c r="E696" s="89"/>
    </row>
    <row r="697">
      <c r="B697" s="89"/>
      <c r="C697" s="89"/>
      <c r="D697" s="89"/>
      <c r="E697" s="89"/>
    </row>
    <row r="698">
      <c r="B698" s="89"/>
      <c r="C698" s="89"/>
      <c r="D698" s="89"/>
      <c r="E698" s="89"/>
    </row>
    <row r="699">
      <c r="B699" s="89"/>
      <c r="C699" s="89"/>
      <c r="D699" s="89"/>
      <c r="E699" s="89"/>
    </row>
    <row r="700">
      <c r="B700" s="89"/>
      <c r="C700" s="89"/>
      <c r="D700" s="89"/>
      <c r="E700" s="89"/>
    </row>
    <row r="701">
      <c r="B701" s="89"/>
      <c r="C701" s="89"/>
      <c r="D701" s="89"/>
      <c r="E701" s="89"/>
    </row>
    <row r="702">
      <c r="B702" s="89"/>
      <c r="C702" s="89"/>
      <c r="D702" s="89"/>
      <c r="E702" s="89"/>
    </row>
    <row r="703">
      <c r="B703" s="89"/>
      <c r="C703" s="89"/>
      <c r="D703" s="89"/>
      <c r="E703" s="89"/>
    </row>
    <row r="704">
      <c r="B704" s="89"/>
      <c r="C704" s="89"/>
      <c r="D704" s="89"/>
      <c r="E704" s="89"/>
    </row>
    <row r="705">
      <c r="B705" s="89"/>
      <c r="C705" s="89"/>
      <c r="D705" s="89"/>
      <c r="E705" s="89"/>
    </row>
    <row r="706">
      <c r="B706" s="89"/>
      <c r="C706" s="89"/>
      <c r="D706" s="89"/>
      <c r="E706" s="89"/>
    </row>
    <row r="707">
      <c r="B707" s="89"/>
      <c r="C707" s="89"/>
      <c r="D707" s="89"/>
      <c r="E707" s="89"/>
    </row>
    <row r="708">
      <c r="B708" s="89"/>
      <c r="C708" s="89"/>
      <c r="D708" s="89"/>
      <c r="E708" s="89"/>
    </row>
    <row r="709">
      <c r="B709" s="89"/>
      <c r="C709" s="89"/>
      <c r="D709" s="89"/>
      <c r="E709" s="89"/>
    </row>
    <row r="710">
      <c r="B710" s="89"/>
      <c r="C710" s="89"/>
      <c r="D710" s="89"/>
      <c r="E710" s="89"/>
    </row>
    <row r="711">
      <c r="B711" s="89"/>
      <c r="C711" s="89"/>
      <c r="D711" s="89"/>
      <c r="E711" s="89"/>
    </row>
    <row r="712">
      <c r="B712" s="89"/>
      <c r="C712" s="89"/>
      <c r="D712" s="89"/>
      <c r="E712" s="89"/>
    </row>
    <row r="713">
      <c r="B713" s="89"/>
      <c r="C713" s="89"/>
      <c r="D713" s="89"/>
      <c r="E713" s="89"/>
    </row>
    <row r="714">
      <c r="B714" s="89"/>
      <c r="C714" s="89"/>
      <c r="D714" s="89"/>
      <c r="E714" s="89"/>
    </row>
    <row r="715">
      <c r="B715" s="89"/>
      <c r="C715" s="89"/>
      <c r="D715" s="89"/>
      <c r="E715" s="89"/>
    </row>
    <row r="716">
      <c r="B716" s="89"/>
      <c r="C716" s="89"/>
      <c r="D716" s="89"/>
      <c r="E716" s="89"/>
    </row>
    <row r="717">
      <c r="B717" s="89"/>
      <c r="C717" s="89"/>
      <c r="D717" s="89"/>
      <c r="E717" s="89"/>
    </row>
    <row r="718">
      <c r="B718" s="89"/>
      <c r="C718" s="89"/>
      <c r="D718" s="89"/>
      <c r="E718" s="89"/>
    </row>
    <row r="719">
      <c r="B719" s="89"/>
      <c r="C719" s="89"/>
      <c r="D719" s="89"/>
      <c r="E719" s="89"/>
    </row>
    <row r="720">
      <c r="B720" s="89"/>
      <c r="C720" s="89"/>
      <c r="D720" s="89"/>
      <c r="E720" s="89"/>
    </row>
    <row r="721">
      <c r="B721" s="89"/>
      <c r="C721" s="89"/>
      <c r="D721" s="89"/>
      <c r="E721" s="89"/>
    </row>
    <row r="722">
      <c r="B722" s="89"/>
      <c r="C722" s="89"/>
      <c r="D722" s="89"/>
      <c r="E722" s="89"/>
    </row>
    <row r="723">
      <c r="B723" s="89"/>
      <c r="C723" s="89"/>
      <c r="D723" s="89"/>
      <c r="E723" s="89"/>
    </row>
    <row r="724">
      <c r="B724" s="89"/>
      <c r="C724" s="89"/>
      <c r="D724" s="89"/>
      <c r="E724" s="89"/>
    </row>
    <row r="725">
      <c r="B725" s="89"/>
      <c r="C725" s="89"/>
      <c r="D725" s="89"/>
      <c r="E725" s="89"/>
    </row>
    <row r="726">
      <c r="B726" s="89"/>
      <c r="C726" s="89"/>
      <c r="D726" s="89"/>
      <c r="E726" s="89"/>
    </row>
    <row r="727">
      <c r="B727" s="89"/>
      <c r="C727" s="89"/>
      <c r="D727" s="89"/>
      <c r="E727" s="89"/>
    </row>
    <row r="728">
      <c r="B728" s="89"/>
      <c r="C728" s="89"/>
      <c r="D728" s="89"/>
      <c r="E728" s="89"/>
    </row>
    <row r="729">
      <c r="B729" s="89"/>
      <c r="C729" s="89"/>
      <c r="D729" s="89"/>
      <c r="E729" s="89"/>
    </row>
    <row r="730">
      <c r="B730" s="89"/>
      <c r="C730" s="89"/>
      <c r="D730" s="89"/>
      <c r="E730" s="89"/>
    </row>
    <row r="731">
      <c r="B731" s="89"/>
      <c r="C731" s="89"/>
      <c r="D731" s="89"/>
      <c r="E731" s="89"/>
    </row>
    <row r="732">
      <c r="B732" s="89"/>
      <c r="C732" s="89"/>
      <c r="D732" s="89"/>
      <c r="E732" s="89"/>
    </row>
    <row r="733">
      <c r="B733" s="89"/>
      <c r="C733" s="89"/>
      <c r="D733" s="89"/>
      <c r="E733" s="89"/>
    </row>
    <row r="734">
      <c r="B734" s="89"/>
      <c r="C734" s="89"/>
      <c r="D734" s="89"/>
      <c r="E734" s="89"/>
    </row>
    <row r="735">
      <c r="B735" s="89"/>
      <c r="C735" s="89"/>
      <c r="D735" s="89"/>
      <c r="E735" s="89"/>
    </row>
    <row r="736">
      <c r="B736" s="89"/>
      <c r="C736" s="89"/>
      <c r="D736" s="89"/>
      <c r="E736" s="89"/>
    </row>
    <row r="737">
      <c r="B737" s="89"/>
      <c r="C737" s="89"/>
      <c r="D737" s="89"/>
      <c r="E737" s="89"/>
    </row>
    <row r="738">
      <c r="B738" s="89"/>
      <c r="C738" s="89"/>
      <c r="D738" s="89"/>
      <c r="E738" s="89"/>
    </row>
    <row r="739">
      <c r="B739" s="89"/>
      <c r="C739" s="89"/>
      <c r="D739" s="89"/>
      <c r="E739" s="89"/>
    </row>
    <row r="740">
      <c r="B740" s="89"/>
      <c r="C740" s="89"/>
      <c r="D740" s="89"/>
      <c r="E740" s="89"/>
    </row>
    <row r="741">
      <c r="B741" s="89"/>
      <c r="C741" s="89"/>
      <c r="D741" s="89"/>
      <c r="E741" s="89"/>
    </row>
    <row r="742">
      <c r="B742" s="89"/>
      <c r="C742" s="89"/>
      <c r="D742" s="89"/>
      <c r="E742" s="89"/>
    </row>
    <row r="743">
      <c r="B743" s="89"/>
      <c r="C743" s="89"/>
      <c r="D743" s="89"/>
      <c r="E743" s="89"/>
    </row>
    <row r="744">
      <c r="B744" s="89"/>
      <c r="C744" s="89"/>
      <c r="D744" s="89"/>
      <c r="E744" s="89"/>
    </row>
    <row r="745">
      <c r="B745" s="89"/>
      <c r="C745" s="89"/>
      <c r="D745" s="89"/>
      <c r="E745" s="89"/>
    </row>
    <row r="746">
      <c r="B746" s="89"/>
      <c r="C746" s="89"/>
      <c r="D746" s="89"/>
      <c r="E746" s="89"/>
    </row>
    <row r="747">
      <c r="B747" s="89"/>
      <c r="C747" s="89"/>
      <c r="D747" s="89"/>
      <c r="E747" s="89"/>
    </row>
    <row r="748">
      <c r="B748" s="89"/>
      <c r="C748" s="89"/>
      <c r="D748" s="89"/>
      <c r="E748" s="89"/>
    </row>
    <row r="749">
      <c r="B749" s="89"/>
      <c r="C749" s="89"/>
      <c r="D749" s="89"/>
      <c r="E749" s="89"/>
    </row>
    <row r="750">
      <c r="B750" s="89"/>
      <c r="C750" s="89"/>
      <c r="D750" s="89"/>
      <c r="E750" s="89"/>
    </row>
    <row r="751">
      <c r="B751" s="89"/>
      <c r="C751" s="89"/>
      <c r="D751" s="89"/>
      <c r="E751" s="89"/>
    </row>
    <row r="752">
      <c r="B752" s="89"/>
      <c r="C752" s="89"/>
      <c r="D752" s="89"/>
      <c r="E752" s="89"/>
    </row>
    <row r="753">
      <c r="B753" s="89"/>
      <c r="C753" s="89"/>
      <c r="D753" s="89"/>
      <c r="E753" s="89"/>
    </row>
    <row r="754">
      <c r="B754" s="89"/>
      <c r="C754" s="89"/>
      <c r="D754" s="89"/>
      <c r="E754" s="89"/>
    </row>
    <row r="755">
      <c r="B755" s="89"/>
      <c r="C755" s="89"/>
      <c r="D755" s="89"/>
      <c r="E755" s="89"/>
    </row>
    <row r="756">
      <c r="B756" s="89"/>
      <c r="C756" s="89"/>
      <c r="D756" s="89"/>
      <c r="E756" s="89"/>
    </row>
    <row r="757">
      <c r="B757" s="89"/>
      <c r="C757" s="89"/>
      <c r="D757" s="89"/>
      <c r="E757" s="89"/>
    </row>
    <row r="758">
      <c r="B758" s="89"/>
      <c r="C758" s="89"/>
      <c r="D758" s="89"/>
      <c r="E758" s="89"/>
    </row>
    <row r="759">
      <c r="B759" s="89"/>
      <c r="C759" s="89"/>
      <c r="D759" s="89"/>
      <c r="E759" s="89"/>
    </row>
    <row r="760">
      <c r="B760" s="89"/>
      <c r="C760" s="89"/>
      <c r="D760" s="89"/>
      <c r="E760" s="89"/>
    </row>
    <row r="761">
      <c r="B761" s="89"/>
      <c r="C761" s="89"/>
      <c r="D761" s="89"/>
      <c r="E761" s="89"/>
    </row>
    <row r="762">
      <c r="B762" s="89"/>
      <c r="C762" s="89"/>
      <c r="D762" s="89"/>
      <c r="E762" s="89"/>
    </row>
    <row r="763">
      <c r="B763" s="89"/>
      <c r="C763" s="89"/>
      <c r="D763" s="89"/>
      <c r="E763" s="89"/>
    </row>
    <row r="764">
      <c r="B764" s="89"/>
      <c r="C764" s="89"/>
      <c r="D764" s="89"/>
      <c r="E764" s="89"/>
    </row>
    <row r="765">
      <c r="B765" s="89"/>
      <c r="C765" s="89"/>
      <c r="D765" s="89"/>
      <c r="E765" s="89"/>
    </row>
    <row r="766">
      <c r="B766" s="89"/>
      <c r="C766" s="89"/>
      <c r="D766" s="89"/>
      <c r="E766" s="89"/>
    </row>
    <row r="767">
      <c r="B767" s="89"/>
      <c r="C767" s="89"/>
      <c r="D767" s="89"/>
      <c r="E767" s="89"/>
    </row>
    <row r="768">
      <c r="B768" s="89"/>
      <c r="C768" s="89"/>
      <c r="D768" s="89"/>
      <c r="E768" s="89"/>
    </row>
    <row r="769">
      <c r="B769" s="89"/>
      <c r="C769" s="89"/>
      <c r="D769" s="89"/>
      <c r="E769" s="89"/>
    </row>
    <row r="770">
      <c r="B770" s="89"/>
      <c r="C770" s="89"/>
      <c r="D770" s="89"/>
      <c r="E770" s="89"/>
    </row>
    <row r="771">
      <c r="B771" s="89"/>
      <c r="C771" s="89"/>
      <c r="D771" s="89"/>
      <c r="E771" s="89"/>
    </row>
    <row r="772">
      <c r="B772" s="89"/>
      <c r="C772" s="89"/>
      <c r="D772" s="89"/>
      <c r="E772" s="89"/>
    </row>
    <row r="773">
      <c r="B773" s="89"/>
      <c r="C773" s="89"/>
      <c r="D773" s="89"/>
      <c r="E773" s="89"/>
    </row>
    <row r="774">
      <c r="B774" s="89"/>
      <c r="C774" s="89"/>
      <c r="D774" s="89"/>
      <c r="E774" s="89"/>
    </row>
    <row r="775">
      <c r="B775" s="89"/>
      <c r="C775" s="89"/>
      <c r="D775" s="89"/>
      <c r="E775" s="89"/>
    </row>
    <row r="776">
      <c r="B776" s="89"/>
      <c r="C776" s="89"/>
      <c r="D776" s="89"/>
      <c r="E776" s="89"/>
    </row>
    <row r="777">
      <c r="B777" s="89"/>
      <c r="C777" s="89"/>
      <c r="D777" s="89"/>
      <c r="E777" s="89"/>
    </row>
    <row r="778">
      <c r="B778" s="89"/>
      <c r="C778" s="89"/>
      <c r="D778" s="89"/>
      <c r="E778" s="89"/>
    </row>
    <row r="779">
      <c r="B779" s="89"/>
      <c r="C779" s="89"/>
      <c r="D779" s="89"/>
      <c r="E779" s="89"/>
    </row>
    <row r="780">
      <c r="B780" s="89"/>
      <c r="C780" s="89"/>
      <c r="D780" s="89"/>
      <c r="E780" s="89"/>
    </row>
    <row r="781">
      <c r="B781" s="89"/>
      <c r="C781" s="89"/>
      <c r="D781" s="89"/>
      <c r="E781" s="89"/>
    </row>
    <row r="782">
      <c r="B782" s="89"/>
      <c r="C782" s="89"/>
      <c r="D782" s="89"/>
      <c r="E782" s="89"/>
    </row>
    <row r="783">
      <c r="B783" s="89"/>
      <c r="C783" s="89"/>
      <c r="D783" s="89"/>
      <c r="E783" s="89"/>
    </row>
    <row r="784">
      <c r="B784" s="89"/>
      <c r="C784" s="89"/>
      <c r="D784" s="89"/>
      <c r="E784" s="89"/>
    </row>
    <row r="785">
      <c r="B785" s="89"/>
      <c r="C785" s="89"/>
      <c r="D785" s="89"/>
      <c r="E785" s="89"/>
    </row>
    <row r="786">
      <c r="B786" s="89"/>
      <c r="C786" s="89"/>
      <c r="D786" s="89"/>
      <c r="E786" s="89"/>
    </row>
    <row r="787">
      <c r="B787" s="89"/>
      <c r="C787" s="89"/>
      <c r="D787" s="89"/>
      <c r="E787" s="89"/>
    </row>
    <row r="788">
      <c r="B788" s="89"/>
      <c r="C788" s="89"/>
      <c r="D788" s="89"/>
      <c r="E788" s="89"/>
    </row>
    <row r="789">
      <c r="B789" s="89"/>
      <c r="C789" s="89"/>
      <c r="D789" s="89"/>
      <c r="E789" s="89"/>
    </row>
    <row r="790">
      <c r="B790" s="89"/>
      <c r="C790" s="89"/>
      <c r="D790" s="89"/>
      <c r="E790" s="89"/>
    </row>
    <row r="791">
      <c r="B791" s="89"/>
      <c r="C791" s="89"/>
      <c r="D791" s="89"/>
      <c r="E791" s="89"/>
    </row>
    <row r="792">
      <c r="B792" s="89"/>
      <c r="C792" s="89"/>
      <c r="D792" s="89"/>
      <c r="E792" s="89"/>
    </row>
    <row r="793">
      <c r="B793" s="89"/>
      <c r="C793" s="89"/>
      <c r="D793" s="89"/>
      <c r="E793" s="89"/>
    </row>
    <row r="794">
      <c r="B794" s="89"/>
      <c r="C794" s="89"/>
      <c r="D794" s="89"/>
      <c r="E794" s="89"/>
    </row>
    <row r="795">
      <c r="B795" s="89"/>
      <c r="C795" s="89"/>
      <c r="D795" s="89"/>
      <c r="E795" s="89"/>
    </row>
    <row r="796">
      <c r="B796" s="89"/>
      <c r="C796" s="89"/>
      <c r="D796" s="89"/>
      <c r="E796" s="89"/>
    </row>
    <row r="797">
      <c r="B797" s="89"/>
      <c r="C797" s="89"/>
      <c r="D797" s="89"/>
      <c r="E797" s="89"/>
    </row>
    <row r="798">
      <c r="B798" s="89"/>
      <c r="C798" s="89"/>
      <c r="D798" s="89"/>
      <c r="E798" s="89"/>
    </row>
    <row r="799">
      <c r="B799" s="89"/>
      <c r="C799" s="89"/>
      <c r="D799" s="89"/>
      <c r="E799" s="89"/>
    </row>
    <row r="800">
      <c r="B800" s="89"/>
      <c r="C800" s="89"/>
      <c r="D800" s="89"/>
      <c r="E800" s="89"/>
    </row>
    <row r="801">
      <c r="B801" s="89"/>
      <c r="C801" s="89"/>
      <c r="D801" s="89"/>
      <c r="E801" s="89"/>
    </row>
    <row r="802">
      <c r="B802" s="89"/>
      <c r="C802" s="89"/>
      <c r="D802" s="89"/>
      <c r="E802" s="89"/>
    </row>
    <row r="803">
      <c r="B803" s="89"/>
      <c r="C803" s="89"/>
      <c r="D803" s="89"/>
      <c r="E803" s="89"/>
    </row>
    <row r="804">
      <c r="B804" s="89"/>
      <c r="C804" s="89"/>
      <c r="D804" s="89"/>
      <c r="E804" s="89"/>
    </row>
    <row r="805">
      <c r="B805" s="89"/>
      <c r="C805" s="89"/>
      <c r="D805" s="89"/>
      <c r="E805" s="89"/>
    </row>
    <row r="806">
      <c r="B806" s="89"/>
      <c r="C806" s="89"/>
      <c r="D806" s="89"/>
      <c r="E806" s="89"/>
    </row>
    <row r="807">
      <c r="B807" s="89"/>
      <c r="C807" s="89"/>
      <c r="D807" s="89"/>
      <c r="E807" s="89"/>
    </row>
    <row r="808">
      <c r="B808" s="89"/>
      <c r="C808" s="89"/>
      <c r="D808" s="89"/>
      <c r="E808" s="89"/>
    </row>
    <row r="809">
      <c r="B809" s="89"/>
      <c r="C809" s="89"/>
      <c r="D809" s="89"/>
      <c r="E809" s="89"/>
    </row>
    <row r="810">
      <c r="B810" s="89"/>
      <c r="C810" s="89"/>
      <c r="D810" s="89"/>
      <c r="E810" s="89"/>
    </row>
    <row r="811">
      <c r="B811" s="89"/>
      <c r="C811" s="89"/>
      <c r="D811" s="89"/>
      <c r="E811" s="89"/>
    </row>
    <row r="812">
      <c r="B812" s="89"/>
      <c r="C812" s="89"/>
      <c r="D812" s="89"/>
      <c r="E812" s="89"/>
    </row>
    <row r="813">
      <c r="B813" s="89"/>
      <c r="C813" s="89"/>
      <c r="D813" s="89"/>
      <c r="E813" s="89"/>
    </row>
    <row r="814">
      <c r="B814" s="89"/>
      <c r="C814" s="89"/>
      <c r="D814" s="89"/>
      <c r="E814" s="89"/>
    </row>
    <row r="815">
      <c r="B815" s="89"/>
      <c r="C815" s="89"/>
      <c r="D815" s="89"/>
      <c r="E815" s="89"/>
    </row>
    <row r="816">
      <c r="B816" s="89"/>
      <c r="C816" s="89"/>
      <c r="D816" s="89"/>
      <c r="E816" s="89"/>
    </row>
    <row r="817">
      <c r="B817" s="89"/>
      <c r="C817" s="89"/>
      <c r="D817" s="89"/>
      <c r="E817" s="89"/>
    </row>
    <row r="818">
      <c r="B818" s="89"/>
      <c r="C818" s="89"/>
      <c r="D818" s="89"/>
      <c r="E818" s="89"/>
    </row>
    <row r="819">
      <c r="B819" s="89"/>
      <c r="C819" s="89"/>
      <c r="D819" s="89"/>
      <c r="E819" s="89"/>
    </row>
    <row r="820">
      <c r="B820" s="89"/>
      <c r="C820" s="89"/>
      <c r="D820" s="89"/>
      <c r="E820" s="89"/>
    </row>
    <row r="821">
      <c r="B821" s="89"/>
      <c r="C821" s="89"/>
      <c r="D821" s="89"/>
      <c r="E821" s="89"/>
    </row>
    <row r="822">
      <c r="B822" s="89"/>
      <c r="C822" s="89"/>
      <c r="D822" s="89"/>
      <c r="E822" s="89"/>
    </row>
    <row r="823">
      <c r="B823" s="89"/>
      <c r="C823" s="89"/>
      <c r="D823" s="89"/>
      <c r="E823" s="89"/>
    </row>
    <row r="824">
      <c r="B824" s="89"/>
      <c r="C824" s="89"/>
      <c r="D824" s="89"/>
      <c r="E824" s="89"/>
    </row>
    <row r="825">
      <c r="B825" s="89"/>
      <c r="C825" s="89"/>
      <c r="D825" s="89"/>
      <c r="E825" s="89"/>
    </row>
    <row r="826">
      <c r="B826" s="89"/>
      <c r="C826" s="89"/>
      <c r="D826" s="89"/>
      <c r="E826" s="89"/>
    </row>
    <row r="827">
      <c r="B827" s="89"/>
      <c r="C827" s="89"/>
      <c r="D827" s="89"/>
      <c r="E827" s="89"/>
    </row>
    <row r="828">
      <c r="B828" s="89"/>
      <c r="C828" s="89"/>
      <c r="D828" s="89"/>
      <c r="E828" s="89"/>
    </row>
    <row r="829">
      <c r="B829" s="89"/>
      <c r="C829" s="89"/>
      <c r="D829" s="89"/>
      <c r="E829" s="89"/>
    </row>
    <row r="830">
      <c r="B830" s="89"/>
      <c r="C830" s="89"/>
      <c r="D830" s="89"/>
      <c r="E830" s="89"/>
    </row>
    <row r="831">
      <c r="B831" s="89"/>
      <c r="C831" s="89"/>
      <c r="D831" s="89"/>
      <c r="E831" s="89"/>
    </row>
    <row r="832">
      <c r="B832" s="89"/>
      <c r="C832" s="89"/>
      <c r="D832" s="89"/>
      <c r="E832" s="89"/>
    </row>
    <row r="833">
      <c r="B833" s="89"/>
      <c r="C833" s="89"/>
      <c r="D833" s="89"/>
      <c r="E833" s="89"/>
    </row>
    <row r="834">
      <c r="B834" s="89"/>
      <c r="C834" s="89"/>
      <c r="D834" s="89"/>
      <c r="E834" s="89"/>
    </row>
    <row r="835">
      <c r="B835" s="89"/>
      <c r="C835" s="89"/>
      <c r="D835" s="89"/>
      <c r="E835" s="89"/>
    </row>
    <row r="836">
      <c r="B836" s="89"/>
      <c r="C836" s="89"/>
      <c r="D836" s="89"/>
      <c r="E836" s="89"/>
    </row>
    <row r="837">
      <c r="B837" s="89"/>
      <c r="C837" s="89"/>
      <c r="D837" s="89"/>
      <c r="E837" s="89"/>
    </row>
    <row r="838">
      <c r="B838" s="89"/>
      <c r="C838" s="89"/>
      <c r="D838" s="89"/>
      <c r="E838" s="89"/>
    </row>
    <row r="839">
      <c r="B839" s="89"/>
      <c r="C839" s="89"/>
      <c r="D839" s="89"/>
      <c r="E839" s="89"/>
    </row>
    <row r="840">
      <c r="B840" s="89"/>
      <c r="C840" s="89"/>
      <c r="D840" s="89"/>
      <c r="E840" s="89"/>
    </row>
    <row r="841">
      <c r="B841" s="89"/>
      <c r="C841" s="89"/>
      <c r="D841" s="89"/>
      <c r="E841" s="89"/>
    </row>
    <row r="842">
      <c r="B842" s="89"/>
      <c r="C842" s="89"/>
      <c r="D842" s="89"/>
      <c r="E842" s="89"/>
    </row>
    <row r="843">
      <c r="B843" s="89"/>
      <c r="C843" s="89"/>
      <c r="D843" s="89"/>
      <c r="E843" s="89"/>
    </row>
    <row r="844">
      <c r="B844" s="89"/>
      <c r="C844" s="89"/>
      <c r="D844" s="89"/>
      <c r="E844" s="89"/>
    </row>
    <row r="845">
      <c r="B845" s="89"/>
      <c r="C845" s="89"/>
      <c r="D845" s="89"/>
      <c r="E845" s="89"/>
    </row>
    <row r="846">
      <c r="B846" s="89"/>
      <c r="C846" s="89"/>
      <c r="D846" s="89"/>
      <c r="E846" s="89"/>
    </row>
    <row r="847">
      <c r="B847" s="89"/>
      <c r="C847" s="89"/>
      <c r="D847" s="89"/>
      <c r="E847" s="89"/>
    </row>
    <row r="848">
      <c r="B848" s="89"/>
      <c r="C848" s="89"/>
      <c r="D848" s="89"/>
      <c r="E848" s="89"/>
    </row>
    <row r="849">
      <c r="B849" s="89"/>
      <c r="C849" s="89"/>
      <c r="D849" s="89"/>
      <c r="E849" s="89"/>
    </row>
    <row r="850">
      <c r="B850" s="89"/>
      <c r="C850" s="89"/>
      <c r="D850" s="89"/>
      <c r="E850" s="89"/>
    </row>
    <row r="851">
      <c r="B851" s="89"/>
      <c r="C851" s="89"/>
      <c r="D851" s="89"/>
      <c r="E851" s="89"/>
    </row>
    <row r="852">
      <c r="B852" s="89"/>
      <c r="C852" s="89"/>
      <c r="D852" s="89"/>
      <c r="E852" s="89"/>
    </row>
    <row r="853">
      <c r="B853" s="89"/>
      <c r="C853" s="89"/>
      <c r="D853" s="89"/>
      <c r="E853" s="89"/>
    </row>
    <row r="854">
      <c r="B854" s="89"/>
      <c r="C854" s="89"/>
      <c r="D854" s="89"/>
      <c r="E854" s="89"/>
    </row>
    <row r="855">
      <c r="B855" s="89"/>
      <c r="C855" s="89"/>
      <c r="D855" s="89"/>
      <c r="E855" s="89"/>
    </row>
    <row r="856">
      <c r="B856" s="89"/>
      <c r="C856" s="89"/>
      <c r="D856" s="89"/>
      <c r="E856" s="89"/>
    </row>
    <row r="857">
      <c r="B857" s="89"/>
      <c r="C857" s="89"/>
      <c r="D857" s="89"/>
      <c r="E857" s="89"/>
    </row>
    <row r="858">
      <c r="B858" s="89"/>
      <c r="C858" s="89"/>
      <c r="D858" s="89"/>
      <c r="E858" s="89"/>
    </row>
    <row r="859">
      <c r="B859" s="89"/>
      <c r="C859" s="89"/>
      <c r="D859" s="89"/>
      <c r="E859" s="89"/>
    </row>
    <row r="860">
      <c r="B860" s="89"/>
      <c r="C860" s="89"/>
      <c r="D860" s="89"/>
      <c r="E860" s="89"/>
    </row>
    <row r="861">
      <c r="B861" s="89"/>
      <c r="C861" s="89"/>
      <c r="D861" s="89"/>
      <c r="E861" s="89"/>
    </row>
    <row r="862">
      <c r="B862" s="89"/>
      <c r="C862" s="89"/>
      <c r="D862" s="89"/>
      <c r="E862" s="89"/>
    </row>
    <row r="863">
      <c r="B863" s="89"/>
      <c r="C863" s="89"/>
      <c r="D863" s="89"/>
      <c r="E863" s="89"/>
    </row>
    <row r="864">
      <c r="B864" s="89"/>
      <c r="C864" s="89"/>
      <c r="D864" s="89"/>
      <c r="E864" s="89"/>
    </row>
    <row r="865">
      <c r="B865" s="89"/>
      <c r="C865" s="89"/>
      <c r="D865" s="89"/>
      <c r="E865" s="89"/>
    </row>
    <row r="866">
      <c r="B866" s="89"/>
      <c r="C866" s="89"/>
      <c r="D866" s="89"/>
      <c r="E866" s="89"/>
    </row>
    <row r="867">
      <c r="B867" s="89"/>
      <c r="C867" s="89"/>
      <c r="D867" s="89"/>
      <c r="E867" s="89"/>
    </row>
    <row r="868">
      <c r="B868" s="89"/>
      <c r="C868" s="89"/>
      <c r="D868" s="89"/>
      <c r="E868" s="89"/>
    </row>
    <row r="869">
      <c r="B869" s="89"/>
      <c r="C869" s="89"/>
      <c r="D869" s="89"/>
      <c r="E869" s="89"/>
    </row>
    <row r="870">
      <c r="B870" s="89"/>
      <c r="C870" s="89"/>
      <c r="D870" s="89"/>
      <c r="E870" s="89"/>
    </row>
    <row r="871">
      <c r="B871" s="89"/>
      <c r="C871" s="89"/>
      <c r="D871" s="89"/>
      <c r="E871" s="89"/>
    </row>
    <row r="872">
      <c r="B872" s="89"/>
      <c r="C872" s="89"/>
      <c r="D872" s="89"/>
      <c r="E872" s="89"/>
    </row>
    <row r="873">
      <c r="B873" s="89"/>
      <c r="C873" s="89"/>
      <c r="D873" s="89"/>
      <c r="E873" s="89"/>
    </row>
    <row r="874">
      <c r="B874" s="89"/>
      <c r="C874" s="89"/>
      <c r="D874" s="89"/>
      <c r="E874" s="89"/>
    </row>
    <row r="875">
      <c r="B875" s="89"/>
      <c r="C875" s="89"/>
      <c r="D875" s="89"/>
      <c r="E875" s="89"/>
    </row>
    <row r="876">
      <c r="B876" s="89"/>
      <c r="C876" s="89"/>
      <c r="D876" s="89"/>
      <c r="E876" s="89"/>
    </row>
    <row r="877">
      <c r="B877" s="89"/>
      <c r="C877" s="89"/>
      <c r="D877" s="89"/>
      <c r="E877" s="89"/>
    </row>
    <row r="878">
      <c r="B878" s="89"/>
      <c r="C878" s="89"/>
      <c r="D878" s="89"/>
      <c r="E878" s="89"/>
    </row>
    <row r="879">
      <c r="B879" s="89"/>
      <c r="C879" s="89"/>
      <c r="D879" s="89"/>
      <c r="E879" s="89"/>
    </row>
    <row r="880">
      <c r="B880" s="89"/>
      <c r="C880" s="89"/>
      <c r="D880" s="89"/>
      <c r="E880" s="89"/>
    </row>
    <row r="881">
      <c r="B881" s="89"/>
      <c r="C881" s="89"/>
      <c r="D881" s="89"/>
      <c r="E881" s="89"/>
    </row>
    <row r="882">
      <c r="B882" s="89"/>
      <c r="C882" s="89"/>
      <c r="D882" s="89"/>
      <c r="E882" s="89"/>
    </row>
    <row r="883">
      <c r="B883" s="89"/>
      <c r="C883" s="89"/>
      <c r="D883" s="89"/>
      <c r="E883" s="89"/>
    </row>
    <row r="884">
      <c r="B884" s="89"/>
      <c r="C884" s="89"/>
      <c r="D884" s="89"/>
      <c r="E884" s="89"/>
    </row>
    <row r="885">
      <c r="B885" s="89"/>
      <c r="C885" s="89"/>
      <c r="D885" s="89"/>
      <c r="E885" s="89"/>
    </row>
    <row r="886">
      <c r="B886" s="89"/>
      <c r="C886" s="89"/>
      <c r="D886" s="89"/>
      <c r="E886" s="89"/>
    </row>
    <row r="887">
      <c r="B887" s="89"/>
      <c r="C887" s="89"/>
      <c r="D887" s="89"/>
      <c r="E887" s="89"/>
    </row>
    <row r="888">
      <c r="B888" s="89"/>
      <c r="C888" s="89"/>
      <c r="D888" s="89"/>
      <c r="E888" s="89"/>
    </row>
    <row r="889">
      <c r="B889" s="89"/>
      <c r="C889" s="89"/>
      <c r="D889" s="89"/>
      <c r="E889" s="89"/>
    </row>
    <row r="890">
      <c r="B890" s="89"/>
      <c r="C890" s="89"/>
      <c r="D890" s="89"/>
      <c r="E890" s="89"/>
    </row>
    <row r="891">
      <c r="B891" s="89"/>
      <c r="C891" s="89"/>
      <c r="D891" s="89"/>
      <c r="E891" s="89"/>
    </row>
    <row r="892">
      <c r="B892" s="89"/>
      <c r="C892" s="89"/>
      <c r="D892" s="89"/>
      <c r="E892" s="89"/>
    </row>
    <row r="893">
      <c r="B893" s="89"/>
      <c r="C893" s="89"/>
      <c r="D893" s="89"/>
      <c r="E893" s="89"/>
    </row>
    <row r="894">
      <c r="B894" s="89"/>
      <c r="C894" s="89"/>
      <c r="D894" s="89"/>
      <c r="E894" s="89"/>
    </row>
    <row r="895">
      <c r="B895" s="89"/>
      <c r="C895" s="89"/>
      <c r="D895" s="89"/>
      <c r="E895" s="89"/>
    </row>
    <row r="896">
      <c r="B896" s="89"/>
      <c r="C896" s="89"/>
      <c r="D896" s="89"/>
      <c r="E896" s="89"/>
    </row>
    <row r="897">
      <c r="B897" s="89"/>
      <c r="C897" s="89"/>
      <c r="D897" s="89"/>
      <c r="E897" s="89"/>
    </row>
    <row r="898">
      <c r="B898" s="89"/>
      <c r="C898" s="89"/>
      <c r="D898" s="89"/>
      <c r="E898" s="89"/>
    </row>
    <row r="899">
      <c r="B899" s="89"/>
      <c r="C899" s="89"/>
      <c r="D899" s="89"/>
      <c r="E899" s="89"/>
    </row>
    <row r="900">
      <c r="B900" s="89"/>
      <c r="C900" s="89"/>
      <c r="D900" s="89"/>
      <c r="E900" s="89"/>
    </row>
    <row r="901">
      <c r="B901" s="89"/>
      <c r="C901" s="89"/>
      <c r="D901" s="89"/>
      <c r="E901" s="89"/>
    </row>
    <row r="902">
      <c r="B902" s="89"/>
      <c r="C902" s="89"/>
      <c r="D902" s="89"/>
      <c r="E902" s="89"/>
    </row>
    <row r="903">
      <c r="B903" s="89"/>
      <c r="C903" s="89"/>
      <c r="D903" s="89"/>
      <c r="E903" s="89"/>
    </row>
    <row r="904">
      <c r="B904" s="89"/>
      <c r="C904" s="89"/>
      <c r="D904" s="89"/>
      <c r="E904" s="89"/>
    </row>
    <row r="905">
      <c r="B905" s="89"/>
      <c r="C905" s="89"/>
      <c r="D905" s="89"/>
      <c r="E905" s="89"/>
    </row>
    <row r="906">
      <c r="B906" s="89"/>
      <c r="C906" s="89"/>
      <c r="D906" s="89"/>
      <c r="E906" s="89"/>
    </row>
    <row r="907">
      <c r="B907" s="89"/>
      <c r="C907" s="89"/>
      <c r="D907" s="89"/>
      <c r="E907" s="89"/>
    </row>
    <row r="908">
      <c r="B908" s="89"/>
      <c r="C908" s="89"/>
      <c r="D908" s="89"/>
      <c r="E908" s="89"/>
    </row>
    <row r="909">
      <c r="B909" s="89"/>
      <c r="C909" s="89"/>
      <c r="D909" s="89"/>
      <c r="E909" s="89"/>
    </row>
    <row r="910">
      <c r="B910" s="89"/>
      <c r="C910" s="89"/>
      <c r="D910" s="89"/>
      <c r="E910" s="89"/>
    </row>
    <row r="911">
      <c r="B911" s="89"/>
      <c r="C911" s="89"/>
      <c r="D911" s="89"/>
      <c r="E911" s="89"/>
    </row>
    <row r="912">
      <c r="B912" s="89"/>
      <c r="C912" s="89"/>
      <c r="D912" s="89"/>
      <c r="E912" s="89"/>
    </row>
    <row r="913">
      <c r="B913" s="89"/>
      <c r="C913" s="89"/>
      <c r="D913" s="89"/>
      <c r="E913" s="89"/>
    </row>
    <row r="914">
      <c r="B914" s="89"/>
      <c r="C914" s="89"/>
      <c r="D914" s="89"/>
      <c r="E914" s="89"/>
    </row>
    <row r="915">
      <c r="B915" s="89"/>
      <c r="C915" s="89"/>
      <c r="D915" s="89"/>
      <c r="E915" s="89"/>
    </row>
    <row r="916">
      <c r="B916" s="89"/>
      <c r="C916" s="89"/>
      <c r="D916" s="89"/>
      <c r="E916" s="89"/>
    </row>
    <row r="917">
      <c r="B917" s="89"/>
      <c r="C917" s="89"/>
      <c r="D917" s="89"/>
      <c r="E917" s="89"/>
    </row>
    <row r="918">
      <c r="B918" s="89"/>
      <c r="C918" s="89"/>
      <c r="D918" s="89"/>
      <c r="E918" s="89"/>
    </row>
    <row r="919">
      <c r="B919" s="89"/>
      <c r="C919" s="89"/>
      <c r="D919" s="89"/>
      <c r="E919" s="89"/>
    </row>
    <row r="920">
      <c r="B920" s="89"/>
      <c r="C920" s="89"/>
      <c r="D920" s="89"/>
      <c r="E920" s="89"/>
    </row>
    <row r="921">
      <c r="B921" s="89"/>
      <c r="C921" s="89"/>
      <c r="D921" s="89"/>
      <c r="E921" s="89"/>
    </row>
    <row r="922">
      <c r="B922" s="89"/>
      <c r="C922" s="89"/>
      <c r="D922" s="89"/>
      <c r="E922" s="89"/>
    </row>
    <row r="923">
      <c r="B923" s="89"/>
      <c r="C923" s="89"/>
      <c r="D923" s="89"/>
      <c r="E923" s="89"/>
    </row>
    <row r="924">
      <c r="B924" s="89"/>
      <c r="C924" s="89"/>
      <c r="D924" s="89"/>
      <c r="E924" s="89"/>
    </row>
    <row r="925">
      <c r="B925" s="89"/>
      <c r="C925" s="89"/>
      <c r="D925" s="89"/>
      <c r="E925" s="89"/>
    </row>
    <row r="926">
      <c r="B926" s="89"/>
      <c r="C926" s="89"/>
      <c r="D926" s="89"/>
      <c r="E926" s="89"/>
    </row>
    <row r="927">
      <c r="B927" s="89"/>
      <c r="C927" s="89"/>
      <c r="D927" s="89"/>
      <c r="E927" s="89"/>
    </row>
    <row r="928">
      <c r="B928" s="89"/>
      <c r="C928" s="89"/>
      <c r="D928" s="89"/>
      <c r="E928" s="89"/>
    </row>
    <row r="929">
      <c r="B929" s="89"/>
      <c r="C929" s="89"/>
      <c r="D929" s="89"/>
      <c r="E929" s="89"/>
    </row>
    <row r="930">
      <c r="B930" s="89"/>
      <c r="C930" s="89"/>
      <c r="D930" s="89"/>
      <c r="E930" s="89"/>
    </row>
    <row r="931">
      <c r="B931" s="89"/>
      <c r="C931" s="89"/>
      <c r="D931" s="89"/>
      <c r="E931" s="89"/>
    </row>
    <row r="932">
      <c r="B932" s="89"/>
      <c r="C932" s="89"/>
      <c r="D932" s="89"/>
      <c r="E932" s="89"/>
    </row>
    <row r="933">
      <c r="B933" s="89"/>
      <c r="C933" s="89"/>
      <c r="D933" s="89"/>
      <c r="E933" s="89"/>
    </row>
    <row r="934">
      <c r="B934" s="89"/>
      <c r="C934" s="89"/>
      <c r="D934" s="89"/>
      <c r="E934" s="89"/>
    </row>
    <row r="935">
      <c r="B935" s="89"/>
      <c r="C935" s="89"/>
      <c r="D935" s="89"/>
      <c r="E935" s="89"/>
    </row>
    <row r="936">
      <c r="B936" s="89"/>
      <c r="C936" s="89"/>
      <c r="D936" s="89"/>
      <c r="E936" s="89"/>
    </row>
    <row r="937">
      <c r="B937" s="89"/>
      <c r="C937" s="89"/>
      <c r="D937" s="89"/>
      <c r="E937" s="89"/>
    </row>
    <row r="938">
      <c r="B938" s="89"/>
      <c r="C938" s="89"/>
      <c r="D938" s="89"/>
      <c r="E938" s="89"/>
    </row>
    <row r="939">
      <c r="B939" s="89"/>
      <c r="C939" s="89"/>
      <c r="D939" s="89"/>
      <c r="E939" s="89"/>
    </row>
    <row r="940">
      <c r="B940" s="89"/>
      <c r="C940" s="89"/>
      <c r="D940" s="89"/>
      <c r="E940" s="89"/>
    </row>
    <row r="941">
      <c r="B941" s="89"/>
      <c r="C941" s="89"/>
      <c r="D941" s="89"/>
      <c r="E941" s="89"/>
    </row>
    <row r="942">
      <c r="B942" s="89"/>
      <c r="C942" s="89"/>
      <c r="D942" s="89"/>
      <c r="E942" s="89"/>
    </row>
    <row r="943">
      <c r="B943" s="89"/>
      <c r="C943" s="89"/>
      <c r="D943" s="89"/>
      <c r="E943" s="89"/>
    </row>
    <row r="944">
      <c r="B944" s="89"/>
      <c r="C944" s="89"/>
      <c r="D944" s="89"/>
      <c r="E944" s="89"/>
    </row>
    <row r="945">
      <c r="B945" s="89"/>
      <c r="C945" s="89"/>
      <c r="D945" s="89"/>
      <c r="E945" s="89"/>
    </row>
    <row r="946">
      <c r="B946" s="89"/>
      <c r="C946" s="89"/>
      <c r="D946" s="89"/>
      <c r="E946" s="89"/>
    </row>
    <row r="947">
      <c r="B947" s="89"/>
      <c r="C947" s="89"/>
      <c r="D947" s="89"/>
      <c r="E947" s="89"/>
    </row>
    <row r="948">
      <c r="B948" s="89"/>
      <c r="C948" s="89"/>
      <c r="D948" s="89"/>
      <c r="E948" s="89"/>
    </row>
    <row r="949">
      <c r="B949" s="89"/>
      <c r="C949" s="89"/>
      <c r="D949" s="89"/>
      <c r="E949" s="89"/>
    </row>
    <row r="950">
      <c r="B950" s="89"/>
      <c r="C950" s="89"/>
      <c r="D950" s="89"/>
      <c r="E950" s="89"/>
    </row>
    <row r="951">
      <c r="B951" s="89"/>
      <c r="C951" s="89"/>
      <c r="D951" s="89"/>
      <c r="E951" s="89"/>
    </row>
    <row r="952">
      <c r="B952" s="89"/>
      <c r="C952" s="89"/>
      <c r="D952" s="89"/>
      <c r="E952" s="89"/>
    </row>
    <row r="953">
      <c r="B953" s="89"/>
      <c r="C953" s="89"/>
      <c r="D953" s="89"/>
      <c r="E953" s="89"/>
    </row>
    <row r="954">
      <c r="B954" s="89"/>
      <c r="C954" s="89"/>
      <c r="D954" s="89"/>
      <c r="E954" s="89"/>
    </row>
    <row r="955">
      <c r="B955" s="89"/>
      <c r="C955" s="89"/>
      <c r="D955" s="89"/>
      <c r="E955" s="89"/>
    </row>
    <row r="956">
      <c r="B956" s="89"/>
      <c r="C956" s="89"/>
      <c r="D956" s="89"/>
      <c r="E956" s="89"/>
    </row>
    <row r="957">
      <c r="B957" s="89"/>
      <c r="C957" s="89"/>
      <c r="D957" s="89"/>
      <c r="E957" s="89"/>
    </row>
    <row r="958">
      <c r="B958" s="89"/>
      <c r="C958" s="89"/>
      <c r="D958" s="89"/>
      <c r="E958" s="89"/>
    </row>
    <row r="959">
      <c r="B959" s="89"/>
      <c r="C959" s="89"/>
      <c r="D959" s="89"/>
      <c r="E959" s="89"/>
    </row>
    <row r="960">
      <c r="B960" s="89"/>
      <c r="C960" s="89"/>
      <c r="D960" s="89"/>
      <c r="E960" s="89"/>
    </row>
    <row r="961">
      <c r="B961" s="89"/>
      <c r="C961" s="89"/>
      <c r="D961" s="89"/>
      <c r="E961" s="89"/>
    </row>
    <row r="962">
      <c r="B962" s="89"/>
      <c r="C962" s="89"/>
      <c r="D962" s="89"/>
      <c r="E962" s="89"/>
    </row>
    <row r="963">
      <c r="B963" s="89"/>
      <c r="C963" s="89"/>
      <c r="D963" s="89"/>
      <c r="E963" s="89"/>
    </row>
    <row r="964">
      <c r="B964" s="89"/>
      <c r="C964" s="89"/>
      <c r="D964" s="89"/>
      <c r="E964" s="89"/>
    </row>
    <row r="965">
      <c r="B965" s="89"/>
      <c r="C965" s="89"/>
      <c r="D965" s="89"/>
      <c r="E965" s="89"/>
    </row>
    <row r="966">
      <c r="B966" s="89"/>
      <c r="C966" s="89"/>
      <c r="D966" s="89"/>
      <c r="E966" s="89"/>
    </row>
    <row r="967">
      <c r="B967" s="89"/>
      <c r="C967" s="89"/>
      <c r="D967" s="89"/>
      <c r="E967" s="89"/>
    </row>
    <row r="968">
      <c r="B968" s="89"/>
      <c r="C968" s="89"/>
      <c r="D968" s="89"/>
      <c r="E968" s="89"/>
    </row>
    <row r="969">
      <c r="B969" s="89"/>
      <c r="C969" s="89"/>
      <c r="D969" s="89"/>
      <c r="E969" s="89"/>
    </row>
    <row r="970">
      <c r="B970" s="89"/>
      <c r="C970" s="89"/>
      <c r="D970" s="89"/>
      <c r="E970" s="89"/>
    </row>
    <row r="971">
      <c r="B971" s="89"/>
      <c r="C971" s="89"/>
      <c r="D971" s="89"/>
      <c r="E971" s="89"/>
    </row>
    <row r="972">
      <c r="B972" s="89"/>
      <c r="C972" s="89"/>
      <c r="D972" s="89"/>
      <c r="E972" s="89"/>
    </row>
    <row r="973">
      <c r="B973" s="89"/>
      <c r="C973" s="89"/>
      <c r="D973" s="89"/>
      <c r="E973" s="89"/>
    </row>
    <row r="974">
      <c r="B974" s="89"/>
      <c r="C974" s="89"/>
      <c r="D974" s="89"/>
      <c r="E974" s="89"/>
    </row>
    <row r="975">
      <c r="B975" s="89"/>
      <c r="C975" s="89"/>
      <c r="D975" s="89"/>
      <c r="E975" s="89"/>
    </row>
    <row r="976">
      <c r="B976" s="89"/>
      <c r="C976" s="89"/>
      <c r="D976" s="89"/>
      <c r="E976" s="89"/>
    </row>
    <row r="977">
      <c r="B977" s="89"/>
      <c r="C977" s="89"/>
      <c r="D977" s="89"/>
      <c r="E977" s="89"/>
    </row>
    <row r="978">
      <c r="B978" s="89"/>
      <c r="C978" s="89"/>
      <c r="D978" s="89"/>
      <c r="E978" s="89"/>
    </row>
    <row r="979">
      <c r="B979" s="89"/>
      <c r="C979" s="89"/>
      <c r="D979" s="89"/>
      <c r="E979" s="89"/>
    </row>
    <row r="980">
      <c r="B980" s="89"/>
      <c r="C980" s="89"/>
      <c r="D980" s="89"/>
      <c r="E980" s="89"/>
    </row>
    <row r="981">
      <c r="B981" s="89"/>
      <c r="C981" s="89"/>
      <c r="D981" s="89"/>
      <c r="E981" s="89"/>
    </row>
    <row r="982">
      <c r="B982" s="89"/>
      <c r="C982" s="89"/>
      <c r="D982" s="89"/>
      <c r="E982" s="89"/>
    </row>
    <row r="983">
      <c r="B983" s="89"/>
      <c r="C983" s="89"/>
      <c r="D983" s="89"/>
      <c r="E983" s="89"/>
    </row>
    <row r="984">
      <c r="B984" s="89"/>
      <c r="C984" s="89"/>
      <c r="D984" s="89"/>
      <c r="E984" s="89"/>
    </row>
    <row r="985">
      <c r="B985" s="89"/>
      <c r="C985" s="89"/>
      <c r="D985" s="89"/>
      <c r="E985" s="89"/>
    </row>
    <row r="986">
      <c r="B986" s="89"/>
      <c r="C986" s="89"/>
      <c r="D986" s="89"/>
      <c r="E986" s="89"/>
    </row>
    <row r="987">
      <c r="B987" s="89"/>
      <c r="C987" s="89"/>
      <c r="D987" s="89"/>
      <c r="E987" s="89"/>
    </row>
    <row r="988">
      <c r="B988" s="89"/>
      <c r="C988" s="89"/>
      <c r="D988" s="89"/>
      <c r="E988" s="89"/>
    </row>
    <row r="989">
      <c r="B989" s="89"/>
      <c r="C989" s="89"/>
      <c r="D989" s="89"/>
      <c r="E989" s="89"/>
    </row>
    <row r="990">
      <c r="B990" s="89"/>
      <c r="C990" s="89"/>
      <c r="D990" s="89"/>
      <c r="E990" s="89"/>
    </row>
    <row r="991">
      <c r="B991" s="89"/>
      <c r="C991" s="89"/>
      <c r="D991" s="89"/>
      <c r="E991" s="89"/>
    </row>
    <row r="992">
      <c r="B992" s="89"/>
      <c r="C992" s="89"/>
      <c r="D992" s="89"/>
      <c r="E992" s="89"/>
    </row>
    <row r="993">
      <c r="B993" s="89"/>
      <c r="C993" s="89"/>
      <c r="D993" s="89"/>
      <c r="E993" s="89"/>
    </row>
    <row r="994">
      <c r="B994" s="89"/>
      <c r="C994" s="89"/>
      <c r="D994" s="89"/>
      <c r="E994" s="89"/>
    </row>
    <row r="995">
      <c r="B995" s="89"/>
      <c r="C995" s="89"/>
      <c r="D995" s="89"/>
      <c r="E995" s="89"/>
    </row>
    <row r="996">
      <c r="B996" s="89"/>
      <c r="C996" s="89"/>
      <c r="D996" s="89"/>
      <c r="E996" s="89"/>
    </row>
    <row r="997">
      <c r="B997" s="89"/>
      <c r="C997" s="89"/>
      <c r="D997" s="89"/>
      <c r="E997" s="89"/>
    </row>
    <row r="998">
      <c r="B998" s="89"/>
      <c r="C998" s="89"/>
      <c r="D998" s="89"/>
      <c r="E998" s="89"/>
    </row>
    <row r="999">
      <c r="B999" s="89"/>
      <c r="C999" s="89"/>
      <c r="D999" s="89"/>
      <c r="E999" s="89"/>
    </row>
    <row r="1000">
      <c r="B1000" s="89"/>
      <c r="C1000" s="89"/>
      <c r="D1000" s="89"/>
      <c r="E1000" s="89"/>
    </row>
    <row r="1001">
      <c r="B1001" s="89"/>
      <c r="C1001" s="89"/>
      <c r="D1001" s="89"/>
      <c r="E1001" s="89"/>
    </row>
    <row r="1002">
      <c r="B1002" s="89"/>
      <c r="C1002" s="89"/>
      <c r="D1002" s="89"/>
      <c r="E1002" s="89"/>
    </row>
    <row r="1003">
      <c r="B1003" s="89"/>
      <c r="C1003" s="89"/>
      <c r="D1003" s="89"/>
      <c r="E1003" s="89"/>
    </row>
    <row r="1004">
      <c r="B1004" s="89"/>
      <c r="C1004" s="89"/>
      <c r="D1004" s="89"/>
      <c r="E1004" s="89"/>
    </row>
    <row r="1005">
      <c r="B1005" s="89"/>
      <c r="C1005" s="89"/>
      <c r="D1005" s="89"/>
      <c r="E1005" s="89"/>
    </row>
    <row r="1006">
      <c r="B1006" s="89"/>
      <c r="C1006" s="89"/>
      <c r="D1006" s="89"/>
      <c r="E1006" s="89"/>
    </row>
    <row r="1007">
      <c r="B1007" s="89"/>
      <c r="C1007" s="89"/>
      <c r="D1007" s="89"/>
      <c r="E1007" s="89"/>
    </row>
    <row r="1008">
      <c r="B1008" s="89"/>
      <c r="C1008" s="89"/>
      <c r="D1008" s="89"/>
      <c r="E1008" s="89"/>
    </row>
    <row r="1009">
      <c r="B1009" s="89"/>
      <c r="C1009" s="89"/>
      <c r="D1009" s="89"/>
      <c r="E1009" s="89"/>
    </row>
    <row r="1010">
      <c r="B1010" s="89"/>
      <c r="C1010" s="89"/>
      <c r="D1010" s="89"/>
      <c r="E1010" s="89"/>
    </row>
    <row r="1011">
      <c r="B1011" s="89"/>
      <c r="C1011" s="89"/>
      <c r="D1011" s="89"/>
      <c r="E1011" s="89"/>
    </row>
    <row r="1012">
      <c r="B1012" s="89"/>
      <c r="C1012" s="89"/>
      <c r="D1012" s="89"/>
      <c r="E1012" s="89"/>
    </row>
    <row r="1013">
      <c r="B1013" s="89"/>
      <c r="C1013" s="89"/>
      <c r="D1013" s="89"/>
      <c r="E1013" s="89"/>
    </row>
    <row r="1014">
      <c r="B1014" s="89"/>
      <c r="C1014" s="89"/>
      <c r="D1014" s="89"/>
      <c r="E1014" s="89"/>
    </row>
    <row r="1015">
      <c r="B1015" s="89"/>
      <c r="C1015" s="89"/>
      <c r="D1015" s="89"/>
      <c r="E1015" s="89"/>
    </row>
    <row r="1016">
      <c r="B1016" s="89"/>
      <c r="C1016" s="89"/>
      <c r="D1016" s="89"/>
      <c r="E1016" s="89"/>
    </row>
    <row r="1017">
      <c r="B1017" s="89"/>
      <c r="C1017" s="89"/>
      <c r="D1017" s="89"/>
      <c r="E1017" s="89"/>
    </row>
    <row r="1018">
      <c r="B1018" s="89"/>
      <c r="C1018" s="89"/>
      <c r="D1018" s="89"/>
      <c r="E1018" s="89"/>
    </row>
    <row r="1019">
      <c r="B1019" s="89"/>
      <c r="C1019" s="89"/>
      <c r="D1019" s="89"/>
      <c r="E1019" s="89"/>
    </row>
    <row r="1020">
      <c r="B1020" s="89"/>
      <c r="C1020" s="89"/>
      <c r="D1020" s="89"/>
      <c r="E1020" s="89"/>
    </row>
    <row r="1021">
      <c r="B1021" s="89"/>
      <c r="C1021" s="89"/>
      <c r="D1021" s="89"/>
      <c r="E1021" s="89"/>
    </row>
    <row r="1022">
      <c r="B1022" s="89"/>
      <c r="C1022" s="89"/>
      <c r="D1022" s="89"/>
      <c r="E1022" s="89"/>
    </row>
    <row r="1023">
      <c r="B1023" s="89"/>
      <c r="C1023" s="89"/>
      <c r="D1023" s="89"/>
      <c r="E1023" s="89"/>
    </row>
    <row r="1024">
      <c r="B1024" s="89"/>
      <c r="C1024" s="89"/>
      <c r="D1024" s="89"/>
      <c r="E1024" s="89"/>
    </row>
    <row r="1025">
      <c r="B1025" s="89"/>
      <c r="C1025" s="89"/>
      <c r="D1025" s="89"/>
      <c r="E1025" s="89"/>
    </row>
    <row r="1026">
      <c r="B1026" s="89"/>
      <c r="C1026" s="89"/>
      <c r="D1026" s="89"/>
      <c r="E1026" s="89"/>
    </row>
    <row r="1027">
      <c r="B1027" s="89"/>
      <c r="C1027" s="89"/>
      <c r="D1027" s="89"/>
      <c r="E1027" s="89"/>
    </row>
    <row r="1028">
      <c r="B1028" s="89"/>
      <c r="C1028" s="89"/>
      <c r="D1028" s="89"/>
      <c r="E1028" s="89"/>
    </row>
    <row r="1029">
      <c r="B1029" s="89"/>
      <c r="C1029" s="89"/>
      <c r="D1029" s="89"/>
      <c r="E1029" s="89"/>
    </row>
    <row r="1030">
      <c r="B1030" s="89"/>
      <c r="C1030" s="89"/>
      <c r="D1030" s="89"/>
      <c r="E1030" s="89"/>
    </row>
    <row r="1031">
      <c r="B1031" s="89"/>
      <c r="C1031" s="89"/>
      <c r="D1031" s="89"/>
      <c r="E1031" s="89"/>
    </row>
    <row r="1032">
      <c r="B1032" s="89"/>
      <c r="C1032" s="89"/>
      <c r="D1032" s="89"/>
      <c r="E1032" s="89"/>
    </row>
    <row r="1033">
      <c r="B1033" s="89"/>
      <c r="C1033" s="89"/>
      <c r="D1033" s="89"/>
      <c r="E1033" s="89"/>
    </row>
    <row r="1034">
      <c r="B1034" s="89"/>
      <c r="C1034" s="89"/>
      <c r="D1034" s="89"/>
      <c r="E1034" s="89"/>
    </row>
    <row r="1035">
      <c r="B1035" s="89"/>
      <c r="C1035" s="89"/>
      <c r="D1035" s="89"/>
      <c r="E1035" s="89"/>
    </row>
    <row r="1036">
      <c r="B1036" s="89"/>
      <c r="C1036" s="89"/>
      <c r="D1036" s="89"/>
      <c r="E1036" s="89"/>
    </row>
    <row r="1037">
      <c r="B1037" s="89"/>
      <c r="C1037" s="89"/>
      <c r="D1037" s="89"/>
      <c r="E1037" s="89"/>
    </row>
    <row r="1038">
      <c r="B1038" s="89"/>
      <c r="C1038" s="89"/>
      <c r="D1038" s="89"/>
      <c r="E1038" s="89"/>
    </row>
    <row r="1039">
      <c r="B1039" s="89"/>
      <c r="C1039" s="89"/>
      <c r="D1039" s="89"/>
      <c r="E1039" s="89"/>
    </row>
    <row r="1040">
      <c r="B1040" s="89"/>
      <c r="C1040" s="89"/>
      <c r="D1040" s="89"/>
      <c r="E1040" s="89"/>
    </row>
    <row r="1041">
      <c r="B1041" s="89"/>
      <c r="C1041" s="89"/>
      <c r="D1041" s="89"/>
      <c r="E1041" s="89"/>
    </row>
    <row r="1042">
      <c r="B1042" s="89"/>
      <c r="C1042" s="89"/>
      <c r="D1042" s="89"/>
      <c r="E1042" s="89"/>
    </row>
    <row r="1043">
      <c r="B1043" s="89"/>
      <c r="C1043" s="89"/>
      <c r="D1043" s="89"/>
      <c r="E1043" s="89"/>
    </row>
    <row r="1044">
      <c r="B1044" s="89"/>
      <c r="C1044" s="89"/>
      <c r="D1044" s="89"/>
      <c r="E1044" s="89"/>
    </row>
    <row r="1045">
      <c r="B1045" s="89"/>
      <c r="C1045" s="89"/>
      <c r="D1045" s="89"/>
      <c r="E1045" s="89"/>
    </row>
    <row r="1046">
      <c r="B1046" s="89"/>
      <c r="C1046" s="89"/>
      <c r="D1046" s="89"/>
      <c r="E1046" s="89"/>
    </row>
    <row r="1047">
      <c r="B1047" s="89"/>
      <c r="C1047" s="89"/>
      <c r="D1047" s="89"/>
      <c r="E1047" s="89"/>
    </row>
    <row r="1048">
      <c r="B1048" s="89"/>
      <c r="C1048" s="89"/>
      <c r="D1048" s="89"/>
      <c r="E1048" s="89"/>
    </row>
    <row r="1049">
      <c r="B1049" s="89"/>
      <c r="C1049" s="89"/>
      <c r="D1049" s="89"/>
      <c r="E1049" s="89"/>
    </row>
    <row r="1050">
      <c r="B1050" s="89"/>
      <c r="C1050" s="89"/>
      <c r="D1050" s="89"/>
      <c r="E1050" s="89"/>
    </row>
    <row r="1051">
      <c r="B1051" s="89"/>
      <c r="C1051" s="89"/>
      <c r="D1051" s="89"/>
      <c r="E1051" s="89"/>
    </row>
    <row r="1052">
      <c r="B1052" s="89"/>
      <c r="C1052" s="89"/>
      <c r="D1052" s="89"/>
      <c r="E1052" s="89"/>
    </row>
    <row r="1053">
      <c r="B1053" s="89"/>
      <c r="C1053" s="89"/>
      <c r="D1053" s="89"/>
      <c r="E1053" s="89"/>
    </row>
    <row r="1054">
      <c r="B1054" s="89"/>
      <c r="C1054" s="89"/>
      <c r="D1054" s="89"/>
      <c r="E1054" s="89"/>
    </row>
    <row r="1055">
      <c r="B1055" s="89"/>
      <c r="C1055" s="89"/>
      <c r="D1055" s="89"/>
      <c r="E1055" s="89"/>
    </row>
    <row r="1056">
      <c r="B1056" s="89"/>
      <c r="C1056" s="89"/>
      <c r="D1056" s="89"/>
      <c r="E1056" s="89"/>
    </row>
    <row r="1057">
      <c r="B1057" s="89"/>
      <c r="C1057" s="89"/>
      <c r="D1057" s="89"/>
      <c r="E1057" s="89"/>
    </row>
    <row r="1058">
      <c r="B1058" s="89"/>
      <c r="C1058" s="89"/>
      <c r="D1058" s="89"/>
      <c r="E1058" s="89"/>
    </row>
    <row r="1059">
      <c r="B1059" s="89"/>
      <c r="C1059" s="89"/>
      <c r="D1059" s="89"/>
      <c r="E1059" s="89"/>
    </row>
    <row r="1060">
      <c r="B1060" s="89"/>
      <c r="C1060" s="89"/>
      <c r="D1060" s="89"/>
      <c r="E1060" s="89"/>
    </row>
    <row r="1061">
      <c r="B1061" s="89"/>
      <c r="C1061" s="89"/>
      <c r="D1061" s="89"/>
      <c r="E1061" s="89"/>
    </row>
    <row r="1062">
      <c r="B1062" s="89"/>
      <c r="C1062" s="89"/>
      <c r="D1062" s="89"/>
      <c r="E1062" s="89"/>
    </row>
    <row r="1063">
      <c r="B1063" s="89"/>
      <c r="C1063" s="89"/>
      <c r="D1063" s="89"/>
      <c r="E1063" s="89"/>
    </row>
    <row r="1064">
      <c r="B1064" s="89"/>
      <c r="C1064" s="89"/>
      <c r="D1064" s="89"/>
      <c r="E1064" s="89"/>
    </row>
    <row r="1065">
      <c r="B1065" s="89"/>
      <c r="C1065" s="89"/>
      <c r="D1065" s="89"/>
      <c r="E1065" s="89"/>
    </row>
    <row r="1066">
      <c r="B1066" s="89"/>
      <c r="C1066" s="89"/>
      <c r="D1066" s="89"/>
      <c r="E1066" s="89"/>
    </row>
    <row r="1067">
      <c r="B1067" s="89"/>
      <c r="C1067" s="89"/>
      <c r="D1067" s="89"/>
      <c r="E1067" s="89"/>
    </row>
    <row r="1068">
      <c r="B1068" s="89"/>
      <c r="C1068" s="89"/>
      <c r="D1068" s="89"/>
      <c r="E1068" s="89"/>
    </row>
    <row r="1069">
      <c r="B1069" s="89"/>
      <c r="C1069" s="89"/>
      <c r="D1069" s="89"/>
      <c r="E1069" s="89"/>
    </row>
    <row r="1070">
      <c r="B1070" s="89"/>
      <c r="C1070" s="89"/>
      <c r="D1070" s="89"/>
      <c r="E1070" s="89"/>
    </row>
    <row r="1071">
      <c r="B1071" s="89"/>
      <c r="C1071" s="89"/>
      <c r="D1071" s="89"/>
      <c r="E1071" s="89"/>
    </row>
    <row r="1072">
      <c r="B1072" s="89"/>
      <c r="C1072" s="89"/>
      <c r="D1072" s="89"/>
      <c r="E1072" s="89"/>
    </row>
    <row r="1073">
      <c r="B1073" s="89"/>
      <c r="C1073" s="89"/>
      <c r="D1073" s="89"/>
      <c r="E1073" s="89"/>
    </row>
    <row r="1074">
      <c r="B1074" s="89"/>
      <c r="C1074" s="89"/>
      <c r="D1074" s="89"/>
      <c r="E1074" s="89"/>
    </row>
    <row r="1075">
      <c r="B1075" s="89"/>
      <c r="C1075" s="89"/>
      <c r="D1075" s="89"/>
      <c r="E1075" s="89"/>
    </row>
    <row r="1076">
      <c r="B1076" s="89"/>
      <c r="C1076" s="89"/>
      <c r="D1076" s="89"/>
      <c r="E1076" s="89"/>
    </row>
    <row r="1077">
      <c r="B1077" s="89"/>
      <c r="C1077" s="89"/>
      <c r="D1077" s="89"/>
      <c r="E1077" s="89"/>
    </row>
    <row r="1078">
      <c r="B1078" s="89"/>
      <c r="C1078" s="89"/>
      <c r="D1078" s="89"/>
      <c r="E1078" s="89"/>
    </row>
    <row r="1079">
      <c r="B1079" s="89"/>
      <c r="C1079" s="89"/>
      <c r="D1079" s="89"/>
      <c r="E1079" s="89"/>
    </row>
    <row r="1080">
      <c r="B1080" s="89"/>
      <c r="C1080" s="89"/>
      <c r="D1080" s="89"/>
      <c r="E1080" s="89"/>
    </row>
    <row r="1081">
      <c r="B1081" s="89"/>
      <c r="C1081" s="89"/>
      <c r="D1081" s="89"/>
      <c r="E1081" s="89"/>
    </row>
    <row r="1082">
      <c r="B1082" s="89"/>
      <c r="C1082" s="89"/>
      <c r="D1082" s="89"/>
      <c r="E1082" s="89"/>
    </row>
    <row r="1083">
      <c r="B1083" s="89"/>
      <c r="C1083" s="89"/>
      <c r="D1083" s="89"/>
      <c r="E1083" s="89"/>
    </row>
    <row r="1084">
      <c r="B1084" s="89"/>
      <c r="C1084" s="89"/>
      <c r="D1084" s="89"/>
      <c r="E1084" s="89"/>
    </row>
    <row r="1085">
      <c r="B1085" s="89"/>
      <c r="C1085" s="89"/>
      <c r="D1085" s="89"/>
      <c r="E1085" s="89"/>
    </row>
    <row r="1086">
      <c r="B1086" s="89"/>
      <c r="C1086" s="89"/>
      <c r="D1086" s="89"/>
      <c r="E1086" s="89"/>
    </row>
    <row r="1087">
      <c r="B1087" s="89"/>
      <c r="C1087" s="89"/>
      <c r="D1087" s="89"/>
      <c r="E1087" s="89"/>
    </row>
    <row r="1088">
      <c r="B1088" s="89"/>
      <c r="C1088" s="89"/>
      <c r="D1088" s="89"/>
      <c r="E1088" s="89"/>
    </row>
    <row r="1089">
      <c r="B1089" s="89"/>
      <c r="C1089" s="89"/>
      <c r="D1089" s="89"/>
      <c r="E1089" s="89"/>
    </row>
    <row r="1090">
      <c r="B1090" s="89"/>
      <c r="C1090" s="89"/>
      <c r="D1090" s="89"/>
      <c r="E1090" s="89"/>
    </row>
    <row r="1091">
      <c r="B1091" s="89"/>
      <c r="C1091" s="89"/>
      <c r="D1091" s="89"/>
      <c r="E1091" s="89"/>
    </row>
    <row r="1092">
      <c r="B1092" s="89"/>
      <c r="C1092" s="89"/>
      <c r="D1092" s="89"/>
      <c r="E1092" s="89"/>
    </row>
    <row r="1093">
      <c r="B1093" s="89"/>
      <c r="C1093" s="89"/>
      <c r="D1093" s="89"/>
      <c r="E1093" s="89"/>
    </row>
    <row r="1094">
      <c r="B1094" s="89"/>
      <c r="C1094" s="89"/>
      <c r="D1094" s="89"/>
      <c r="E1094" s="89"/>
    </row>
    <row r="1095">
      <c r="B1095" s="89"/>
      <c r="C1095" s="89"/>
      <c r="D1095" s="89"/>
      <c r="E1095" s="89"/>
    </row>
    <row r="1096">
      <c r="B1096" s="89"/>
      <c r="C1096" s="89"/>
      <c r="D1096" s="89"/>
      <c r="E1096" s="89"/>
    </row>
    <row r="1097">
      <c r="B1097" s="89"/>
      <c r="C1097" s="89"/>
      <c r="D1097" s="89"/>
      <c r="E1097" s="89"/>
    </row>
    <row r="1098">
      <c r="B1098" s="89"/>
      <c r="C1098" s="89"/>
      <c r="D1098" s="89"/>
      <c r="E1098" s="89"/>
    </row>
    <row r="1099">
      <c r="B1099" s="89"/>
      <c r="C1099" s="89"/>
      <c r="D1099" s="89"/>
      <c r="E1099" s="89"/>
    </row>
    <row r="1100">
      <c r="B1100" s="89"/>
      <c r="C1100" s="89"/>
      <c r="D1100" s="89"/>
    </row>
    <row r="1101">
      <c r="B1101" s="89"/>
      <c r="C1101" s="89"/>
      <c r="D1101" s="89"/>
    </row>
    <row r="1102">
      <c r="B1102" s="89"/>
      <c r="C1102" s="89"/>
      <c r="D1102" s="89"/>
    </row>
    <row r="1103">
      <c r="B1103" s="89"/>
      <c r="C1103" s="89"/>
      <c r="D1103" s="89"/>
    </row>
  </sheetData>
  <drawing r:id="rId1"/>
</worksheet>
</file>